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and\OneDrive\Υπολογιστής\1. PSP Task 01\"/>
    </mc:Choice>
  </mc:AlternateContent>
  <xr:revisionPtr revIDLastSave="0" documentId="13_ncr:1_{A8312350-2AD4-4B42-95E8-FB4AD6DCCC55}" xr6:coauthVersionLast="47" xr6:coauthVersionMax="47" xr10:uidLastSave="{00000000-0000-0000-0000-000000000000}"/>
  <bookViews>
    <workbookView xWindow="-120" yWindow="-120" windowWidth="51840" windowHeight="21120" xr2:uid="{EF3DDB83-69BC-404B-8852-E8F18DE23336}"/>
  </bookViews>
  <sheets>
    <sheet name="Raw Data (Jan-Jun)" sheetId="2" r:id="rId1"/>
    <sheet name="Raw Data (Jul-Dec)" sheetId="3" r:id="rId2"/>
    <sheet name="Raw_Data_Combined" sheetId="4" r:id="rId3"/>
    <sheet name="Tasks" sheetId="1" r:id="rId4"/>
    <sheet name="Dashboards" sheetId="5" r:id="rId5"/>
  </sheets>
  <definedNames>
    <definedName name="ExternalData_1" localSheetId="0" hidden="1">'Raw Data (Jan-Jun)'!$A$1:$L$486</definedName>
    <definedName name="ExternalData_2" localSheetId="1" hidden="1">'Raw Data (Jul-Dec)'!$A$1:$L$516</definedName>
    <definedName name="ExternalData_3" localSheetId="2" hidden="1">'Raw_Data_Combined'!$A$1:$M$1001</definedName>
    <definedName name="_xlnm.Print_Area" localSheetId="4">Dashboards!$A$1:$AA$59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27" i="1"/>
  <c r="F27" i="1"/>
  <c r="D38" i="5"/>
  <c r="D37" i="5"/>
  <c r="D36" i="5"/>
  <c r="D35" i="5"/>
  <c r="D34" i="5"/>
  <c r="D33" i="5"/>
  <c r="D32" i="5"/>
  <c r="D31" i="5"/>
  <c r="D30" i="5"/>
  <c r="D29" i="5"/>
  <c r="D28" i="5"/>
  <c r="D27" i="5"/>
  <c r="J5" i="5"/>
  <c r="I22" i="5" s="1"/>
  <c r="H5" i="5"/>
  <c r="F5" i="5"/>
  <c r="C38" i="5"/>
  <c r="E38" i="5" s="1"/>
  <c r="C37" i="5"/>
  <c r="E37" i="5" s="1"/>
  <c r="C36" i="5"/>
  <c r="E36" i="5" s="1"/>
  <c r="C35" i="5"/>
  <c r="E35" i="5" s="1"/>
  <c r="C34" i="5"/>
  <c r="E34" i="5" s="1"/>
  <c r="C33" i="5"/>
  <c r="E33" i="5" s="1"/>
  <c r="C32" i="5"/>
  <c r="E32" i="5" s="1"/>
  <c r="C31" i="5"/>
  <c r="E31" i="5" s="1"/>
  <c r="C30" i="5"/>
  <c r="E30" i="5" s="1"/>
  <c r="C29" i="5"/>
  <c r="E29" i="5" s="1"/>
  <c r="C28" i="5"/>
  <c r="E28" i="5" s="1"/>
  <c r="C27" i="5"/>
  <c r="E27" i="5" s="1"/>
  <c r="C12" i="5"/>
  <c r="C11" i="5"/>
  <c r="C10" i="5"/>
  <c r="B5" i="5"/>
  <c r="D5" i="5" s="1"/>
  <c r="C61" i="1" a="1"/>
  <c r="G47" i="5" s="1"/>
  <c r="C43" i="1" a="1"/>
  <c r="D47" i="1" s="1"/>
  <c r="C27" i="1" a="1"/>
  <c r="C16" i="1" a="1"/>
  <c r="E17" i="1" s="1"/>
  <c r="C5" i="1" a="1"/>
  <c r="E6" i="1" s="1"/>
  <c r="D20" i="1" l="1"/>
  <c r="D19" i="1"/>
  <c r="D18" i="1"/>
  <c r="D17" i="1"/>
  <c r="E20" i="1"/>
  <c r="E19" i="1"/>
  <c r="E18" i="1"/>
  <c r="C43" i="1"/>
  <c r="D43" i="1" s="1"/>
  <c r="D44" i="1"/>
  <c r="E9" i="1"/>
  <c r="D6" i="1"/>
  <c r="F6" i="1" s="1"/>
  <c r="D45" i="1"/>
  <c r="C61" i="1"/>
  <c r="G44" i="5" s="1"/>
  <c r="G45" i="5"/>
  <c r="G48" i="5"/>
  <c r="D8" i="1"/>
  <c r="C27" i="1"/>
  <c r="E8" i="1"/>
  <c r="D30" i="1"/>
  <c r="E30" i="1" s="1"/>
  <c r="D33" i="1"/>
  <c r="E33" i="1" s="1"/>
  <c r="D36" i="1"/>
  <c r="E36" i="1" s="1"/>
  <c r="D46" i="1"/>
  <c r="D7" i="1"/>
  <c r="D29" i="1"/>
  <c r="E29" i="1" s="1"/>
  <c r="D32" i="1"/>
  <c r="E32" i="1" s="1"/>
  <c r="D35" i="1"/>
  <c r="E35" i="1" s="1"/>
  <c r="E7" i="1"/>
  <c r="C5" i="1"/>
  <c r="D9" i="1"/>
  <c r="G46" i="5"/>
  <c r="D28" i="1"/>
  <c r="E28" i="1" s="1"/>
  <c r="D31" i="1"/>
  <c r="E31" i="1" s="1"/>
  <c r="D34" i="1"/>
  <c r="E34" i="1" s="1"/>
  <c r="C16" i="1"/>
  <c r="D11" i="5"/>
  <c r="E11" i="5" s="1"/>
  <c r="D12" i="5"/>
  <c r="E12" i="5" s="1"/>
  <c r="D10" i="5"/>
  <c r="E10" i="5" s="1"/>
  <c r="F9" i="1" l="1"/>
  <c r="E16" i="1"/>
  <c r="D16" i="1"/>
  <c r="E46" i="1"/>
  <c r="F7" i="1"/>
  <c r="F8" i="1"/>
  <c r="D5" i="1"/>
  <c r="E5" i="1"/>
  <c r="B17" i="5" s="1" a="1"/>
  <c r="F20" i="1"/>
  <c r="F17" i="1"/>
  <c r="E45" i="1"/>
  <c r="F18" i="1"/>
  <c r="F19" i="1"/>
  <c r="E44" i="1"/>
  <c r="E47" i="1"/>
  <c r="D27" i="1"/>
  <c r="B43" i="5" s="1" a="1"/>
  <c r="E43" i="1"/>
  <c r="I20" i="5" l="1"/>
  <c r="I21" i="5"/>
  <c r="I18" i="5"/>
  <c r="I19" i="5"/>
  <c r="D44" i="5"/>
  <c r="D45" i="5"/>
  <c r="D46" i="5"/>
  <c r="D47" i="5"/>
  <c r="D48" i="5"/>
  <c r="D49" i="5"/>
  <c r="D50" i="5"/>
  <c r="D51" i="5"/>
  <c r="D52" i="5"/>
  <c r="G10" i="5" a="1"/>
  <c r="H11" i="5" s="1"/>
  <c r="F16" i="1"/>
  <c r="C19" i="5" s="1"/>
  <c r="F5" i="1"/>
  <c r="D19" i="5" s="1"/>
  <c r="E52" i="5"/>
  <c r="E44" i="5"/>
  <c r="E46" i="5"/>
  <c r="E48" i="5"/>
  <c r="E51" i="5"/>
  <c r="B43" i="5"/>
  <c r="D43" i="5" s="1"/>
  <c r="E45" i="5"/>
  <c r="E50" i="5"/>
  <c r="E49" i="5"/>
  <c r="E20" i="5"/>
  <c r="E21" i="5"/>
  <c r="D18" i="5"/>
  <c r="E19" i="5"/>
  <c r="F21" i="5"/>
  <c r="C18" i="5"/>
  <c r="F19" i="5"/>
  <c r="D21" i="5"/>
  <c r="D20" i="5"/>
  <c r="C21" i="5"/>
  <c r="C20" i="5"/>
  <c r="F20" i="5"/>
  <c r="F18" i="5"/>
  <c r="E18" i="5"/>
  <c r="B17" i="5"/>
  <c r="I17" i="5" s="1"/>
  <c r="E27" i="1"/>
  <c r="E47" i="5" s="1"/>
  <c r="C69" i="1" a="1"/>
  <c r="C55" i="1" a="1"/>
  <c r="G20" i="5" l="1"/>
  <c r="H20" i="5"/>
  <c r="H18" i="5"/>
  <c r="H14" i="5"/>
  <c r="H12" i="5"/>
  <c r="G10" i="5"/>
  <c r="H10" i="5" s="1"/>
  <c r="H13" i="5"/>
  <c r="I11" i="5" s="1"/>
  <c r="E43" i="5"/>
  <c r="H21" i="5"/>
  <c r="C55" i="1"/>
  <c r="D60" i="1" s="1"/>
  <c r="F60" i="1"/>
  <c r="E60" i="1"/>
  <c r="H19" i="5"/>
  <c r="G53" i="5"/>
  <c r="G54" i="5"/>
  <c r="C69" i="1"/>
  <c r="G52" i="5" s="1"/>
  <c r="F17" i="5"/>
  <c r="C17" i="5"/>
  <c r="C22" i="5" s="1"/>
  <c r="D22" i="5" s="1"/>
  <c r="E17" i="5"/>
  <c r="D17" i="5"/>
  <c r="G19" i="5"/>
  <c r="G18" i="5"/>
  <c r="G21" i="5"/>
  <c r="I10" i="5" l="1"/>
  <c r="I12" i="5"/>
  <c r="I14" i="5"/>
  <c r="I13" i="5"/>
  <c r="F62" i="1"/>
  <c r="J45" i="5" s="1"/>
  <c r="F65" i="1"/>
  <c r="J48" i="5" s="1"/>
  <c r="F61" i="1"/>
  <c r="F64" i="1"/>
  <c r="J47" i="5" s="1"/>
  <c r="F63" i="1"/>
  <c r="J46" i="5" s="1"/>
  <c r="D63" i="1"/>
  <c r="H46" i="5" s="1"/>
  <c r="D62" i="1"/>
  <c r="H45" i="5" s="1"/>
  <c r="D64" i="1"/>
  <c r="H47" i="5" s="1"/>
  <c r="D65" i="1"/>
  <c r="H48" i="5" s="1"/>
  <c r="D61" i="1"/>
  <c r="H17" i="5"/>
  <c r="E22" i="5"/>
  <c r="H22" i="5" s="1"/>
  <c r="E63" i="1"/>
  <c r="I46" i="5" s="1"/>
  <c r="E65" i="1"/>
  <c r="I48" i="5" s="1"/>
  <c r="E61" i="1"/>
  <c r="E64" i="1"/>
  <c r="I47" i="5" s="1"/>
  <c r="E62" i="1"/>
  <c r="I45" i="5" s="1"/>
  <c r="G17" i="5"/>
  <c r="F22" i="5"/>
  <c r="H44" i="5" l="1"/>
  <c r="D69" i="1"/>
  <c r="H52" i="5" s="1"/>
  <c r="D70" i="1"/>
  <c r="H53" i="5" s="1"/>
  <c r="I44" i="5"/>
  <c r="G22" i="5"/>
  <c r="D71" i="1"/>
  <c r="H54" i="5" s="1"/>
  <c r="J4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nikolas andreou</author>
  </authors>
  <commentList>
    <comment ref="F26" authorId="0" shapeId="0" xr:uid="{534B87F3-50E3-4BCD-9BDE-E81394B0EF5B}">
      <text>
        <r>
          <rPr>
            <b/>
            <sz val="9"/>
            <color indexed="81"/>
            <rFont val="Tahoma"/>
            <family val="2"/>
          </rPr>
          <t>nikolas andreou:</t>
        </r>
        <r>
          <rPr>
            <sz val="9"/>
            <color indexed="81"/>
            <rFont val="Tahoma"/>
            <family val="2"/>
          </rPr>
          <t xml:space="preserve">
Includes "0" values, hence the denominator is hgher.</t>
        </r>
      </text>
    </comment>
    <comment ref="G26" authorId="0" shapeId="0" xr:uid="{279971D8-CA32-46B7-B9B4-AE99F55E018D}">
      <text>
        <r>
          <rPr>
            <b/>
            <sz val="9"/>
            <color indexed="81"/>
            <rFont val="Tahoma"/>
            <family val="2"/>
          </rPr>
          <t>nikolas andreou:</t>
        </r>
        <r>
          <rPr>
            <sz val="9"/>
            <color indexed="81"/>
            <rFont val="Tahoma"/>
            <family val="2"/>
          </rPr>
          <t xml:space="preserve">
Excludes unsuccessful transactions.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44451D-7B93-465D-8020-D306424779ED}" keepAlive="1" name="Query - Raw Data (Jan-Jun)" description="Connection to the 'Raw Data (Jan-Jun)' query in the workbook." type="5" refreshedVersion="8" background="1" saveData="1">
    <dbPr connection="Provider=Microsoft.Mashup.OleDb.1;Data Source=$Workbook$;Location=&quot;Raw Data (Jan-Jun)&quot;;Extended Properties=&quot;&quot;" command="SELECT * FROM [Raw Data (Jan-Jun)]"/>
  </connection>
  <connection id="2" xr16:uid="{91E4ABB7-707C-42D1-A5A7-C82CE5D1B884}" keepAlive="1" name="Query - Raw Data (Jul-Dec)" description="Connection to the 'Raw Data (Jul-Dec)' query in the workbook." type="5" refreshedVersion="8" background="1" saveData="1">
    <dbPr connection="Provider=Microsoft.Mashup.OleDb.1;Data Source=$Workbook$;Location=&quot;Raw Data (Jul-Dec)&quot;;Extended Properties=&quot;&quot;" command="SELECT * FROM [Raw Data (Jul-Dec)]"/>
  </connection>
  <connection id="3" xr16:uid="{2327F6EC-D80F-4BD4-8B9C-659992E7F8B7}" keepAlive="1" name="Query - Raw Data Combined" description="Connection to the 'Raw Data Combined' query in the workbook." type="5" refreshedVersion="8" background="1" saveData="1">
    <dbPr connection="Provider=Microsoft.Mashup.OleDb.1;Data Source=$Workbook$;Location=&quot;Raw Data Combined&quot;;Extended Properties=&quot;&quot;" command="SELECT * FROM [Raw Data Combine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<sst xmlns="http://schemas.openxmlformats.org/spreadsheetml/2006/main" count="11579" uniqueCount="1119">
  <si>
    <t>Transaction ID</t>
  </si>
  <si>
    <t>Date &amp; Time</t>
  </si>
  <si>
    <t>GEO</t>
  </si>
  <si>
    <t>Currency</t>
  </si>
  <si>
    <t>PSP Provider</t>
  </si>
  <si>
    <t>Payment Method</t>
  </si>
  <si>
    <t>Amount</t>
  </si>
  <si>
    <t>Status</t>
  </si>
  <si>
    <t>Decline Reason</t>
  </si>
  <si>
    <t>Fee %</t>
  </si>
  <si>
    <t>Fee Amount</t>
  </si>
  <si>
    <t>Net Amount</t>
  </si>
  <si>
    <t>TXN00108</t>
  </si>
  <si>
    <t>SE</t>
  </si>
  <si>
    <t>SEK</t>
  </si>
  <si>
    <t>Worldpay</t>
  </si>
  <si>
    <t>Bank Transfer</t>
  </si>
  <si>
    <t>Pending</t>
  </si>
  <si>
    <t>TXN00929</t>
  </si>
  <si>
    <t>NO</t>
  </si>
  <si>
    <t>NOK</t>
  </si>
  <si>
    <t>E-Wallet</t>
  </si>
  <si>
    <t>Success</t>
  </si>
  <si>
    <t>TXN00542</t>
  </si>
  <si>
    <t>ES</t>
  </si>
  <si>
    <t>EUR</t>
  </si>
  <si>
    <t>TXN00520</t>
  </si>
  <si>
    <t>FR</t>
  </si>
  <si>
    <t>Stripe</t>
  </si>
  <si>
    <t>Debit Card</t>
  </si>
  <si>
    <t>TXN00794</t>
  </si>
  <si>
    <t>GB</t>
  </si>
  <si>
    <t>GBP</t>
  </si>
  <si>
    <t>Checkout.com</t>
  </si>
  <si>
    <t>Failed</t>
  </si>
  <si>
    <t>Card Declined</t>
  </si>
  <si>
    <t>TXN00712</t>
  </si>
  <si>
    <t>PL</t>
  </si>
  <si>
    <t>PLN</t>
  </si>
  <si>
    <t>PaySafe</t>
  </si>
  <si>
    <t>TXN00652</t>
  </si>
  <si>
    <t>Credit Card</t>
  </si>
  <si>
    <t>TXN00600</t>
  </si>
  <si>
    <t>NL</t>
  </si>
  <si>
    <t>Adyen</t>
  </si>
  <si>
    <t>Crypto</t>
  </si>
  <si>
    <t>TXN00388</t>
  </si>
  <si>
    <t>IT</t>
  </si>
  <si>
    <t>TXN00617</t>
  </si>
  <si>
    <t>TXN00494</t>
  </si>
  <si>
    <t>TXN00643</t>
  </si>
  <si>
    <t>TXN00630</t>
  </si>
  <si>
    <t>TXN00292</t>
  </si>
  <si>
    <t>TXN00726</t>
  </si>
  <si>
    <t>TXN00265</t>
  </si>
  <si>
    <t>Technical Error</t>
  </si>
  <si>
    <t>TXN00282</t>
  </si>
  <si>
    <t>TXN00860</t>
  </si>
  <si>
    <t>CY</t>
  </si>
  <si>
    <t>TXN00545</t>
  </si>
  <si>
    <t>DE</t>
  </si>
  <si>
    <t>TXN00896</t>
  </si>
  <si>
    <t>Fraud Suspected</t>
  </si>
  <si>
    <t>TXN00920</t>
  </si>
  <si>
    <t>TXN00426</t>
  </si>
  <si>
    <t>TXN00634</t>
  </si>
  <si>
    <t>TXN00280</t>
  </si>
  <si>
    <t>TXN00724</t>
  </si>
  <si>
    <t>TXN00047</t>
  </si>
  <si>
    <t>TXN00526</t>
  </si>
  <si>
    <t>TXN00049</t>
  </si>
  <si>
    <t>TXN00848</t>
  </si>
  <si>
    <t>TXN00404</t>
  </si>
  <si>
    <t>TXN00980</t>
  </si>
  <si>
    <t>TXN00641</t>
  </si>
  <si>
    <t>TXN00011</t>
  </si>
  <si>
    <t>TXN00879</t>
  </si>
  <si>
    <t>TXN00996</t>
  </si>
  <si>
    <t>Insufficient Funds</t>
  </si>
  <si>
    <t>TXN00215</t>
  </si>
  <si>
    <t>TXN00627</t>
  </si>
  <si>
    <t>TXN00612</t>
  </si>
  <si>
    <t>TXN00118</t>
  </si>
  <si>
    <t>TXN00207</t>
  </si>
  <si>
    <t>TXN00330</t>
  </si>
  <si>
    <t>TXN00963</t>
  </si>
  <si>
    <t>TXN00546</t>
  </si>
  <si>
    <t>TXN00385</t>
  </si>
  <si>
    <t>TXN00048</t>
  </si>
  <si>
    <t>TXN00181</t>
  </si>
  <si>
    <t>TXN00550</t>
  </si>
  <si>
    <t>TXN00525</t>
  </si>
  <si>
    <t>TXN00256</t>
  </si>
  <si>
    <t>TXN00403</t>
  </si>
  <si>
    <t>TXN00631</t>
  </si>
  <si>
    <t>TXN00384</t>
  </si>
  <si>
    <t>TXN00811</t>
  </si>
  <si>
    <t>TXN00491</t>
  </si>
  <si>
    <t>TXN00973</t>
  </si>
  <si>
    <t>TXN00230</t>
  </si>
  <si>
    <t>Expired Card</t>
  </si>
  <si>
    <t>TXN00999</t>
  </si>
  <si>
    <t>TXN00072</t>
  </si>
  <si>
    <t>TXN00062</t>
  </si>
  <si>
    <t>TXN00445</t>
  </si>
  <si>
    <t>TXN00962</t>
  </si>
  <si>
    <t>TXN00928</t>
  </si>
  <si>
    <t>TXN00248</t>
  </si>
  <si>
    <t>TXN00934</t>
  </si>
  <si>
    <t>TXN00346</t>
  </si>
  <si>
    <t>TXN00167</t>
  </si>
  <si>
    <t>TXN00903</t>
  </si>
  <si>
    <t>TXN00414</t>
  </si>
  <si>
    <t>TXN00886</t>
  </si>
  <si>
    <t>TXN00942</t>
  </si>
  <si>
    <t>TXN00033</t>
  </si>
  <si>
    <t>TXN00020</t>
  </si>
  <si>
    <t>TXN00275</t>
  </si>
  <si>
    <t>TXN00884</t>
  </si>
  <si>
    <t>TXN00744</t>
  </si>
  <si>
    <t>TXN00964</t>
  </si>
  <si>
    <t>TXN00757</t>
  </si>
  <si>
    <t>TXN00201</t>
  </si>
  <si>
    <t>TXN00790</t>
  </si>
  <si>
    <t>TXN00015</t>
  </si>
  <si>
    <t>TXN00899</t>
  </si>
  <si>
    <t>TXN00402</t>
  </si>
  <si>
    <t>TXN00336</t>
  </si>
  <si>
    <t>TXN00671</t>
  </si>
  <si>
    <t>TXN00162</t>
  </si>
  <si>
    <t>TXN00114</t>
  </si>
  <si>
    <t>TXN00787</t>
  </si>
  <si>
    <t>TXN00606</t>
  </si>
  <si>
    <t>TXN00645</t>
  </si>
  <si>
    <t>TXN00169</t>
  </si>
  <si>
    <t>TXN00025</t>
  </si>
  <si>
    <t>TXN00373</t>
  </si>
  <si>
    <t>TXN00315</t>
  </si>
  <si>
    <t>TXN00224</t>
  </si>
  <si>
    <t>TXN00291</t>
  </si>
  <si>
    <t>TXN00241</t>
  </si>
  <si>
    <t>TXN00427</t>
  </si>
  <si>
    <t>TXN00357</t>
  </si>
  <si>
    <t>TXN00300</t>
  </si>
  <si>
    <t>TXN00188</t>
  </si>
  <si>
    <t>TXN00386</t>
  </si>
  <si>
    <t>TXN00894</t>
  </si>
  <si>
    <t>TXN00211</t>
  </si>
  <si>
    <t>TXN00576</t>
  </si>
  <si>
    <t>TXN00992</t>
  </si>
  <si>
    <t>TXN00625</t>
  </si>
  <si>
    <t>TXN00568</t>
  </si>
  <si>
    <t>TXN00307</t>
  </si>
  <si>
    <t>TXN00978</t>
  </si>
  <si>
    <t>TXN00393</t>
  </si>
  <si>
    <t>TXN00702</t>
  </si>
  <si>
    <t>TXN00369</t>
  </si>
  <si>
    <t>TXN00317</t>
  </si>
  <si>
    <t>TXN00844</t>
  </si>
  <si>
    <t>TXN00318</t>
  </si>
  <si>
    <t>TXN00014</t>
  </si>
  <si>
    <t>TXN00156</t>
  </si>
  <si>
    <t>TXN00694</t>
  </si>
  <si>
    <t>TXN00483</t>
  </si>
  <si>
    <t>TXN00274</t>
  </si>
  <si>
    <t>TXN00498</t>
  </si>
  <si>
    <t>TXN00144</t>
  </si>
  <si>
    <t>TXN00392</t>
  </si>
  <si>
    <t>TXN00030</t>
  </si>
  <si>
    <t>TXN00523</t>
  </si>
  <si>
    <t>TXN00005</t>
  </si>
  <si>
    <t>TXN00306</t>
  </si>
  <si>
    <t>TXN00720</t>
  </si>
  <si>
    <t>TXN00565</t>
  </si>
  <si>
    <t>TXN00653</t>
  </si>
  <si>
    <t>TXN00155</t>
  </si>
  <si>
    <t>TXN00430</t>
  </si>
  <si>
    <t>TXN00803</t>
  </si>
  <si>
    <t>TXN00312</t>
  </si>
  <si>
    <t>TXN00122</t>
  </si>
  <si>
    <t>TXN00361</t>
  </si>
  <si>
    <t>TXN00417</t>
  </si>
  <si>
    <t>TXN00008</t>
  </si>
  <si>
    <t>TXN00391</t>
  </si>
  <si>
    <t>TXN00334</t>
  </si>
  <si>
    <t>TXN00332</t>
  </si>
  <si>
    <t>TXN00316</t>
  </si>
  <si>
    <t>TXN00583</t>
  </si>
  <si>
    <t>TXN00647</t>
  </si>
  <si>
    <t>TXN00706</t>
  </si>
  <si>
    <t>TXN00818</t>
  </si>
  <si>
    <t>TXN00416</t>
  </si>
  <si>
    <t>TXN00773</t>
  </si>
  <si>
    <t>TXN00958</t>
  </si>
  <si>
    <t>TXN00441</t>
  </si>
  <si>
    <t>TXN00887</t>
  </si>
  <si>
    <t>TXN00738</t>
  </si>
  <si>
    <t>TXN00972</t>
  </si>
  <si>
    <t>TXN00485</t>
  </si>
  <si>
    <t>TXN00381</t>
  </si>
  <si>
    <t>TXN00343</t>
  </si>
  <si>
    <t>TXN00112</t>
  </si>
  <si>
    <t>TXN00168</t>
  </si>
  <si>
    <t>TXN00657</t>
  </si>
  <si>
    <t>TXN00997</t>
  </si>
  <si>
    <t>TXN00438</t>
  </si>
  <si>
    <t>TXN00833</t>
  </si>
  <si>
    <t>TXN00875</t>
  </si>
  <si>
    <t>TXN01000</t>
  </si>
  <si>
    <t>TXN00255</t>
  </si>
  <si>
    <t>TXN00535</t>
  </si>
  <si>
    <t>TXN00862</t>
  </si>
  <si>
    <t>TXN00152</t>
  </si>
  <si>
    <t>TXN00633</t>
  </si>
  <si>
    <t>TXN00228</t>
  </si>
  <si>
    <t>TXN00806</t>
  </si>
  <si>
    <t>TXN00506</t>
  </si>
  <si>
    <t>TXN00242</t>
  </si>
  <si>
    <t>TXN00932</t>
  </si>
  <si>
    <t>TXN00021</t>
  </si>
  <si>
    <t>TXN00472</t>
  </si>
  <si>
    <t>TXN00415</t>
  </si>
  <si>
    <t>TXN00708</t>
  </si>
  <si>
    <t>TXN00931</t>
  </si>
  <si>
    <t>TXN00731</t>
  </si>
  <si>
    <t>TXN00682</t>
  </si>
  <si>
    <t>TXN00813</t>
  </si>
  <si>
    <t>TXN00759</t>
  </si>
  <si>
    <t>TXN00455</t>
  </si>
  <si>
    <t>TXN00488</t>
  </si>
  <si>
    <t>TXN00793</t>
  </si>
  <si>
    <t>TXN00508</t>
  </si>
  <si>
    <t>TXN00621</t>
  </si>
  <si>
    <t>TXN00449</t>
  </si>
  <si>
    <t>TXN00066</t>
  </si>
  <si>
    <t>TXN00467</t>
  </si>
  <si>
    <t>TXN00367</t>
  </si>
  <si>
    <t>TXN00784</t>
  </si>
  <si>
    <t>TXN00370</t>
  </si>
  <si>
    <t>TXN00328</t>
  </si>
  <si>
    <t>TXN00299</t>
  </si>
  <si>
    <t>TXN00235</t>
  </si>
  <si>
    <t>TXN00792</t>
  </si>
  <si>
    <t>TXN00854</t>
  </si>
  <si>
    <t>TXN00843</t>
  </si>
  <si>
    <t>TXN00202</t>
  </si>
  <si>
    <t>TXN00909</t>
  </si>
  <si>
    <t>TXN00575</t>
  </si>
  <si>
    <t>TXN00863</t>
  </si>
  <si>
    <t>TXN00146</t>
  </si>
  <si>
    <t>TXN00741</t>
  </si>
  <si>
    <t>TXN00840</t>
  </si>
  <si>
    <t>TXN00922</t>
  </si>
  <si>
    <t>TXN00564</t>
  </si>
  <si>
    <t>TXN00250</t>
  </si>
  <si>
    <t>TXN00779</t>
  </si>
  <si>
    <t>TXN00435</t>
  </si>
  <si>
    <t>TXN00396</t>
  </si>
  <si>
    <t>TXN00032</t>
  </si>
  <si>
    <t>TXN00714</t>
  </si>
  <si>
    <t>TXN00098</t>
  </si>
  <si>
    <t>TXN00801</t>
  </si>
  <si>
    <t>TXN00383</t>
  </si>
  <si>
    <t>TXN00632</t>
  </si>
  <si>
    <t>TXN00164</t>
  </si>
  <si>
    <t>TXN00628</t>
  </si>
  <si>
    <t>TXN00004</t>
  </si>
  <si>
    <t>TXN00537</t>
  </si>
  <si>
    <t>TXN00193</t>
  </si>
  <si>
    <t>TXN00043</t>
  </si>
  <si>
    <t>TXN00851</t>
  </si>
  <si>
    <t>TXN00855</t>
  </si>
  <si>
    <t>TXN00696</t>
  </si>
  <si>
    <t>TXN00245</t>
  </si>
  <si>
    <t>TXN00380</t>
  </si>
  <si>
    <t>TXN00824</t>
  </si>
  <si>
    <t>TXN00101</t>
  </si>
  <si>
    <t>TXN00031</t>
  </si>
  <si>
    <t>TXN00981</t>
  </si>
  <si>
    <t>TXN00502</t>
  </si>
  <si>
    <t>TXN00609</t>
  </si>
  <si>
    <t>TXN00764</t>
  </si>
  <si>
    <t>TXN00076</t>
  </si>
  <si>
    <t>TXN00975</t>
  </si>
  <si>
    <t>TXN00331</t>
  </si>
  <si>
    <t>TXN00562</t>
  </si>
  <si>
    <t>TXN00872</t>
  </si>
  <si>
    <t>TXN00173</t>
  </si>
  <si>
    <t>TXN00320</t>
  </si>
  <si>
    <t>TXN00469</t>
  </si>
  <si>
    <t>TXN00058</t>
  </si>
  <si>
    <t>TXN00937</t>
  </si>
  <si>
    <t>TXN00561</t>
  </si>
  <si>
    <t>TXN00865</t>
  </si>
  <si>
    <t>TXN00171</t>
  </si>
  <si>
    <t>TXN00229</t>
  </si>
  <si>
    <t>TXN00220</t>
  </si>
  <si>
    <t>TXN00713</t>
  </si>
  <si>
    <t>TXN00577</t>
  </si>
  <si>
    <t>TXN00452</t>
  </si>
  <si>
    <t>TXN00693</t>
  </si>
  <si>
    <t>TXN00409</t>
  </si>
  <si>
    <t>TXN00161</t>
  </si>
  <si>
    <t>TXN00761</t>
  </si>
  <si>
    <t>TXN00692</t>
  </si>
  <si>
    <t>TXN00953</t>
  </si>
  <si>
    <t>TXN00638</t>
  </si>
  <si>
    <t>TXN00034</t>
  </si>
  <si>
    <t>TXN00673</t>
  </si>
  <si>
    <t>TXN00434</t>
  </si>
  <si>
    <t>TXN00210</t>
  </si>
  <si>
    <t>TXN00622</t>
  </si>
  <si>
    <t>TXN00618</t>
  </si>
  <si>
    <t>TXN00646</t>
  </si>
  <si>
    <t>TXN00429</t>
  </si>
  <si>
    <t>TXN00639</t>
  </si>
  <si>
    <t>TXN00771</t>
  </si>
  <si>
    <t>TXN00685</t>
  </si>
  <si>
    <t>TXN00253</t>
  </si>
  <si>
    <t>TXN00578</t>
  </si>
  <si>
    <t>TXN00518</t>
  </si>
  <si>
    <t>TXN00838</t>
  </si>
  <si>
    <t>TXN00742</t>
  </si>
  <si>
    <t>TXN00919</t>
  </si>
  <si>
    <t>TXN00629</t>
  </si>
  <si>
    <t>TXN00401</t>
  </si>
  <si>
    <t>TXN00662</t>
  </si>
  <si>
    <t>TXN00539</t>
  </si>
  <si>
    <t>TXN00845</t>
  </si>
  <si>
    <t>TXN00895</t>
  </si>
  <si>
    <t>TXN00776</t>
  </si>
  <si>
    <t>TXN00590</t>
  </si>
  <si>
    <t>TXN00977</t>
  </si>
  <si>
    <t>TXN00257</t>
  </si>
  <si>
    <t>TXN00686</t>
  </si>
  <si>
    <t>TXN00295</t>
  </si>
  <si>
    <t>TXN00353</t>
  </si>
  <si>
    <t>TXN00795</t>
  </si>
  <si>
    <t>TXN00335</t>
  </si>
  <si>
    <t>TXN00722</t>
  </si>
  <si>
    <t>TXN00397</t>
  </si>
  <si>
    <t>TXN00097</t>
  </si>
  <si>
    <t>TXN00800</t>
  </si>
  <si>
    <t>TXN00352</t>
  </si>
  <si>
    <t>TXN00536</t>
  </si>
  <si>
    <t>TXN00084</t>
  </si>
  <si>
    <t>TXN00022</t>
  </si>
  <si>
    <t>TXN00012</t>
  </si>
  <si>
    <t>TXN00475</t>
  </si>
  <si>
    <t>TXN00867</t>
  </si>
  <si>
    <t>TXN00602</t>
  </si>
  <si>
    <t>TXN00398</t>
  </si>
  <si>
    <t>TXN00907</t>
  </si>
  <si>
    <t>TXN00624</t>
  </si>
  <si>
    <t>TXN00699</t>
  </si>
  <si>
    <t>TXN00619</t>
  </si>
  <si>
    <t>TXN00348</t>
  </si>
  <si>
    <t>TXN00197</t>
  </si>
  <si>
    <t>TXN00159</t>
  </si>
  <si>
    <t>TXN00074</t>
  </si>
  <si>
    <t>TXN00676</t>
  </si>
  <si>
    <t>TXN00059</t>
  </si>
  <si>
    <t>TXN00979</t>
  </si>
  <si>
    <t>TXN00436</t>
  </si>
  <si>
    <t>TXN00308</t>
  </si>
  <si>
    <t>TXN00611</t>
  </si>
  <si>
    <t>TXN00297</t>
  </si>
  <si>
    <t>TXN00130</t>
  </si>
  <si>
    <t>TXN00732</t>
  </si>
  <si>
    <t>TXN00654</t>
  </si>
  <si>
    <t>TXN00117</t>
  </si>
  <si>
    <t>TXN00873</t>
  </si>
  <si>
    <t>TXN00390</t>
  </si>
  <si>
    <t>TXN00437</t>
  </si>
  <si>
    <t>TXN00675</t>
  </si>
  <si>
    <t>TXN00200</t>
  </si>
  <si>
    <t>TXN00222</t>
  </si>
  <si>
    <t>TXN00412</t>
  </si>
  <si>
    <t>TXN00751</t>
  </si>
  <si>
    <t>TXN00075</t>
  </si>
  <si>
    <t>TXN00943</t>
  </si>
  <si>
    <t>TXN00304</t>
  </si>
  <si>
    <t>TXN00288</t>
  </si>
  <si>
    <t>TXN00987</t>
  </si>
  <si>
    <t>TXN00558</t>
  </si>
  <si>
    <t>TXN00258</t>
  </si>
  <si>
    <t>TXN00663</t>
  </si>
  <si>
    <t>TXN00026</t>
  </si>
  <si>
    <t>TXN00788</t>
  </si>
  <si>
    <t>TXN00689</t>
  </si>
  <si>
    <t>TXN00700</t>
  </si>
  <si>
    <t>TXN00283</t>
  </si>
  <si>
    <t>TXN00267</t>
  </si>
  <si>
    <t>TXN00450</t>
  </si>
  <si>
    <t>TXN00029</t>
  </si>
  <si>
    <t>TXN00095</t>
  </si>
  <si>
    <t>TXN00028</t>
  </si>
  <si>
    <t>TXN00926</t>
  </si>
  <si>
    <t>TXN00950</t>
  </si>
  <si>
    <t>TXN00042</t>
  </si>
  <si>
    <t>TXN00626</t>
  </si>
  <si>
    <t>TXN00530</t>
  </si>
  <si>
    <t>TXN00670</t>
  </si>
  <si>
    <t>TXN00126</t>
  </si>
  <si>
    <t>TXN00199</t>
  </si>
  <si>
    <t>TXN00850</t>
  </si>
  <si>
    <t>TXN00902</t>
  </si>
  <si>
    <t>TXN00399</t>
  </si>
  <si>
    <t>TXN00036</t>
  </si>
  <si>
    <t>TXN00294</t>
  </si>
  <si>
    <t>TXN00296</t>
  </si>
  <si>
    <t>TXN00465</t>
  </si>
  <si>
    <t>TXN00459</t>
  </si>
  <si>
    <t>TXN00661</t>
  </si>
  <si>
    <t>TXN00375</t>
  </si>
  <si>
    <t>TXN00921</t>
  </si>
  <si>
    <t>TXN00148</t>
  </si>
  <si>
    <t>TXN00513</t>
  </si>
  <si>
    <t>TXN00623</t>
  </si>
  <si>
    <t>TXN00946</t>
  </si>
  <si>
    <t>TXN00447</t>
  </si>
  <si>
    <t>TXN00727</t>
  </si>
  <si>
    <t>TXN00599</t>
  </si>
  <si>
    <t>TXN00209</t>
  </si>
  <si>
    <t>TXN00264</t>
  </si>
  <si>
    <t>TXN00041</t>
  </si>
  <si>
    <t>TXN00102</t>
  </si>
  <si>
    <t>TXN00821</t>
  </si>
  <si>
    <t>TXN00321</t>
  </si>
  <si>
    <t>TXN00774</t>
  </si>
  <si>
    <t>TXN00544</t>
  </si>
  <si>
    <t>TXN00405</t>
  </si>
  <si>
    <t>TXN00446</t>
  </si>
  <si>
    <t>TXN00745</t>
  </si>
  <si>
    <t>TXN00480</t>
  </si>
  <si>
    <t>TXN00734</t>
  </si>
  <si>
    <t>TXN00533</t>
  </si>
  <si>
    <t>TXN00453</t>
  </si>
  <si>
    <t>TXN00604</t>
  </si>
  <si>
    <t>TXN00540</t>
  </si>
  <si>
    <t>TXN00620</t>
  </si>
  <si>
    <t>TXN00605</t>
  </si>
  <si>
    <t>TXN00758</t>
  </si>
  <si>
    <t>TXN00667</t>
  </si>
  <si>
    <t>TXN00766</t>
  </si>
  <si>
    <t>TXN00158</t>
  </si>
  <si>
    <t>TXN00966</t>
  </si>
  <si>
    <t>TXN00660</t>
  </si>
  <si>
    <t>TXN00949</t>
  </si>
  <si>
    <t>TXN00473</t>
  </si>
  <si>
    <t>TXN00826</t>
  </si>
  <si>
    <t>TXN00319</t>
  </si>
  <si>
    <t>TXN00690</t>
  </si>
  <si>
    <t>TXN00325</t>
  </si>
  <si>
    <t>TXN00463</t>
  </si>
  <si>
    <t>TXN00825</t>
  </si>
  <si>
    <t>TXN00637</t>
  </si>
  <si>
    <t>TXN00132</t>
  </si>
  <si>
    <t>TXN00372</t>
  </si>
  <si>
    <t>TXN00351</t>
  </si>
  <si>
    <t>TXN00115</t>
  </si>
  <si>
    <t>TXN00458</t>
  </si>
  <si>
    <t>TXN00221</t>
  </si>
  <si>
    <t>TXN00601</t>
  </si>
  <si>
    <t>TXN00990</t>
  </si>
  <si>
    <t>TXN00324</t>
  </si>
  <si>
    <t>TXN00847</t>
  </si>
  <si>
    <t>TXN00091</t>
  </si>
  <si>
    <t>TXN00912</t>
  </si>
  <si>
    <t>TXN00285</t>
  </si>
  <si>
    <t>TXN00719</t>
  </si>
  <si>
    <t>TXN00139</t>
  </si>
  <si>
    <t>TXN00087</t>
  </si>
  <si>
    <t>TXN00859</t>
  </si>
  <si>
    <t>TXN00045</t>
  </si>
  <si>
    <t>TXN00739</t>
  </si>
  <si>
    <t>TXN00237</t>
  </si>
  <si>
    <t>TXN00377</t>
  </si>
  <si>
    <t>TXN00187</t>
  </si>
  <si>
    <t>TXN00378</t>
  </si>
  <si>
    <t>TXN00679</t>
  </si>
  <si>
    <t>TXN00857</t>
  </si>
  <si>
    <t>TXN00037</t>
  </si>
  <si>
    <t>TXN00497</t>
  </si>
  <si>
    <t>TXN00089</t>
  </si>
  <si>
    <t>TXN00649</t>
  </si>
  <si>
    <t>TXN00853</t>
  </si>
  <si>
    <t>TXN00595</t>
  </si>
  <si>
    <t>TXN00680</t>
  </si>
  <si>
    <t>TXN00395</t>
  </si>
  <si>
    <t>TXN00831</t>
  </si>
  <si>
    <t>TXN00681</t>
  </si>
  <si>
    <t>TXN00918</t>
  </si>
  <si>
    <t>TXN00658</t>
  </si>
  <si>
    <t>TXN00287</t>
  </si>
  <si>
    <t>TXN00791</t>
  </si>
  <si>
    <t>TXN00471</t>
  </si>
  <si>
    <t>TXN00082</t>
  </si>
  <si>
    <t>TXN00123</t>
  </si>
  <si>
    <t>TXN00655</t>
  </si>
  <si>
    <t>TXN00941</t>
  </si>
  <si>
    <t>TXN00313</t>
  </si>
  <si>
    <t>TXN00810</t>
  </si>
  <si>
    <t>TXN00991</t>
  </si>
  <si>
    <t>TXN00183</t>
  </si>
  <si>
    <t>TXN00482</t>
  </si>
  <si>
    <t>TXN00088</t>
  </si>
  <si>
    <t>TXN00184</t>
  </si>
  <si>
    <t>TXN00674</t>
  </si>
  <si>
    <t>TXN00263</t>
  </si>
  <si>
    <t>TXN00134</t>
  </si>
  <si>
    <t>TXN00574</t>
  </si>
  <si>
    <t>TXN00163</t>
  </si>
  <si>
    <t>TXN00501</t>
  </si>
  <si>
    <t>TXN00233</t>
  </si>
  <si>
    <t>TXN00827</t>
  </si>
  <si>
    <t>TXN00603</t>
  </si>
  <si>
    <t>TXN00743</t>
  </si>
  <si>
    <t>TXN00205</t>
  </si>
  <si>
    <t>TXN00616</t>
  </si>
  <si>
    <t>TXN00493</t>
  </si>
  <si>
    <t>TXN00423</t>
  </si>
  <si>
    <t>TXN00841</t>
  </si>
  <si>
    <t>TXN00567</t>
  </si>
  <si>
    <t>TXN00665</t>
  </si>
  <si>
    <t>TXN00756</t>
  </si>
  <si>
    <t>TXN00915</t>
  </si>
  <si>
    <t>TXN00511</t>
  </si>
  <si>
    <t>TXN00580</t>
  </si>
  <si>
    <t>TXN00716</t>
  </si>
  <si>
    <t>TXN00837</t>
  </si>
  <si>
    <t>TXN00971</t>
  </si>
  <si>
    <t>TXN00486</t>
  </si>
  <si>
    <t>TXN00945</t>
  </si>
  <si>
    <t>TXN00481</t>
  </si>
  <si>
    <t>TXN00747</t>
  </si>
  <si>
    <t>TXN00149</t>
  </si>
  <si>
    <t>TXN00556</t>
  </si>
  <si>
    <t>TXN00499</t>
  </si>
  <si>
    <t>TXN00326</t>
  </si>
  <si>
    <t>TXN00898</t>
  </si>
  <si>
    <t>TXN00240</t>
  </si>
  <si>
    <t>TXN00135</t>
  </si>
  <si>
    <t>TXN00597</t>
  </si>
  <si>
    <t>TXN00664</t>
  </si>
  <si>
    <t>TXN00374</t>
  </si>
  <si>
    <t>TXN00389</t>
  </si>
  <si>
    <t>TXN00192</t>
  </si>
  <si>
    <t>TXN00290</t>
  </si>
  <si>
    <t>TXN00572</t>
  </si>
  <si>
    <t>TXN00182</t>
  </si>
  <si>
    <t>TXN00829</t>
  </si>
  <si>
    <t>TXN00998</t>
  </si>
  <si>
    <t>TXN00305</t>
  </si>
  <si>
    <t>TXN00939</t>
  </si>
  <si>
    <t>TXN00252</t>
  </si>
  <si>
    <t>TXN00553</t>
  </si>
  <si>
    <t>TXN00519</t>
  </si>
  <si>
    <t>TXN00419</t>
  </si>
  <si>
    <t>TXN00704</t>
  </si>
  <si>
    <t>TXN00672</t>
  </si>
  <si>
    <t>TXN00765</t>
  </si>
  <si>
    <t>TXN00775</t>
  </si>
  <si>
    <t>TXN00746</t>
  </si>
  <si>
    <t>TXN00278</t>
  </si>
  <si>
    <t>TXN00729</t>
  </si>
  <si>
    <t>TXN00563</t>
  </si>
  <si>
    <t>TXN00869</t>
  </si>
  <si>
    <t>TXN00805</t>
  </si>
  <si>
    <t>TXN00516</t>
  </si>
  <si>
    <t>TXN00440</t>
  </si>
  <si>
    <t>TXN00070</t>
  </si>
  <si>
    <t>TXN00204</t>
  </si>
  <si>
    <t>TXN00985</t>
  </si>
  <si>
    <t>TXN00547</t>
  </si>
  <si>
    <t>TXN00883</t>
  </si>
  <si>
    <t>TXN00534</t>
  </si>
  <si>
    <t>TXN00503</t>
  </si>
  <si>
    <t>TXN00071</t>
  </si>
  <si>
    <t>TXN00871</t>
  </si>
  <si>
    <t>TXN00651</t>
  </si>
  <si>
    <t>TXN00293</t>
  </si>
  <si>
    <t>TXN00593</t>
  </si>
  <si>
    <t>TXN00548</t>
  </si>
  <si>
    <t>TXN00262</t>
  </si>
  <si>
    <t>TXN00451</t>
  </si>
  <si>
    <t>TXN00387</t>
  </si>
  <si>
    <t>TXN00598</t>
  </si>
  <si>
    <t>TXN00487</t>
  </si>
  <si>
    <t>TXN00496</t>
  </si>
  <si>
    <t>TXN00470</t>
  </si>
  <si>
    <t>TXN00786</t>
  </si>
  <si>
    <t>TXN00900</t>
  </si>
  <si>
    <t>TXN00338</t>
  </si>
  <si>
    <t>TXN00347</t>
  </si>
  <si>
    <t>TXN00355</t>
  </si>
  <si>
    <t>TXN00770</t>
  </si>
  <si>
    <t>TXN00608</t>
  </si>
  <si>
    <t>TXN00914</t>
  </si>
  <si>
    <t>TXN00424</t>
  </si>
  <si>
    <t>TXN00196</t>
  </si>
  <si>
    <t>TXN00271</t>
  </si>
  <si>
    <t>TXN00938</t>
  </si>
  <si>
    <t>TXN00677</t>
  </si>
  <si>
    <t>TXN00856</t>
  </si>
  <si>
    <t>TXN00797</t>
  </si>
  <si>
    <t>TXN00925</t>
  </si>
  <si>
    <t>TXN00807</t>
  </si>
  <si>
    <t>TXN00407</t>
  </si>
  <si>
    <t>TXN00461</t>
  </si>
  <si>
    <t>TXN00982</t>
  </si>
  <si>
    <t>TXN00344</t>
  </si>
  <si>
    <t>TXN00073</t>
  </si>
  <si>
    <t>TXN00566</t>
  </si>
  <si>
    <t>TXN00512</t>
  </si>
  <si>
    <t>TXN00456</t>
  </si>
  <si>
    <t>TXN00027</t>
  </si>
  <si>
    <t>TXN00376</t>
  </si>
  <si>
    <t>TXN00100</t>
  </si>
  <si>
    <t>TXN00431</t>
  </si>
  <si>
    <t>TXN00687</t>
  </si>
  <si>
    <t>TXN00707</t>
  </si>
  <si>
    <t>TXN00870</t>
  </si>
  <si>
    <t>TXN00160</t>
  </si>
  <si>
    <t>TXN00364</t>
  </si>
  <si>
    <t>TXN00881</t>
  </si>
  <si>
    <t>TXN00154</t>
  </si>
  <si>
    <t>TXN00428</t>
  </si>
  <si>
    <t>TXN00314</t>
  </si>
  <si>
    <t>TXN00531</t>
  </si>
  <si>
    <t>TXN00080</t>
  </si>
  <si>
    <t>TXN00767</t>
  </si>
  <si>
    <t>TXN00737</t>
  </si>
  <si>
    <t>TXN00947</t>
  </si>
  <si>
    <t>TXN00394</t>
  </si>
  <si>
    <t>TXN00780</t>
  </si>
  <si>
    <t>TXN00959</t>
  </si>
  <si>
    <t>TXN00110</t>
  </si>
  <si>
    <t>TXN00065</t>
  </si>
  <si>
    <t>TXN00555</t>
  </si>
  <si>
    <t>TXN00093</t>
  </si>
  <si>
    <t>TXN00368</t>
  </si>
  <si>
    <t>TXN00842</t>
  </si>
  <si>
    <t>TXN00615</t>
  </si>
  <si>
    <t>TXN00165</t>
  </si>
  <si>
    <t>TXN00063</t>
  </si>
  <si>
    <t>TXN00778</t>
  </si>
  <si>
    <t>TXN00213</t>
  </si>
  <si>
    <t>TXN00549</t>
  </si>
  <si>
    <t>TXN00333</t>
  </si>
  <si>
    <t>TXN00329</t>
  </si>
  <si>
    <t>TXN00064</t>
  </si>
  <si>
    <t>TXN00750</t>
  </si>
  <si>
    <t>TXN00096</t>
  </si>
  <si>
    <t>TXN00504</t>
  </si>
  <si>
    <t>TXN00195</t>
  </si>
  <si>
    <t>TXN00339</t>
  </si>
  <si>
    <t>TXN00812</t>
  </si>
  <si>
    <t>TXN00017</t>
  </si>
  <si>
    <t>TXN00232</t>
  </si>
  <si>
    <t>TXN00989</t>
  </si>
  <si>
    <t>TXN00733</t>
  </si>
  <si>
    <t>TXN00153</t>
  </si>
  <si>
    <t>TXN00379</t>
  </si>
  <si>
    <t>TXN00940</t>
  </si>
  <si>
    <t>TXN00923</t>
  </si>
  <si>
    <t>TXN00362</t>
  </si>
  <si>
    <t>TXN00060</t>
  </si>
  <si>
    <t>TXN00789</t>
  </si>
  <si>
    <t>TXN00703</t>
  </si>
  <si>
    <t>TXN00823</t>
  </si>
  <si>
    <t>TXN00974</t>
  </si>
  <si>
    <t>TXN00828</t>
  </si>
  <si>
    <t>TXN00936</t>
  </si>
  <si>
    <t>TXN00698</t>
  </si>
  <si>
    <t>TXN00342</t>
  </si>
  <si>
    <t>TXN00585</t>
  </si>
  <si>
    <t>TXN00880</t>
  </si>
  <si>
    <t>TXN00281</t>
  </si>
  <si>
    <t>TXN00400</t>
  </si>
  <si>
    <t>TXN00010</t>
  </si>
  <si>
    <t>TXN00178</t>
  </si>
  <si>
    <t>TXN00179</t>
  </si>
  <si>
    <t>TXN00327</t>
  </si>
  <si>
    <t>TXN00484</t>
  </si>
  <si>
    <t>TXN00269</t>
  </si>
  <si>
    <t>TXN00636</t>
  </si>
  <si>
    <t>TXN00861</t>
  </si>
  <si>
    <t>TXN00822</t>
  </si>
  <si>
    <t>TXN00961</t>
  </si>
  <si>
    <t>TXN00277</t>
  </si>
  <si>
    <t>TXN00259</t>
  </si>
  <si>
    <t>TXN00466</t>
  </si>
  <si>
    <t>TXN00410</t>
  </si>
  <si>
    <t>TXN00754</t>
  </si>
  <si>
    <t>TXN00965</t>
  </si>
  <si>
    <t>TXN00960</t>
  </si>
  <si>
    <t>TXN00478</t>
  </si>
  <si>
    <t>TXN00874</t>
  </si>
  <si>
    <t>TXN00366</t>
  </si>
  <si>
    <t>TXN00543</t>
  </si>
  <si>
    <t>TXN00408</t>
  </si>
  <si>
    <t>TXN00128</t>
  </si>
  <si>
    <t>TXN00113</t>
  </si>
  <si>
    <t>TXN00901</t>
  </si>
  <si>
    <t>TXN00358</t>
  </si>
  <si>
    <t>TXN00468</t>
  </si>
  <si>
    <t>TXN00748</t>
  </si>
  <si>
    <t>TXN00474</t>
  </si>
  <si>
    <t>TXN00298</t>
  </si>
  <si>
    <t>TXN00094</t>
  </si>
  <si>
    <t>TXN00495</t>
  </si>
  <si>
    <t>TXN00839</t>
  </si>
  <si>
    <t>TXN00908</t>
  </si>
  <si>
    <t>TXN00970</t>
  </si>
  <si>
    <t>TXN00846</t>
  </si>
  <si>
    <t>TXN00868</t>
  </si>
  <si>
    <t>TXN00924</t>
  </si>
  <si>
    <t>TXN00762</t>
  </si>
  <si>
    <t>TXN00349</t>
  </si>
  <si>
    <t>TXN00740</t>
  </si>
  <si>
    <t>TXN00421</t>
  </si>
  <si>
    <t>TXN00382</t>
  </si>
  <si>
    <t>TXN00890</t>
  </si>
  <si>
    <t>TXN00891</t>
  </si>
  <si>
    <t>TXN00406</t>
  </si>
  <si>
    <t>TXN00218</t>
  </si>
  <si>
    <t>TXN00785</t>
  </si>
  <si>
    <t>TXN00876</t>
  </si>
  <si>
    <t>TXN00976</t>
  </si>
  <si>
    <t>TXN00180</t>
  </si>
  <si>
    <t>TXN00284</t>
  </si>
  <si>
    <t>TXN00684</t>
  </si>
  <si>
    <t>TXN00864</t>
  </si>
  <si>
    <t>TXN00038</t>
  </si>
  <si>
    <t>TXN00951</t>
  </si>
  <si>
    <t>TXN00852</t>
  </si>
  <si>
    <t>TXN00266</t>
  </si>
  <si>
    <t>TXN00888</t>
  </si>
  <si>
    <t>TXN00234</t>
  </si>
  <si>
    <t>TXN00337</t>
  </si>
  <si>
    <t>TXN00085</t>
  </si>
  <si>
    <t>TXN00933</t>
  </si>
  <si>
    <t>TXN00448</t>
  </si>
  <si>
    <t>TXN00554</t>
  </si>
  <si>
    <t>TXN00023</t>
  </si>
  <si>
    <t>TXN00226</t>
  </si>
  <si>
    <t>TXN00227</t>
  </si>
  <si>
    <t>TXN00244</t>
  </si>
  <si>
    <t>TXN00365</t>
  </si>
  <si>
    <t>TXN00569</t>
  </si>
  <si>
    <t>TXN00715</t>
  </si>
  <si>
    <t>TXN00986</t>
  </si>
  <si>
    <t>TXN00053</t>
  </si>
  <si>
    <t>TXN00905</t>
  </si>
  <si>
    <t>TXN00610</t>
  </si>
  <si>
    <t>TXN00721</t>
  </si>
  <si>
    <t>TXN00614</t>
  </si>
  <si>
    <t>TXN00522</t>
  </si>
  <si>
    <t>TXN00753</t>
  </si>
  <si>
    <t>TXN00119</t>
  </si>
  <si>
    <t>TXN00272</t>
  </si>
  <si>
    <t>TXN00642</t>
  </si>
  <si>
    <t>TXN00983</t>
  </si>
  <si>
    <t>TXN00289</t>
  </si>
  <si>
    <t>TXN00217</t>
  </si>
  <si>
    <t>TXN00133</t>
  </si>
  <si>
    <t>TXN00725</t>
  </si>
  <si>
    <t>TXN00755</t>
  </si>
  <si>
    <t>TXN00911</t>
  </si>
  <si>
    <t>TXN00782</t>
  </si>
  <si>
    <t>TXN00359</t>
  </si>
  <si>
    <t>TXN00411</t>
  </si>
  <si>
    <t>TXN00239</t>
  </si>
  <si>
    <t>TXN00006</t>
  </si>
  <si>
    <t>TXN00340</t>
  </si>
  <si>
    <t>TXN00303</t>
  </si>
  <si>
    <t>TXN00668</t>
  </si>
  <si>
    <t>TXN00584</t>
  </si>
  <si>
    <t>TXN00594</t>
  </si>
  <si>
    <t>TXN00728</t>
  </si>
  <si>
    <t>TXN00798</t>
  </si>
  <si>
    <t>TXN00514</t>
  </si>
  <si>
    <t>TXN00121</t>
  </si>
  <si>
    <t>TXN00350</t>
  </si>
  <si>
    <t>TXN00678</t>
  </si>
  <si>
    <t>TXN00067</t>
  </si>
  <si>
    <t>TXN00208</t>
  </si>
  <si>
    <t>TXN00309</t>
  </si>
  <si>
    <t>TXN00143</t>
  </si>
  <si>
    <t>TXN00039</t>
  </si>
  <si>
    <t>TXN00044</t>
  </si>
  <si>
    <t>TXN00834</t>
  </si>
  <si>
    <t>TXN00069</t>
  </si>
  <si>
    <t>TXN00613</t>
  </si>
  <si>
    <t>TXN00360</t>
  </si>
  <si>
    <t>TXN00107</t>
  </si>
  <si>
    <t>TXN00581</t>
  </si>
  <si>
    <t>TXN00648</t>
  </si>
  <si>
    <t>TXN00538</t>
  </si>
  <si>
    <t>TXN00111</t>
  </si>
  <si>
    <t>TXN00116</t>
  </si>
  <si>
    <t>TXN00225</t>
  </si>
  <si>
    <t>TXN00194</t>
  </si>
  <si>
    <t>TXN00588</t>
  </si>
  <si>
    <t>TXN00505</t>
  </si>
  <si>
    <t>TXN00345</t>
  </si>
  <si>
    <t>TXN00735</t>
  </si>
  <si>
    <t>TXN00644</t>
  </si>
  <si>
    <t>TXN00930</t>
  </si>
  <si>
    <t>TXN00635</t>
  </si>
  <si>
    <t>TXN00046</t>
  </si>
  <si>
    <t>TXN00003</t>
  </si>
  <si>
    <t>TXN00524</t>
  </si>
  <si>
    <t>TXN00819</t>
  </si>
  <si>
    <t>TXN00442</t>
  </si>
  <si>
    <t>TXN00413</t>
  </si>
  <si>
    <t>TXN00650</t>
  </si>
  <si>
    <t>TXN00560</t>
  </si>
  <si>
    <t>TXN00145</t>
  </si>
  <si>
    <t>TXN00849</t>
  </si>
  <si>
    <t>TXN00124</t>
  </si>
  <si>
    <t>TXN00835</t>
  </si>
  <si>
    <t>TXN00420</t>
  </si>
  <si>
    <t>TXN00752</t>
  </si>
  <si>
    <t>TXN00781</t>
  </si>
  <si>
    <t>TXN00489</t>
  </si>
  <si>
    <t>TXN00889</t>
  </si>
  <si>
    <t>TXN00717</t>
  </si>
  <si>
    <t>TXN00688</t>
  </si>
  <si>
    <t>TXN00559</t>
  </si>
  <si>
    <t>TXN00892</t>
  </si>
  <si>
    <t>TXN00273</t>
  </si>
  <si>
    <t>TXN00917</t>
  </si>
  <si>
    <t>TXN00068</t>
  </si>
  <si>
    <t>TXN00170</t>
  </si>
  <si>
    <t>TXN00077</t>
  </si>
  <si>
    <t>TXN00104</t>
  </si>
  <si>
    <t>TXN00007</t>
  </si>
  <si>
    <t>TXN00656</t>
  </si>
  <si>
    <t>TXN00808</t>
  </si>
  <si>
    <t>TXN00236</t>
  </si>
  <si>
    <t>TXN00763</t>
  </si>
  <si>
    <t>TXN00276</t>
  </si>
  <si>
    <t>TXN00802</t>
  </si>
  <si>
    <t>TXN00035</t>
  </si>
  <si>
    <t>TXN00057</t>
  </si>
  <si>
    <t>TXN00051</t>
  </si>
  <si>
    <t>TXN00820</t>
  </si>
  <si>
    <t>TXN00247</t>
  </si>
  <si>
    <t>TXN00238</t>
  </si>
  <si>
    <t>TXN00268</t>
  </si>
  <si>
    <t>TXN00532</t>
  </si>
  <si>
    <t>TXN00952</t>
  </si>
  <si>
    <t>TXN00457</t>
  </si>
  <si>
    <t>TXN00105</t>
  </si>
  <si>
    <t>TXN00013</t>
  </si>
  <si>
    <t>TXN00804</t>
  </si>
  <si>
    <t>TXN00127</t>
  </si>
  <si>
    <t>TXN00157</t>
  </si>
  <si>
    <t>TXN00024</t>
  </si>
  <si>
    <t>TXN00172</t>
  </si>
  <si>
    <t>TXN00090</t>
  </si>
  <si>
    <t>TXN00002</t>
  </si>
  <si>
    <t>TXN00809</t>
  </si>
  <si>
    <t>TXN00760</t>
  </si>
  <si>
    <t>TXN00893</t>
  </si>
  <si>
    <t>TXN00322</t>
  </si>
  <si>
    <t>TXN00185</t>
  </si>
  <si>
    <t>TXN00796</t>
  </si>
  <si>
    <t>TXN00683</t>
  </si>
  <si>
    <t>TXN00019</t>
  </si>
  <si>
    <t>TXN00906</t>
  </si>
  <si>
    <t>TXN00460</t>
  </si>
  <si>
    <t>TXN00243</t>
  </si>
  <si>
    <t>TXN00967</t>
  </si>
  <si>
    <t>TXN00216</t>
  </si>
  <si>
    <t>TXN00103</t>
  </si>
  <si>
    <t>TXN00607</t>
  </si>
  <si>
    <t>TXN00582</t>
  </si>
  <si>
    <t>TXN00052</t>
  </si>
  <si>
    <t>TXN00507</t>
  </si>
  <si>
    <t>TXN00191</t>
  </si>
  <si>
    <t>TXN00083</t>
  </si>
  <si>
    <t>TXN00223</t>
  </si>
  <si>
    <t>TXN00695</t>
  </si>
  <si>
    <t>TXN00596</t>
  </si>
  <si>
    <t>TXN00219</t>
  </si>
  <si>
    <t>TXN00270</t>
  </si>
  <si>
    <t>TXN00777</t>
  </si>
  <si>
    <t>TXN00730</t>
  </si>
  <si>
    <t>TXN00710</t>
  </si>
  <si>
    <t>TXN00081</t>
  </si>
  <si>
    <t>TXN00056</t>
  </si>
  <si>
    <t>TXN00444</t>
  </si>
  <si>
    <t>TXN00736</t>
  </si>
  <si>
    <t>TXN00592</t>
  </si>
  <si>
    <t>TXN00323</t>
  </si>
  <si>
    <t>TXN00517</t>
  </si>
  <si>
    <t>TXN00109</t>
  </si>
  <si>
    <t>TXN00877</t>
  </si>
  <si>
    <t>TXN00479</t>
  </si>
  <si>
    <t>TXN00954</t>
  </si>
  <si>
    <t>TXN00120</t>
  </si>
  <si>
    <t>TXN00528</t>
  </si>
  <si>
    <t>TXN00697</t>
  </si>
  <si>
    <t>TXN00885</t>
  </si>
  <si>
    <t>TXN00521</t>
  </si>
  <si>
    <t>TXN00286</t>
  </si>
  <si>
    <t>TXN00988</t>
  </si>
  <si>
    <t>TXN00131</t>
  </si>
  <si>
    <t>TXN00916</t>
  </si>
  <si>
    <t>TXN00177</t>
  </si>
  <si>
    <t>TXN00913</t>
  </si>
  <si>
    <t>TXN00586</t>
  </si>
  <si>
    <t>TXN00994</t>
  </si>
  <si>
    <t>TXN00432</t>
  </si>
  <si>
    <t>TXN00897</t>
  </si>
  <si>
    <t>TXN00231</t>
  </si>
  <si>
    <t>TXN00001</t>
  </si>
  <si>
    <t>TXN00711</t>
  </si>
  <si>
    <t>TXN00476</t>
  </si>
  <si>
    <t>TXN00341</t>
  </si>
  <si>
    <t>TXN00018</t>
  </si>
  <si>
    <t>TXN00640</t>
  </si>
  <si>
    <t>TXN00050</t>
  </si>
  <si>
    <t>TXN00206</t>
  </si>
  <si>
    <t>TXN00176</t>
  </si>
  <si>
    <t>TXN00174</t>
  </si>
  <si>
    <t>TXN00086</t>
  </si>
  <si>
    <t>TXN00138</t>
  </si>
  <si>
    <t>TXN00454</t>
  </si>
  <si>
    <t>TXN00515</t>
  </si>
  <si>
    <t>TXN00944</t>
  </si>
  <si>
    <t>TXN00948</t>
  </si>
  <si>
    <t>TXN00552</t>
  </si>
  <si>
    <t>TXN00418</t>
  </si>
  <si>
    <t>TXN00527</t>
  </si>
  <si>
    <t>TXN00261</t>
  </si>
  <si>
    <t>TXN00570</t>
  </si>
  <si>
    <t>TXN00425</t>
  </si>
  <si>
    <t>TXN00477</t>
  </si>
  <si>
    <t>TXN00701</t>
  </si>
  <si>
    <t>TXN00279</t>
  </si>
  <si>
    <t>TXN00260</t>
  </si>
  <si>
    <t>TXN00175</t>
  </si>
  <si>
    <t>TXN00464</t>
  </si>
  <si>
    <t>TXN00141</t>
  </si>
  <si>
    <t>TXN00363</t>
  </si>
  <si>
    <t>TXN00956</t>
  </si>
  <si>
    <t>TXN00443</t>
  </si>
  <si>
    <t>TXN00768</t>
  </si>
  <si>
    <t>TXN00061</t>
  </si>
  <si>
    <t>TXN00500</t>
  </si>
  <si>
    <t>TXN00573</t>
  </si>
  <si>
    <t>TXN00129</t>
  </si>
  <si>
    <t>TXN00302</t>
  </si>
  <si>
    <t>TXN00150</t>
  </si>
  <si>
    <t>TXN00147</t>
  </si>
  <si>
    <t>TXN00783</t>
  </si>
  <si>
    <t>TXN00433</t>
  </si>
  <si>
    <t>TXN00212</t>
  </si>
  <si>
    <t>TXN00189</t>
  </si>
  <si>
    <t>TXN00079</t>
  </si>
  <si>
    <t>TXN00878</t>
  </si>
  <si>
    <t>TXN00910</t>
  </si>
  <si>
    <t>TXN00054</t>
  </si>
  <si>
    <t>TXN00040</t>
  </si>
  <si>
    <t>TXN00832</t>
  </si>
  <si>
    <t>TXN00203</t>
  </si>
  <si>
    <t>TXN00969</t>
  </si>
  <si>
    <t>TXN00551</t>
  </si>
  <si>
    <t>TXN00492</t>
  </si>
  <si>
    <t>TXN00106</t>
  </si>
  <si>
    <t>TXN00214</t>
  </si>
  <si>
    <t>TXN00904</t>
  </si>
  <si>
    <t>TXN00186</t>
  </si>
  <si>
    <t>TXN00140</t>
  </si>
  <si>
    <t>TXN00955</t>
  </si>
  <si>
    <t>TXN00510</t>
  </si>
  <si>
    <t>TXN00968</t>
  </si>
  <si>
    <t>TXN00659</t>
  </si>
  <si>
    <t>TXN00136</t>
  </si>
  <si>
    <t>TXN00579</t>
  </si>
  <si>
    <t>TXN00137</t>
  </si>
  <si>
    <t>TXN00557</t>
  </si>
  <si>
    <t>TXN00356</t>
  </si>
  <si>
    <t>TXN00993</t>
  </si>
  <si>
    <t>TXN00311</t>
  </si>
  <si>
    <t>TXN00591</t>
  </si>
  <si>
    <t>TXN00769</t>
  </si>
  <si>
    <t>TXN00836</t>
  </si>
  <si>
    <t>TXN00166</t>
  </si>
  <si>
    <t>TXN00249</t>
  </si>
  <si>
    <t>TXN00571</t>
  </si>
  <si>
    <t>TXN00016</t>
  </si>
  <si>
    <t>TXN00589</t>
  </si>
  <si>
    <t>TXN00125</t>
  </si>
  <si>
    <t>TXN00439</t>
  </si>
  <si>
    <t>TXN00817</t>
  </si>
  <si>
    <t>TXN00666</t>
  </si>
  <si>
    <t>TXN00799</t>
  </si>
  <si>
    <t>TXN00882</t>
  </si>
  <si>
    <t>TXN00490</t>
  </si>
  <si>
    <t>TXN00151</t>
  </si>
  <si>
    <t>TXN00529</t>
  </si>
  <si>
    <t>TXN00927</t>
  </si>
  <si>
    <t>TXN00462</t>
  </si>
  <si>
    <t>TXN00723</t>
  </si>
  <si>
    <t>TXN00371</t>
  </si>
  <si>
    <t>TXN00816</t>
  </si>
  <si>
    <t>TXN00142</t>
  </si>
  <si>
    <t>TXN00691</t>
  </si>
  <si>
    <t>TXN00957</t>
  </si>
  <si>
    <t>TXN00190</t>
  </si>
  <si>
    <t>TXN00705</t>
  </si>
  <si>
    <t>TXN00541</t>
  </si>
  <si>
    <t>TXN00669</t>
  </si>
  <si>
    <t>TXN00198</t>
  </si>
  <si>
    <t>TXN00055</t>
  </si>
  <si>
    <t>TXN00078</t>
  </si>
  <si>
    <t>TXN00749</t>
  </si>
  <si>
    <t>TXN00092</t>
  </si>
  <si>
    <t>TXN00984</t>
  </si>
  <si>
    <t>TXN00866</t>
  </si>
  <si>
    <t>TXN00587</t>
  </si>
  <si>
    <t>TXN00009</t>
  </si>
  <si>
    <t>TXN00254</t>
  </si>
  <si>
    <t>TXN00354</t>
  </si>
  <si>
    <t>TXN00815</t>
  </si>
  <si>
    <t>TXN00814</t>
  </si>
  <si>
    <t>TXN00251</t>
  </si>
  <si>
    <t>TXN00099</t>
  </si>
  <si>
    <t>TXN00935</t>
  </si>
  <si>
    <t>TXN00772</t>
  </si>
  <si>
    <t>TXN00301</t>
  </si>
  <si>
    <t>TXN00709</t>
  </si>
  <si>
    <t>TXN00246</t>
  </si>
  <si>
    <t>TXN00422</t>
  </si>
  <si>
    <t>TXN00718</t>
  </si>
  <si>
    <t>TXN00858</t>
  </si>
  <si>
    <t>TXN00310</t>
  </si>
  <si>
    <t>TXN00995</t>
  </si>
  <si>
    <t>TXN00830</t>
  </si>
  <si>
    <t>TXN00509</t>
  </si>
  <si>
    <t>n/n</t>
  </si>
  <si>
    <t>Success Transactions</t>
  </si>
  <si>
    <t>Overall Transactions</t>
  </si>
  <si>
    <t>Task 1 — Conversion Rate by PSP Provider</t>
  </si>
  <si>
    <t>Task 2 — Revenue &amp; Fee Analysis by Provider</t>
  </si>
  <si>
    <t>Task 3 — Performance by GEO</t>
  </si>
  <si>
    <t>Success Rate (%)</t>
  </si>
  <si>
    <t>Task 4 — Decline Reason Analysis</t>
  </si>
  <si>
    <t>Count</t>
  </si>
  <si>
    <t>Percentage of Total</t>
  </si>
  <si>
    <t>TOP GEO</t>
  </si>
  <si>
    <t>Best Provider</t>
  </si>
  <si>
    <t>Task 5 — Best PSP Provider per GEO</t>
  </si>
  <si>
    <t>Best PSP Provider per GEO</t>
  </si>
  <si>
    <t>May</t>
  </si>
  <si>
    <t>Transactions</t>
  </si>
  <si>
    <t>Month</t>
  </si>
  <si>
    <t>Provider</t>
  </si>
  <si>
    <t>Net Revenue</t>
  </si>
  <si>
    <t>📊</t>
  </si>
  <si>
    <t>PSP Transaction Dashboard  ·  2024</t>
  </si>
  <si>
    <t>TOTAL TRANSACTIONS</t>
  </si>
  <si>
    <t>SUCCESS RATE</t>
  </si>
  <si>
    <t>TOTAL NET REVENUE</t>
  </si>
  <si>
    <t>AVG TRANSACTION</t>
  </si>
  <si>
    <t>across all providers</t>
  </si>
  <si>
    <t>554 of 1,000 successful</t>
  </si>
  <si>
    <t>after fees deducted</t>
  </si>
  <si>
    <t>per transaction (net)</t>
  </si>
  <si>
    <t>Transaction Status Breakdown</t>
  </si>
  <si>
    <t>Decline Reason Analysis</t>
  </si>
  <si>
    <t>% of Total</t>
  </si>
  <si>
    <t>Bar</t>
  </si>
  <si>
    <t>✓  Success</t>
  </si>
  <si>
    <t>⏳ Pending</t>
  </si>
  <si>
    <t>✗  Failed</t>
  </si>
  <si>
    <t>% of Declines</t>
  </si>
  <si>
    <t>Severity</t>
  </si>
  <si>
    <t>🔴 High</t>
  </si>
  <si>
    <t>🟠 Medium</t>
  </si>
  <si>
    <t>🟡 Low</t>
  </si>
  <si>
    <t>PSP Provider Performance</t>
  </si>
  <si>
    <t>Success Rate</t>
  </si>
  <si>
    <t>Fees Paid</t>
  </si>
  <si>
    <t>Avg Txn Value</t>
  </si>
  <si>
    <t>TOTAL</t>
  </si>
  <si>
    <t>Monthly Transaction Volume &amp; Revenue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</si>
  <si>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</si>
  <si>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</si>
  <si>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</si>
  <si>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</si>
  <si>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</si>
  <si>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</si>
  <si>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</si>
  <si>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</si>
  <si>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</si>
  <si>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</si>
  <si>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</si>
  <si>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AVG SUCCESSFUL TRANSACTION</t>
  </si>
  <si>
    <t>per successful transaction (net)</t>
  </si>
  <si>
    <t>Avg Succesful Txn Value</t>
  </si>
  <si>
    <t>GEO Transaction Volume &amp; Revenue</t>
  </si>
  <si>
    <t>Top 3 GEO</t>
  </si>
  <si>
    <t>Successful Transaction Rate Per Provider Per GEO</t>
  </si>
  <si>
    <t>Successful Transaction Rate Per Provider by GEO (TOP 3)</t>
  </si>
  <si>
    <t>Best PSP Provider</t>
  </si>
  <si>
    <t>Exchange Rate to EUR</t>
  </si>
  <si>
    <r>
      <t>Net Amount (</t>
    </r>
    <r>
      <rPr>
        <b/>
        <sz val="11"/>
        <color theme="1"/>
        <rFont val="Aptos Narrow"/>
        <family val="2"/>
      </rPr>
      <t>€)</t>
    </r>
  </si>
  <si>
    <t>Fee Amount (€)</t>
  </si>
  <si>
    <t>Average Transaction Amount (€)</t>
  </si>
  <si>
    <t>Success Average Transaction Amount (€)</t>
  </si>
  <si>
    <t>Fee Amount EUR</t>
  </si>
  <si>
    <t>Net Amount EUR</t>
  </si>
  <si>
    <t>Gross Amount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</si>
</sst>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€-2]\ #,##0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22"/>
      <color rgb="FF1B2A4A"/>
      <name val="Calibri"/>
      <family val="2"/>
      <scheme val="minor"/>
    </font>
    <font>
      <b/>
      <sz val="22"/>
      <color rgb="FF2E86AB"/>
      <name val="Calibri"/>
      <family val="2"/>
      <scheme val="minor"/>
    </font>
    <font>
      <b/>
      <sz val="22"/>
      <color rgb="FF10B981"/>
      <name val="Calibri"/>
      <family val="2"/>
      <scheme val="minor"/>
    </font>
    <font>
      <b/>
      <sz val="22"/>
      <color rgb="FF8B5CF6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13"/>
      <color rgb="FF1B2A4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66534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10"/>
      <color rgb="FF92400E"/>
      <name val="Calibri"/>
      <family val="2"/>
      <scheme val="minor"/>
    </font>
    <font>
      <b/>
      <sz val="10"/>
      <color rgb="FF92400E"/>
      <name val="Calibri"/>
      <family val="2"/>
      <scheme val="minor"/>
    </font>
    <font>
      <sz val="10"/>
      <color rgb="FF991B1B"/>
      <name val="Calibri"/>
      <family val="2"/>
      <scheme val="minor"/>
    </font>
    <font>
      <b/>
      <sz val="10"/>
      <color rgb="FF991B1B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9"/>
      <color rgb="FF22C55E"/>
      <name val="Calibri"/>
      <family val="2"/>
      <scheme val="minor"/>
    </font>
    <font>
      <sz val="9"/>
      <color rgb="FFF59E0B"/>
      <name val="Calibri"/>
      <family val="2"/>
      <scheme val="minor"/>
    </font>
    <font>
      <sz val="9"/>
      <color rgb="FFEF4444"/>
      <name val="Calibri"/>
      <family val="2"/>
      <scheme val="minor"/>
    </font>
    <font>
      <b/>
      <sz val="22"/>
      <color rgb="FFD75A0D"/>
      <name val="Calibri"/>
      <family val="2"/>
      <scheme val="minor"/>
    </font>
    <font>
      <b/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9FAFB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ck">
        <color rgb="FF1B2A4A"/>
      </top>
      <bottom/>
      <diagonal/>
    </border>
    <border>
      <left style="thin">
        <color rgb="FFE5E7EB"/>
      </left>
      <right style="thin">
        <color rgb="FFE5E7EB"/>
      </right>
      <top style="thick">
        <color rgb="FF2E86AB"/>
      </top>
      <bottom/>
      <diagonal/>
    </border>
    <border>
      <left style="thin">
        <color rgb="FFE5E7EB"/>
      </left>
      <right style="thin">
        <color rgb="FFE5E7EB"/>
      </right>
      <top style="thick">
        <color rgb="FF10B981"/>
      </top>
      <bottom/>
      <diagonal/>
    </border>
    <border>
      <left style="thin">
        <color rgb="FFE5E7EB"/>
      </left>
      <right style="thin">
        <color rgb="FFE5E7EB"/>
      </right>
      <top style="thick">
        <color rgb="FF8B5CF6"/>
      </top>
      <bottom/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E5E7E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E5E7EB"/>
      </bottom>
      <diagonal/>
    </border>
    <border>
      <left style="thin">
        <color rgb="FFD1D5DB"/>
      </left>
      <right/>
      <top style="thin">
        <color rgb="FFE5E7EB"/>
      </top>
      <bottom style="thin">
        <color rgb="FFE5E7EB"/>
      </bottom>
      <diagonal/>
    </border>
    <border>
      <left style="thin">
        <color rgb="FFD1D5DB"/>
      </left>
      <right/>
      <top style="thin">
        <color rgb="FFE5E7E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E5E7EB"/>
      </bottom>
      <diagonal/>
    </border>
    <border>
      <left/>
      <right style="thin">
        <color rgb="FFD1D5DB"/>
      </right>
      <top style="thin">
        <color rgb="FFE5E7EB"/>
      </top>
      <bottom style="thin">
        <color rgb="FFE5E7EB"/>
      </bottom>
      <diagonal/>
    </border>
    <border>
      <left/>
      <right style="thin">
        <color rgb="FFD1D5DB"/>
      </right>
      <top style="thin">
        <color rgb="FFE5E7E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/>
      <bottom/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ck">
        <color rgb="FF2E86AB"/>
      </left>
      <right/>
      <top/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ck">
        <color rgb="FFD75A0D"/>
      </top>
      <bottom/>
      <diagonal/>
    </border>
    <border>
      <left style="thin">
        <color rgb="FFD1D5DB"/>
      </left>
      <right/>
      <top/>
      <bottom style="thin">
        <color rgb="FFE5E7EB"/>
      </bottom>
      <diagonal/>
    </border>
    <border>
      <left/>
      <right style="thin">
        <color rgb="FFD1D5DB"/>
      </right>
      <top/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17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4" fontId="0" fillId="2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9" fontId="0" fillId="2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0" fillId="8" borderId="0" xfId="0" applyFill="1"/>
    <xf numFmtId="0" fontId="6" fillId="8" borderId="0" xfId="0" applyFont="1" applyFill="1" applyAlignment="1">
      <alignment horizontal="right"/>
    </xf>
    <xf numFmtId="0" fontId="7" fillId="8" borderId="0" xfId="0" applyFont="1" applyFill="1"/>
    <xf numFmtId="0" fontId="0" fillId="9" borderId="0" xfId="0" applyFill="1"/>
    <xf numFmtId="3" fontId="9" fillId="10" borderId="4" xfId="0" applyNumberFormat="1" applyFont="1" applyFill="1" applyBorder="1" applyAlignment="1">
      <alignment horizontal="center"/>
    </xf>
    <xf numFmtId="0" fontId="13" fillId="10" borderId="5" xfId="0" applyFont="1" applyFill="1" applyBorder="1" applyAlignment="1">
      <alignment horizontal="center"/>
    </xf>
    <xf numFmtId="164" fontId="10" fillId="10" borderId="4" xfId="0" applyNumberFormat="1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8" fillId="10" borderId="7" xfId="0" applyFont="1" applyFill="1" applyBorder="1" applyAlignment="1">
      <alignment horizontal="center"/>
    </xf>
    <xf numFmtId="0" fontId="8" fillId="10" borderId="8" xfId="0" applyFont="1" applyFill="1" applyBorder="1" applyAlignment="1">
      <alignment horizontal="center"/>
    </xf>
    <xf numFmtId="0" fontId="8" fillId="10" borderId="9" xfId="0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3" fontId="15" fillId="8" borderId="0" xfId="0" applyNumberFormat="1" applyFont="1" applyFill="1" applyAlignment="1">
      <alignment horizontal="center"/>
    </xf>
    <xf numFmtId="164" fontId="15" fillId="8" borderId="0" xfId="0" applyNumberFormat="1" applyFont="1" applyFill="1" applyAlignment="1">
      <alignment horizontal="center"/>
    </xf>
    <xf numFmtId="0" fontId="15" fillId="8" borderId="3" xfId="0" applyFont="1" applyFill="1" applyBorder="1" applyAlignment="1">
      <alignment horizontal="center"/>
    </xf>
    <xf numFmtId="3" fontId="22" fillId="10" borderId="2" xfId="0" applyNumberFormat="1" applyFont="1" applyFill="1" applyBorder="1" applyAlignment="1">
      <alignment horizontal="center"/>
    </xf>
    <xf numFmtId="3" fontId="22" fillId="14" borderId="2" xfId="0" applyNumberFormat="1" applyFont="1" applyFill="1" applyBorder="1" applyAlignment="1">
      <alignment horizontal="center"/>
    </xf>
    <xf numFmtId="164" fontId="22" fillId="10" borderId="2" xfId="0" applyNumberFormat="1" applyFont="1" applyFill="1" applyBorder="1" applyAlignment="1">
      <alignment horizontal="center"/>
    </xf>
    <xf numFmtId="164" fontId="22" fillId="14" borderId="2" xfId="0" applyNumberFormat="1" applyFont="1" applyFill="1" applyBorder="1" applyAlignment="1">
      <alignment horizontal="center"/>
    </xf>
    <xf numFmtId="3" fontId="16" fillId="11" borderId="2" xfId="0" applyNumberFormat="1" applyFont="1" applyFill="1" applyBorder="1" applyAlignment="1">
      <alignment horizontal="center"/>
    </xf>
    <xf numFmtId="164" fontId="16" fillId="11" borderId="2" xfId="0" applyNumberFormat="1" applyFont="1" applyFill="1" applyBorder="1" applyAlignment="1">
      <alignment horizontal="center"/>
    </xf>
    <xf numFmtId="3" fontId="18" fillId="12" borderId="2" xfId="0" applyNumberFormat="1" applyFont="1" applyFill="1" applyBorder="1" applyAlignment="1">
      <alignment horizontal="center"/>
    </xf>
    <xf numFmtId="164" fontId="18" fillId="12" borderId="2" xfId="0" applyNumberFormat="1" applyFont="1" applyFill="1" applyBorder="1" applyAlignment="1">
      <alignment horizontal="center"/>
    </xf>
    <xf numFmtId="0" fontId="15" fillId="8" borderId="11" xfId="0" applyFont="1" applyFill="1" applyBorder="1" applyAlignment="1">
      <alignment horizontal="center"/>
    </xf>
    <xf numFmtId="3" fontId="20" fillId="13" borderId="13" xfId="0" applyNumberFormat="1" applyFont="1" applyFill="1" applyBorder="1" applyAlignment="1">
      <alignment horizontal="center"/>
    </xf>
    <xf numFmtId="164" fontId="20" fillId="13" borderId="13" xfId="0" applyNumberFormat="1" applyFont="1" applyFill="1" applyBorder="1" applyAlignment="1">
      <alignment horizontal="center"/>
    </xf>
    <xf numFmtId="0" fontId="15" fillId="8" borderId="14" xfId="0" applyFont="1" applyFill="1" applyBorder="1" applyAlignment="1">
      <alignment horizontal="center"/>
    </xf>
    <xf numFmtId="0" fontId="17" fillId="11" borderId="15" xfId="0" applyFont="1" applyFill="1" applyBorder="1"/>
    <xf numFmtId="0" fontId="19" fillId="12" borderId="15" xfId="0" applyFont="1" applyFill="1" applyBorder="1"/>
    <xf numFmtId="0" fontId="21" fillId="13" borderId="16" xfId="0" applyFont="1" applyFill="1" applyBorder="1"/>
    <xf numFmtId="3" fontId="22" fillId="10" borderId="0" xfId="0" applyNumberFormat="1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3" fontId="22" fillId="14" borderId="0" xfId="0" applyNumberFormat="1" applyFont="1" applyFill="1" applyAlignment="1">
      <alignment horizontal="center"/>
    </xf>
    <xf numFmtId="164" fontId="22" fillId="14" borderId="0" xfId="0" applyNumberFormat="1" applyFont="1" applyFill="1" applyAlignment="1">
      <alignment horizontal="center"/>
    </xf>
    <xf numFmtId="0" fontId="15" fillId="8" borderId="10" xfId="0" applyFont="1" applyFill="1" applyBorder="1" applyAlignment="1">
      <alignment horizontal="center"/>
    </xf>
    <xf numFmtId="3" fontId="22" fillId="10" borderId="20" xfId="0" applyNumberFormat="1" applyFont="1" applyFill="1" applyBorder="1" applyAlignment="1">
      <alignment horizontal="center"/>
    </xf>
    <xf numFmtId="164" fontId="22" fillId="10" borderId="20" xfId="0" applyNumberFormat="1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22" fillId="10" borderId="22" xfId="0" applyFont="1" applyFill="1" applyBorder="1"/>
    <xf numFmtId="0" fontId="22" fillId="14" borderId="22" xfId="0" applyFont="1" applyFill="1" applyBorder="1"/>
    <xf numFmtId="0" fontId="22" fillId="10" borderId="23" xfId="0" applyFont="1" applyFill="1" applyBorder="1"/>
    <xf numFmtId="0" fontId="15" fillId="8" borderId="24" xfId="0" applyFont="1" applyFill="1" applyBorder="1" applyAlignment="1">
      <alignment horizontal="center"/>
    </xf>
    <xf numFmtId="0" fontId="21" fillId="13" borderId="25" xfId="0" applyFont="1" applyFill="1" applyBorder="1" applyAlignment="1">
      <alignment horizontal="center"/>
    </xf>
    <xf numFmtId="0" fontId="19" fillId="12" borderId="25" xfId="0" applyFont="1" applyFill="1" applyBorder="1" applyAlignment="1">
      <alignment horizontal="center"/>
    </xf>
    <xf numFmtId="0" fontId="17" fillId="11" borderId="25" xfId="0" applyFont="1" applyFill="1" applyBorder="1" applyAlignment="1">
      <alignment horizontal="center"/>
    </xf>
    <xf numFmtId="0" fontId="17" fillId="11" borderId="26" xfId="0" applyFont="1" applyFill="1" applyBorder="1" applyAlignment="1">
      <alignment horizontal="center"/>
    </xf>
    <xf numFmtId="0" fontId="23" fillId="10" borderId="15" xfId="0" applyFont="1" applyFill="1" applyBorder="1"/>
    <xf numFmtId="0" fontId="23" fillId="14" borderId="15" xfId="0" applyFont="1" applyFill="1" applyBorder="1"/>
    <xf numFmtId="0" fontId="23" fillId="10" borderId="16" xfId="0" applyFont="1" applyFill="1" applyBorder="1"/>
    <xf numFmtId="164" fontId="22" fillId="10" borderId="13" xfId="0" applyNumberFormat="1" applyFont="1" applyFill="1" applyBorder="1" applyAlignment="1">
      <alignment horizontal="center"/>
    </xf>
    <xf numFmtId="0" fontId="15" fillId="8" borderId="17" xfId="0" applyFont="1" applyFill="1" applyBorder="1" applyAlignment="1">
      <alignment horizontal="center"/>
    </xf>
    <xf numFmtId="3" fontId="22" fillId="14" borderId="13" xfId="0" applyNumberFormat="1" applyFont="1" applyFill="1" applyBorder="1" applyAlignment="1">
      <alignment horizontal="center"/>
    </xf>
    <xf numFmtId="0" fontId="22" fillId="10" borderId="15" xfId="0" applyFont="1" applyFill="1" applyBorder="1" applyAlignment="1">
      <alignment horizontal="center"/>
    </xf>
    <xf numFmtId="0" fontId="22" fillId="14" borderId="15" xfId="0" applyFont="1" applyFill="1" applyBorder="1" applyAlignment="1">
      <alignment horizontal="center"/>
    </xf>
    <xf numFmtId="0" fontId="22" fillId="14" borderId="16" xfId="0" applyFont="1" applyFill="1" applyBorder="1" applyAlignment="1">
      <alignment horizontal="center"/>
    </xf>
    <xf numFmtId="0" fontId="14" fillId="9" borderId="27" xfId="0" applyFont="1" applyFill="1" applyBorder="1"/>
    <xf numFmtId="0" fontId="26" fillId="9" borderId="0" xfId="0" applyFont="1" applyFill="1"/>
    <xf numFmtId="165" fontId="22" fillId="10" borderId="2" xfId="0" applyNumberFormat="1" applyFont="1" applyFill="1" applyBorder="1" applyAlignment="1">
      <alignment horizontal="center"/>
    </xf>
    <xf numFmtId="165" fontId="22" fillId="14" borderId="2" xfId="0" applyNumberFormat="1" applyFont="1" applyFill="1" applyBorder="1" applyAlignment="1">
      <alignment horizontal="center"/>
    </xf>
    <xf numFmtId="165" fontId="22" fillId="14" borderId="13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5" fontId="11" fillId="10" borderId="4" xfId="0" applyNumberFormat="1" applyFont="1" applyFill="1" applyBorder="1" applyAlignment="1">
      <alignment horizontal="center"/>
    </xf>
    <xf numFmtId="165" fontId="12" fillId="10" borderId="4" xfId="0" applyNumberFormat="1" applyFont="1" applyFill="1" applyBorder="1" applyAlignment="1">
      <alignment horizontal="center"/>
    </xf>
    <xf numFmtId="165" fontId="27" fillId="10" borderId="4" xfId="0" applyNumberFormat="1" applyFont="1" applyFill="1" applyBorder="1" applyAlignment="1">
      <alignment horizontal="center"/>
    </xf>
    <xf numFmtId="0" fontId="8" fillId="10" borderId="28" xfId="0" applyFont="1" applyFill="1" applyBorder="1" applyAlignment="1">
      <alignment horizontal="center"/>
    </xf>
    <xf numFmtId="4" fontId="0" fillId="2" borderId="0" xfId="0" applyNumberFormat="1" applyFill="1"/>
    <xf numFmtId="3" fontId="22" fillId="10" borderId="3" xfId="0" applyNumberFormat="1" applyFont="1" applyFill="1" applyBorder="1" applyAlignment="1">
      <alignment horizontal="center"/>
    </xf>
    <xf numFmtId="3" fontId="22" fillId="14" borderId="12" xfId="0" applyNumberFormat="1" applyFont="1" applyFill="1" applyBorder="1" applyAlignment="1">
      <alignment horizontal="center"/>
    </xf>
    <xf numFmtId="165" fontId="22" fillId="10" borderId="13" xfId="0" applyNumberFormat="1" applyFont="1" applyFill="1" applyBorder="1" applyAlignment="1">
      <alignment horizontal="center"/>
    </xf>
    <xf numFmtId="165" fontId="15" fillId="8" borderId="0" xfId="0" applyNumberFormat="1" applyFont="1" applyFill="1" applyAlignment="1">
      <alignment horizontal="center"/>
    </xf>
    <xf numFmtId="164" fontId="22" fillId="14" borderId="20" xfId="0" applyNumberFormat="1" applyFont="1" applyFill="1" applyBorder="1" applyAlignment="1">
      <alignment horizontal="center"/>
    </xf>
    <xf numFmtId="164" fontId="22" fillId="14" borderId="12" xfId="0" applyNumberFormat="1" applyFont="1" applyFill="1" applyBorder="1" applyAlignment="1">
      <alignment horizontal="center"/>
    </xf>
    <xf numFmtId="165" fontId="22" fillId="10" borderId="18" xfId="0" applyNumberFormat="1" applyFont="1" applyFill="1" applyBorder="1" applyAlignment="1">
      <alignment horizontal="center"/>
    </xf>
    <xf numFmtId="164" fontId="22" fillId="10" borderId="15" xfId="1" applyNumberFormat="1" applyFont="1" applyFill="1" applyBorder="1" applyAlignment="1">
      <alignment horizontal="center"/>
    </xf>
    <xf numFmtId="164" fontId="22" fillId="14" borderId="15" xfId="1" applyNumberFormat="1" applyFont="1" applyFill="1" applyBorder="1" applyAlignment="1">
      <alignment horizontal="center"/>
    </xf>
    <xf numFmtId="0" fontId="24" fillId="9" borderId="18" xfId="0" applyFont="1" applyFill="1" applyBorder="1"/>
    <xf numFmtId="0" fontId="25" fillId="9" borderId="18" xfId="0" applyFont="1" applyFill="1" applyBorder="1"/>
    <xf numFmtId="0" fontId="26" fillId="9" borderId="19" xfId="0" applyFont="1" applyFill="1" applyBorder="1"/>
    <xf numFmtId="164" fontId="22" fillId="10" borderId="18" xfId="0" applyNumberFormat="1" applyFont="1" applyFill="1" applyBorder="1" applyAlignment="1">
      <alignment horizontal="center"/>
    </xf>
    <xf numFmtId="164" fontId="22" fillId="14" borderId="18" xfId="0" applyNumberFormat="1" applyFont="1" applyFill="1" applyBorder="1" applyAlignment="1">
      <alignment horizontal="center"/>
    </xf>
    <xf numFmtId="164" fontId="22" fillId="14" borderId="19" xfId="0" applyNumberFormat="1" applyFont="1" applyFill="1" applyBorder="1" applyAlignment="1">
      <alignment horizontal="center"/>
    </xf>
    <xf numFmtId="0" fontId="15" fillId="8" borderId="30" xfId="0" applyFont="1" applyFill="1" applyBorder="1" applyAlignment="1">
      <alignment horizontal="center"/>
    </xf>
    <xf numFmtId="164" fontId="22" fillId="10" borderId="31" xfId="1" applyNumberFormat="1" applyFont="1" applyFill="1" applyBorder="1" applyAlignment="1">
      <alignment horizontal="center"/>
    </xf>
    <xf numFmtId="164" fontId="22" fillId="14" borderId="31" xfId="1" applyNumberFormat="1" applyFont="1" applyFill="1" applyBorder="1" applyAlignment="1">
      <alignment horizontal="center"/>
    </xf>
    <xf numFmtId="0" fontId="15" fillId="8" borderId="29" xfId="0" applyFont="1" applyFill="1" applyBorder="1"/>
    <xf numFmtId="0" fontId="15" fillId="8" borderId="32" xfId="0" applyFont="1" applyFill="1" applyBorder="1" applyAlignment="1">
      <alignment horizontal="center"/>
    </xf>
    <xf numFmtId="165" fontId="22" fillId="14" borderId="18" xfId="0" applyNumberFormat="1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15" fillId="8" borderId="29" xfId="0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15" fillId="8" borderId="2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3"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colors>
    <mruColors>
      <color rgb="FFF9FAFB"/>
      <color rgb="FFCC66FF"/>
      <color rgb="FFFFFF99"/>
      <color rgb="FFD75A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100" baseline="0">
                <a:solidFill>
                  <a:srgbClr val="1B2A4A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/>
                <a:ea typeface="Calibri"/>
                <a:cs typeface="Calibri"/>
              </a:defRPr>
            </a:pPr>
            <a:r>
              <a:rPr lang="en-US"/>
              <a:t>Success Rate by Provider (Top 3 GEOs)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100" baseline="0">
              <a:solidFill>
                <a:srgbClr val="1B2A4A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Dashboards!$H$43</c:f>
              <c:strCache>
                <c:ptCount val="1"/>
                <c:pt idx="0">
                  <c:v>NL</c:v>
                </c:pt>
              </c:strCache>
            </c:strRef>
          </c:tx>
          <c:spPr>
            <a:solidFill>
              <a:srgbClr val="0D9488"/>
            </a:solidFill>
            <a:ln>
              <a:solidFill>
                <a:srgbClr val="0D9488"/>
              </a:solidFill>
              <a:prstDash val="solid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Dashboards!$G$44:$G$48</c:f>
              <c:strCache>
                <c:ptCount val="5"/>
                <c:pt idx="0">
                  <c:v>Worldpay</c:v>
                </c:pt>
                <c:pt idx="1">
                  <c:v>Stripe</c:v>
                </c:pt>
                <c:pt idx="2">
                  <c:v>Checkout.com</c:v>
                </c:pt>
                <c:pt idx="3">
                  <c:v>PaySafe</c:v>
                </c:pt>
                <c:pt idx="4">
                  <c:v>Adyen</c:v>
                </c:pt>
              </c:strCache>
            </c:strRef>
          </c:cat>
          <c:val>
            <c:numRef>
              <c:f>Dashboards!$H$44:$H$48</c:f>
              <c:numCache>
                <c:formatCode>0.0%</c:formatCode>
                <c:ptCount val="5"/>
                <c:pt idx="0">
                  <c:v>0.44444444444444442</c:v>
                </c:pt>
                <c:pt idx="1">
                  <c:v>0.5357142857142857</c:v>
                </c:pt>
                <c:pt idx="2">
                  <c:v>0.54545454545454541</c:v>
                </c:pt>
                <c:pt idx="3">
                  <c:v>0.62962962962962965</c:v>
                </c:pt>
                <c:pt idx="4">
                  <c:v>0.63157894736842102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5-4A9C-89FD-98CD6478CEB9}"/>
            </c:ext>
          </c:extLst>
        </c:ser>
        <c:ser>
          <c:idx val="1"/>
          <c:order val="1"/>
          <c:tx>
            <c:strRef>
              <c:f>Dashboards!$I$43</c:f>
              <c:strCache>
                <c:ptCount val="1"/>
                <c:pt idx="0">
                  <c:v>GB</c:v>
                </c:pt>
              </c:strCache>
            </c:strRef>
          </c:tx>
          <c:spPr>
            <a:solidFill>
              <a:srgbClr val="F97316"/>
            </a:solidFill>
            <a:ln>
              <a:solidFill>
                <a:srgbClr val="F97316"/>
              </a:solidFill>
              <a:prstDash val="solid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Dashboards!$G$44:$G$48</c:f>
              <c:strCache>
                <c:ptCount val="5"/>
                <c:pt idx="0">
                  <c:v>Worldpay</c:v>
                </c:pt>
                <c:pt idx="1">
                  <c:v>Stripe</c:v>
                </c:pt>
                <c:pt idx="2">
                  <c:v>Checkout.com</c:v>
                </c:pt>
                <c:pt idx="3">
                  <c:v>PaySafe</c:v>
                </c:pt>
                <c:pt idx="4">
                  <c:v>Adyen</c:v>
                </c:pt>
              </c:strCache>
            </c:strRef>
          </c:cat>
          <c:val>
            <c:numRef>
              <c:f>Dashboards!$I$44:$I$48</c:f>
              <c:numCache>
                <c:formatCode>0.0%</c:formatCode>
                <c:ptCount val="5"/>
                <c:pt idx="0">
                  <c:v>0.5</c:v>
                </c:pt>
                <c:pt idx="1">
                  <c:v>0.47368421052631576</c:v>
                </c:pt>
                <c:pt idx="2">
                  <c:v>0.65384615384615385</c:v>
                </c:pt>
                <c:pt idx="3">
                  <c:v>0.43478260869565216</c:v>
                </c:pt>
                <c:pt idx="4">
                  <c:v>0.47368421052631576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5-4A9C-89FD-98CD6478CEB9}"/>
            </c:ext>
          </c:extLst>
        </c:ser>
        <c:ser>
          <c:idx val="2"/>
          <c:order val="2"/>
          <c:tx>
            <c:strRef>
              <c:f>Dashboards!$J$43</c:f>
              <c:strCache>
                <c:ptCount val="1"/>
                <c:pt idx="0">
                  <c:v>CY</c:v>
                </c:pt>
              </c:strCache>
            </c:strRef>
          </c:tx>
          <c:spPr>
            <a:solidFill>
              <a:srgbClr val="7C3AED"/>
            </a:solidFill>
            <a:ln>
              <a:solidFill>
                <a:srgbClr val="7C3AED"/>
              </a:solidFill>
              <a:prstDash val="solid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Dashboards!$G$44:$G$48</c:f>
              <c:strCache>
                <c:ptCount val="5"/>
                <c:pt idx="0">
                  <c:v>Worldpay</c:v>
                </c:pt>
                <c:pt idx="1">
                  <c:v>Stripe</c:v>
                </c:pt>
                <c:pt idx="2">
                  <c:v>Checkout.com</c:v>
                </c:pt>
                <c:pt idx="3">
                  <c:v>PaySafe</c:v>
                </c:pt>
                <c:pt idx="4">
                  <c:v>Adyen</c:v>
                </c:pt>
              </c:strCache>
            </c:strRef>
          </c:cat>
          <c:val>
            <c:numRef>
              <c:f>Dashboards!$J$44:$J$48</c:f>
              <c:numCache>
                <c:formatCode>0.0%</c:formatCode>
                <c:ptCount val="5"/>
                <c:pt idx="0">
                  <c:v>0.47058823529411764</c:v>
                </c:pt>
                <c:pt idx="1">
                  <c:v>0.57692307692307687</c:v>
                </c:pt>
                <c:pt idx="2">
                  <c:v>0.5714285714285714</c:v>
                </c:pt>
                <c:pt idx="3">
                  <c:v>0.7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5-4A9C-89FD-98CD6478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367685696"/>
        <c:axId val="367687136"/>
      </c:barChart>
      <c:catAx>
        <c:axId val="36768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E5E7EB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687136"/>
        <c:crosses val="autoZero"/>
        <c:auto val="1"/>
        <c:lblAlgn val="ctr"/>
        <c:lblOffset val="100"/>
        <c:noMultiLvlLbl val="0"/>
      </c:catAx>
      <c:valAx>
        <c:axId val="36768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3F4F6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solidFill>
              <a:srgbClr val="E5E7EB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7685696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6B728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5E7EB"/>
      </a:solidFill>
      <a:prstDash val="soli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baseline="0">
                <a:solidFill>
                  <a:srgbClr val="1B2A4A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Monthly Transaction Volume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baseline="0">
              <a:solidFill>
                <a:srgbClr val="1B2A4A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Dashboards!$C$26</c:f>
              <c:strCache>
                <c:ptCount val="1"/>
                <c:pt idx="0">
                  <c:v>Transactions</c:v>
                </c:pt>
              </c:strCache>
            </c:strRef>
          </c:tx>
          <c:spPr>
            <a:ln w="22225" cap="rnd">
              <a:solidFill>
                <a:srgbClr val="2E86AB"/>
              </a:solidFill>
              <a:prstDash val="solid"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2E86AB"/>
                </a:solidFill>
                <a:prstDash val="solid"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Dashboards!$B$27:$B$38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Dashboards!$C$27:$C$38</c:f>
              <c:numCache>
                <c:formatCode>#,##0</c:formatCode>
                <c:ptCount val="12"/>
                <c:pt idx="0">
                  <c:v>73</c:v>
                </c:pt>
                <c:pt idx="1">
                  <c:v>81</c:v>
                </c:pt>
                <c:pt idx="2">
                  <c:v>101</c:v>
                </c:pt>
                <c:pt idx="3">
                  <c:v>75</c:v>
                </c:pt>
                <c:pt idx="4">
                  <c:v>84</c:v>
                </c:pt>
                <c:pt idx="5">
                  <c:v>71</c:v>
                </c:pt>
                <c:pt idx="6">
                  <c:v>72</c:v>
                </c:pt>
                <c:pt idx="7">
                  <c:v>97</c:v>
                </c:pt>
                <c:pt idx="8">
                  <c:v>74</c:v>
                </c:pt>
                <c:pt idx="9">
                  <c:v>96</c:v>
                </c:pt>
                <c:pt idx="10">
                  <c:v>76</c:v>
                </c:pt>
                <c:pt idx="11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D4-498B-A5B8-42F2C3C09F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6905464"/>
        <c:axId val="1598863168"/>
      </c:lineChart>
      <c:catAx>
        <c:axId val="866905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E5E7EB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863168"/>
        <c:crosses val="autoZero"/>
        <c:auto val="1"/>
        <c:lblAlgn val="ctr"/>
        <c:lblOffset val="100"/>
        <c:noMultiLvlLbl val="0"/>
      </c:catAx>
      <c:valAx>
        <c:axId val="159886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3F4F6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E5E7EB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6905464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100" baseline="0">
                <a:solidFill>
                  <a:srgbClr val="1B2A4A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/>
                <a:ea typeface="Calibri"/>
                <a:cs typeface="Calibri"/>
              </a:defRPr>
            </a:pPr>
            <a:r>
              <a:rPr lang="en-US"/>
              <a:t>GEO Transaction Volume &amp; Revenue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100" baseline="0">
              <a:solidFill>
                <a:srgbClr val="1B2A4A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Dashboards!$C$42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2E86AB"/>
            </a:solidFill>
            <a:ln>
              <a:solidFill>
                <a:srgbClr val="2E86AB"/>
              </a:solidFill>
              <a:prstDash val="solid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Dashboards!$B$43:$B$52</c:f>
              <c:strCache>
                <c:ptCount val="10"/>
                <c:pt idx="0">
                  <c:v>NL</c:v>
                </c:pt>
                <c:pt idx="1">
                  <c:v>GB</c:v>
                </c:pt>
                <c:pt idx="2">
                  <c:v>CY</c:v>
                </c:pt>
                <c:pt idx="3">
                  <c:v>FR</c:v>
                </c:pt>
                <c:pt idx="4">
                  <c:v>SE</c:v>
                </c:pt>
                <c:pt idx="5">
                  <c:v>NO</c:v>
                </c:pt>
                <c:pt idx="6">
                  <c:v>PL</c:v>
                </c:pt>
                <c:pt idx="7">
                  <c:v>IT</c:v>
                </c:pt>
                <c:pt idx="8">
                  <c:v>DE</c:v>
                </c:pt>
                <c:pt idx="9">
                  <c:v>ES</c:v>
                </c:pt>
              </c:strCache>
            </c:strRef>
          </c:cat>
          <c:val>
            <c:numRef>
              <c:f>Dashboards!$C$43:$C$52</c:f>
              <c:numCache>
                <c:formatCode>#,##0</c:formatCode>
                <c:ptCount val="10"/>
                <c:pt idx="0">
                  <c:v>125</c:v>
                </c:pt>
                <c:pt idx="1">
                  <c:v>113</c:v>
                </c:pt>
                <c:pt idx="2">
                  <c:v>108</c:v>
                </c:pt>
                <c:pt idx="3">
                  <c:v>101</c:v>
                </c:pt>
                <c:pt idx="4">
                  <c:v>100</c:v>
                </c:pt>
                <c:pt idx="5">
                  <c:v>98</c:v>
                </c:pt>
                <c:pt idx="6">
                  <c:v>97</c:v>
                </c:pt>
                <c:pt idx="7">
                  <c:v>91</c:v>
                </c:pt>
                <c:pt idx="8">
                  <c:v>87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D-4AB3-96C8-EB31DDE4A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axId val="1598867992"/>
        <c:axId val="1598866552"/>
      </c:barChart>
      <c:lineChart>
        <c:grouping val="stacked"/>
        <c:varyColors val="0"/>
        <c:ser>
          <c:idx val="1"/>
          <c:order val="1"/>
          <c:tx>
            <c:strRef>
              <c:f>Dashboards!$D$42</c:f>
              <c:strCache>
                <c:ptCount val="1"/>
                <c:pt idx="0">
                  <c:v>Net Revenue</c:v>
                </c:pt>
              </c:strCache>
            </c:strRef>
          </c:tx>
          <c:spPr>
            <a:ln w="34925" cap="rnd">
              <a:solidFill>
                <a:srgbClr val="FFC000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FFC000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FC75-44D4-981D-212B83897C3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FFC000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C75-44D4-981D-212B83897C3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FFC000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C75-44D4-981D-212B83897C38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FFC000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C75-44D4-981D-212B83897C38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FFC000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C75-44D4-981D-212B83897C38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FFC000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C75-44D4-981D-212B83897C38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FFC000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C75-44D4-981D-212B83897C38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FFC000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C75-44D4-981D-212B83897C38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FFC000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C75-44D4-981D-212B83897C38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FFC000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C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C75-44D4-981D-212B83897C38}"/>
              </c:ext>
            </c:extLst>
          </c:dPt>
          <c:cat>
            <c:strRef>
              <c:f>Dashboards!$B$43:$B$52</c:f>
              <c:strCache>
                <c:ptCount val="10"/>
                <c:pt idx="0">
                  <c:v>NL</c:v>
                </c:pt>
                <c:pt idx="1">
                  <c:v>GB</c:v>
                </c:pt>
                <c:pt idx="2">
                  <c:v>CY</c:v>
                </c:pt>
                <c:pt idx="3">
                  <c:v>FR</c:v>
                </c:pt>
                <c:pt idx="4">
                  <c:v>SE</c:v>
                </c:pt>
                <c:pt idx="5">
                  <c:v>NO</c:v>
                </c:pt>
                <c:pt idx="6">
                  <c:v>PL</c:v>
                </c:pt>
                <c:pt idx="7">
                  <c:v>IT</c:v>
                </c:pt>
                <c:pt idx="8">
                  <c:v>DE</c:v>
                </c:pt>
                <c:pt idx="9">
                  <c:v>ES</c:v>
                </c:pt>
              </c:strCache>
            </c:strRef>
          </c:cat>
          <c:val>
            <c:numRef>
              <c:f>Dashboards!$D$43:$D$52</c:f>
              <c:numCache>
                <c:formatCode>[$€-2]\ #,##0</c:formatCode>
                <c:ptCount val="10"/>
                <c:pt idx="0">
                  <c:v>157032.23000000004</c:v>
                </c:pt>
                <c:pt idx="1">
                  <c:v>160337.73599999995</c:v>
                </c:pt>
                <c:pt idx="2">
                  <c:v>149085.69999999992</c:v>
                </c:pt>
                <c:pt idx="3">
                  <c:v>174641.67</c:v>
                </c:pt>
                <c:pt idx="4">
                  <c:v>9304.0666400000009</c:v>
                </c:pt>
                <c:pt idx="5">
                  <c:v>11387.154239999998</c:v>
                </c:pt>
                <c:pt idx="6">
                  <c:v>34899.107499999998</c:v>
                </c:pt>
                <c:pt idx="7">
                  <c:v>120668.87000000002</c:v>
                </c:pt>
                <c:pt idx="8">
                  <c:v>95077.999999999985</c:v>
                </c:pt>
                <c:pt idx="9">
                  <c:v>110471.49000000003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D-4AB3-96C8-EB31DDE4A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665584"/>
        <c:axId val="904663784"/>
      </c:lineChart>
      <c:catAx>
        <c:axId val="1598867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E5E7EB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866552"/>
        <c:crosses val="autoZero"/>
        <c:auto val="1"/>
        <c:lblAlgn val="ctr"/>
        <c:lblOffset val="100"/>
        <c:noMultiLvlLbl val="0"/>
      </c:catAx>
      <c:valAx>
        <c:axId val="159886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3F4F6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E5E7EB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8867992"/>
        <c:crosses val="autoZero"/>
        <c:crossBetween val="between"/>
      </c:valAx>
      <c:valAx>
        <c:axId val="904663784"/>
        <c:scaling>
          <c:orientation val="minMax"/>
        </c:scaling>
        <c:delete val="0"/>
        <c:axPos val="r"/>
        <c:numFmt formatCode="[$€-2]\ #,##0" sourceLinked="1"/>
        <c:majorTickMark val="out"/>
        <c:minorTickMark val="none"/>
        <c:tickLblPos val="nextTo"/>
        <c:spPr>
          <a:noFill/>
          <a:ln>
            <a:solidFill>
              <a:srgbClr val="10B981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10B981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665584"/>
        <c:crosses val="max"/>
        <c:crossBetween val="between"/>
      </c:valAx>
      <c:catAx>
        <c:axId val="904665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4663784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6B728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5E7EB"/>
      </a:solidFill>
      <a:prstDash val="soli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100" baseline="0">
                <a:solidFill>
                  <a:srgbClr val="1B2A4A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/>
                <a:ea typeface="Calibri"/>
                <a:cs typeface="Calibri"/>
              </a:defRPr>
            </a:pPr>
            <a:r>
              <a:rPr lang="en-US"/>
              <a:t>Net Revenue &amp; Fees by Provider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100" baseline="0">
              <a:solidFill>
                <a:srgbClr val="1B2A4A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Dashboards!$E$16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10B981"/>
            </a:solidFill>
            <a:ln>
              <a:solidFill>
                <a:srgbClr val="10B981"/>
              </a:solidFill>
              <a:prstDash val="solid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Dashboards!$B$17:$B$21</c:f>
              <c:strCache>
                <c:ptCount val="5"/>
                <c:pt idx="0">
                  <c:v>Checkout.com</c:v>
                </c:pt>
                <c:pt idx="1">
                  <c:v>PaySafe</c:v>
                </c:pt>
                <c:pt idx="2">
                  <c:v>Worldpay</c:v>
                </c:pt>
                <c:pt idx="3">
                  <c:v>Adyen</c:v>
                </c:pt>
                <c:pt idx="4">
                  <c:v>Stripe</c:v>
                </c:pt>
              </c:strCache>
            </c:strRef>
          </c:cat>
          <c:val>
            <c:numRef>
              <c:f>Dashboards!$E$17:$E$21</c:f>
              <c:numCache>
                <c:formatCode>[$€-2]\ #,##0</c:formatCode>
                <c:ptCount val="5"/>
                <c:pt idx="0">
                  <c:v>249008.98317999998</c:v>
                </c:pt>
                <c:pt idx="1">
                  <c:v>215469.05807999999</c:v>
                </c:pt>
                <c:pt idx="2">
                  <c:v>173179.52418000007</c:v>
                </c:pt>
                <c:pt idx="3">
                  <c:v>192887.60814000003</c:v>
                </c:pt>
                <c:pt idx="4">
                  <c:v>192360.85080000004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F-4641-B89D-13F8B30A2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593416"/>
        <c:axId val="1606595216"/>
      </c:barChart>
      <c:lineChart>
        <c:grouping val="stacked"/>
        <c:varyColors val="0"/>
        <c:ser>
          <c:idx val="3"/>
          <c:order val="1"/>
          <c:tx>
            <c:strRef>
              <c:f>Dashboards!$F$16</c:f>
              <c:strCache>
                <c:ptCount val="1"/>
                <c:pt idx="0">
                  <c:v>Fees Paid</c:v>
                </c:pt>
              </c:strCache>
            </c:strRef>
          </c:tx>
          <c:spPr>
            <a:ln w="34925" cap="rnd">
              <a:solidFill>
                <a:srgbClr val="EF4444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EF4444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EF4444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EF4444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FB-4064-8596-22D080C4A9F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EF4444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EF4444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3FB-4064-8596-22D080C4A9F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EF4444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EF4444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3FB-4064-8596-22D080C4A9F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EF4444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EF4444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C3FB-4064-8596-22D080C4A9F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EF4444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EF4444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3FB-4064-8596-22D080C4A9FC}"/>
              </c:ext>
            </c:extLst>
          </c:dPt>
          <c:cat>
            <c:strRef>
              <c:f>Dashboards!$B$17:$B$21</c:f>
              <c:strCache>
                <c:ptCount val="5"/>
                <c:pt idx="0">
                  <c:v>Checkout.com</c:v>
                </c:pt>
                <c:pt idx="1">
                  <c:v>PaySafe</c:v>
                </c:pt>
                <c:pt idx="2">
                  <c:v>Worldpay</c:v>
                </c:pt>
                <c:pt idx="3">
                  <c:v>Adyen</c:v>
                </c:pt>
                <c:pt idx="4">
                  <c:v>Stripe</c:v>
                </c:pt>
              </c:strCache>
            </c:strRef>
          </c:cat>
          <c:val>
            <c:numRef>
              <c:f>Dashboards!$F$17:$F$21</c:f>
              <c:numCache>
                <c:formatCode>[$€-2]\ #,##0</c:formatCode>
                <c:ptCount val="5"/>
                <c:pt idx="0">
                  <c:v>4822.7699800000028</c:v>
                </c:pt>
                <c:pt idx="1">
                  <c:v>7122.9515199999987</c:v>
                </c:pt>
                <c:pt idx="2">
                  <c:v>4440.4714200000026</c:v>
                </c:pt>
                <c:pt idx="3">
                  <c:v>4137.5568399999993</c:v>
                </c:pt>
                <c:pt idx="4">
                  <c:v>5745.036360000001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7F-4641-B89D-13F8B30A2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572448"/>
        <c:axId val="1210569208"/>
      </c:lineChart>
      <c:valAx>
        <c:axId val="16065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3F4F6"/>
              </a:solidFill>
              <a:prstDash val="solid"/>
              <a:round/>
            </a:ln>
            <a:effectLst/>
          </c:spPr>
        </c:majorGridlines>
        <c:numFmt formatCode="[$€-2]\ #,##0" sourceLinked="1"/>
        <c:majorTickMark val="out"/>
        <c:minorTickMark val="none"/>
        <c:tickLblPos val="nextTo"/>
        <c:spPr>
          <a:noFill/>
          <a:ln>
            <a:solidFill>
              <a:srgbClr val="E5E7EB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93416"/>
        <c:crosses val="autoZero"/>
        <c:crossBetween val="between"/>
      </c:valAx>
      <c:catAx>
        <c:axId val="1606593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rgbClr val="E5E7EB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595216"/>
        <c:crosses val="autoZero"/>
        <c:auto val="1"/>
        <c:lblAlgn val="ctr"/>
        <c:lblOffset val="100"/>
        <c:noMultiLvlLbl val="0"/>
      </c:catAx>
      <c:valAx>
        <c:axId val="1210569208"/>
        <c:scaling>
          <c:orientation val="minMax"/>
        </c:scaling>
        <c:delete val="0"/>
        <c:axPos val="r"/>
        <c:numFmt formatCode="[$€-2]\ #,##0" sourceLinked="1"/>
        <c:majorTickMark val="out"/>
        <c:minorTickMark val="none"/>
        <c:tickLblPos val="nextTo"/>
        <c:spPr>
          <a:noFill/>
          <a:ln>
            <a:solidFill>
              <a:srgbClr val="EF4444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EF4444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572448"/>
        <c:crosses val="max"/>
        <c:crossBetween val="between"/>
      </c:valAx>
      <c:catAx>
        <c:axId val="12105724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10569208"/>
        <c:crosses val="max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6B728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5E7EB"/>
      </a:solidFill>
      <a:prstDash val="soli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1B2A4A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Transaction Status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1B2A4A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Dashboards!$C$9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0B981"/>
            </a:solidFill>
            <a:ln>
              <a:noFill/>
              <a:prstDash val="solid"/>
            </a:ln>
          </c:spPr>
          <c:dPt>
            <c:idx val="0"/>
            <c:bubble3D val="0"/>
            <c:spPr>
              <a:solidFill>
                <a:srgbClr val="10B981"/>
              </a:solidFill>
              <a:ln>
                <a:noFill/>
                <a:prstDash val="solid"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51-48C8-8670-CC9E35BF105F}"/>
              </c:ext>
            </c:extLst>
          </c:dPt>
          <c:dPt>
            <c:idx val="1"/>
            <c:bubble3D val="0"/>
            <c:spPr>
              <a:solidFill>
                <a:srgbClr val="F59E0B"/>
              </a:solidFill>
              <a:ln>
                <a:noFill/>
                <a:prstDash val="solid"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51-48C8-8670-CC9E35BF105F}"/>
              </c:ext>
            </c:extLst>
          </c:dPt>
          <c:dPt>
            <c:idx val="2"/>
            <c:bubble3D val="0"/>
            <c:spPr>
              <a:solidFill>
                <a:srgbClr val="EF4444"/>
              </a:solidFill>
              <a:ln>
                <a:noFill/>
                <a:prstDash val="solid"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51-48C8-8670-CC9E35BF105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Dashboards!$B$10:$B$12</c:f>
              <c:strCache>
                <c:ptCount val="3"/>
                <c:pt idx="0">
                  <c:v>✓  Success</c:v>
                </c:pt>
                <c:pt idx="1">
                  <c:v>⏳ Pending</c:v>
                </c:pt>
                <c:pt idx="2">
                  <c:v>✗  Failed</c:v>
                </c:pt>
              </c:strCache>
            </c:strRef>
          </c:cat>
          <c:val>
            <c:numRef>
              <c:f>Dashboards!$C$10:$C$12</c:f>
              <c:numCache>
                <c:formatCode>#,##0</c:formatCode>
                <c:ptCount val="3"/>
                <c:pt idx="0">
                  <c:v>554</c:v>
                </c:pt>
                <c:pt idx="1">
                  <c:v>228</c:v>
                </c:pt>
                <c:pt idx="2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8-47C1-A2D7-B51626CE7E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6B728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1B2A4A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Decline Reasons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1B2A4A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Dashboards!$H$9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rgbClr val="EF444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3F-4D30-BC8E-64DEF5FF6E7A}"/>
              </c:ext>
            </c:extLst>
          </c:dPt>
          <c:dPt>
            <c:idx val="1"/>
            <c:bubble3D val="0"/>
            <c:spPr>
              <a:solidFill>
                <a:srgbClr val="8B5CF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3F-4D30-BC8E-64DEF5FF6E7A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3F-4D30-BC8E-64DEF5FF6E7A}"/>
              </c:ext>
            </c:extLst>
          </c:dPt>
          <c:dPt>
            <c:idx val="3"/>
            <c:bubble3D val="0"/>
            <c:spPr>
              <a:solidFill>
                <a:srgbClr val="10B98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3F-4D30-BC8E-64DEF5FF6E7A}"/>
              </c:ext>
            </c:extLst>
          </c:dPt>
          <c:dPt>
            <c:idx val="4"/>
            <c:bubble3D val="0"/>
            <c:spPr>
              <a:solidFill>
                <a:srgbClr val="2E86AB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83F-4D30-BC8E-64DEF5FF6E7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Dashboards!$G$10:$G$14</c:f>
              <c:strCache>
                <c:ptCount val="5"/>
                <c:pt idx="0">
                  <c:v>Fraud Suspected</c:v>
                </c:pt>
                <c:pt idx="1">
                  <c:v>Card Declined</c:v>
                </c:pt>
                <c:pt idx="2">
                  <c:v>Technical Error</c:v>
                </c:pt>
                <c:pt idx="3">
                  <c:v>Expired Card</c:v>
                </c:pt>
                <c:pt idx="4">
                  <c:v>Insufficient Funds</c:v>
                </c:pt>
              </c:strCache>
            </c:strRef>
          </c:cat>
          <c:val>
            <c:numRef>
              <c:f>Dashboards!$H$10:$H$14</c:f>
              <c:numCache>
                <c:formatCode>#,##0</c:formatCode>
                <c:ptCount val="5"/>
                <c:pt idx="0">
                  <c:v>51</c:v>
                </c:pt>
                <c:pt idx="1">
                  <c:v>49</c:v>
                </c:pt>
                <c:pt idx="2">
                  <c:v>44</c:v>
                </c:pt>
                <c:pt idx="3">
                  <c:v>41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0-4020-B427-C2668E5DABD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6B728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100" baseline="0">
                <a:solidFill>
                  <a:srgbClr val="1B2A4A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/>
                <a:ea typeface="Calibri"/>
                <a:cs typeface="Calibri"/>
              </a:defRPr>
            </a:pPr>
            <a:r>
              <a:rPr lang="en-US"/>
              <a:t>Transactions &amp; Success Rate by Provider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100" baseline="0">
              <a:solidFill>
                <a:srgbClr val="1B2A4A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Dashboards!$C$16</c:f>
              <c:strCache>
                <c:ptCount val="1"/>
                <c:pt idx="0">
                  <c:v>Transactions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rgbClr val="2E86AB"/>
              </a:solidFill>
              <a:prstDash val="solid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2E86AB"/>
              </a:solidFill>
              <a:ln>
                <a:solidFill>
                  <a:srgbClr val="2E86AB"/>
                </a:solidFill>
                <a:prstDash val="solid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E4B-49A9-82B2-57D0BD1B5262}"/>
              </c:ext>
            </c:extLst>
          </c:dPt>
          <c:dPt>
            <c:idx val="1"/>
            <c:invertIfNegative val="0"/>
            <c:bubble3D val="0"/>
            <c:spPr>
              <a:solidFill>
                <a:srgbClr val="2E86AB"/>
              </a:solidFill>
              <a:ln>
                <a:solidFill>
                  <a:srgbClr val="2E86AB"/>
                </a:solidFill>
                <a:prstDash val="solid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4B-49A9-82B2-57D0BD1B5262}"/>
              </c:ext>
            </c:extLst>
          </c:dPt>
          <c:dPt>
            <c:idx val="2"/>
            <c:invertIfNegative val="0"/>
            <c:bubble3D val="0"/>
            <c:spPr>
              <a:solidFill>
                <a:srgbClr val="2E86AB"/>
              </a:solidFill>
              <a:ln>
                <a:solidFill>
                  <a:srgbClr val="2E86AB"/>
                </a:solidFill>
                <a:prstDash val="solid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E4B-49A9-82B2-57D0BD1B5262}"/>
              </c:ext>
            </c:extLst>
          </c:dPt>
          <c:dPt>
            <c:idx val="3"/>
            <c:invertIfNegative val="0"/>
            <c:bubble3D val="0"/>
            <c:spPr>
              <a:solidFill>
                <a:srgbClr val="2E86AB"/>
              </a:solidFill>
              <a:ln>
                <a:solidFill>
                  <a:srgbClr val="2E86AB"/>
                </a:solidFill>
                <a:prstDash val="solid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4B-49A9-82B2-57D0BD1B5262}"/>
              </c:ext>
            </c:extLst>
          </c:dPt>
          <c:dPt>
            <c:idx val="4"/>
            <c:invertIfNegative val="0"/>
            <c:bubble3D val="0"/>
            <c:spPr>
              <a:solidFill>
                <a:srgbClr val="2E86AB"/>
              </a:solidFill>
              <a:ln>
                <a:solidFill>
                  <a:srgbClr val="2E86AB"/>
                </a:solidFill>
                <a:prstDash val="solid"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E4B-49A9-82B2-57D0BD1B5262}"/>
              </c:ext>
            </c:extLst>
          </c:dPt>
          <c:cat>
            <c:strRef>
              <c:f>Dashboards!$B$17:$B$21</c:f>
              <c:strCache>
                <c:ptCount val="5"/>
                <c:pt idx="0">
                  <c:v>Checkout.com</c:v>
                </c:pt>
                <c:pt idx="1">
                  <c:v>PaySafe</c:v>
                </c:pt>
                <c:pt idx="2">
                  <c:v>Worldpay</c:v>
                </c:pt>
                <c:pt idx="3">
                  <c:v>Adyen</c:v>
                </c:pt>
                <c:pt idx="4">
                  <c:v>Stripe</c:v>
                </c:pt>
              </c:strCache>
            </c:strRef>
          </c:cat>
          <c:val>
            <c:numRef>
              <c:f>Dashboards!$C$17:$C$21</c:f>
              <c:numCache>
                <c:formatCode>#,##0</c:formatCode>
                <c:ptCount val="5"/>
                <c:pt idx="0">
                  <c:v>221</c:v>
                </c:pt>
                <c:pt idx="1">
                  <c:v>210</c:v>
                </c:pt>
                <c:pt idx="2">
                  <c:v>194</c:v>
                </c:pt>
                <c:pt idx="3">
                  <c:v>189</c:v>
                </c:pt>
                <c:pt idx="4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2-4F68-8553-4DFE7BBC7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0267552"/>
        <c:axId val="1210265752"/>
      </c:barChart>
      <c:lineChart>
        <c:grouping val="stacked"/>
        <c:varyColors val="0"/>
        <c:ser>
          <c:idx val="1"/>
          <c:order val="1"/>
          <c:tx>
            <c:strRef>
              <c:f>Dashboards!$D$16</c:f>
              <c:strCache>
                <c:ptCount val="1"/>
                <c:pt idx="0">
                  <c:v>Success Rate</c:v>
                </c:pt>
              </c:strCache>
            </c:strRef>
          </c:tx>
          <c:spPr>
            <a:ln w="34925" cap="rnd">
              <a:solidFill>
                <a:srgbClr val="D75A0D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D75A0D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D75A0D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D75A0D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4B-49A9-82B2-57D0BD1B5262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D75A0D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D75A0D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E4B-49A9-82B2-57D0BD1B526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D75A0D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D75A0D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4B-49A9-82B2-57D0BD1B526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D75A0D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D75A0D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E4B-49A9-82B2-57D0BD1B526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FFFF"/>
                </a:solidFill>
                <a:ln w="9525">
                  <a:solidFill>
                    <a:srgbClr val="D75A0D"/>
                  </a:solidFill>
                  <a:prstDash val="solid"/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D75A0D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4B-49A9-82B2-57D0BD1B5262}"/>
              </c:ext>
            </c:extLst>
          </c:dPt>
          <c:cat>
            <c:strRef>
              <c:f>Dashboards!$B$17:$B$21</c:f>
              <c:strCache>
                <c:ptCount val="5"/>
                <c:pt idx="0">
                  <c:v>Checkout.com</c:v>
                </c:pt>
                <c:pt idx="1">
                  <c:v>PaySafe</c:v>
                </c:pt>
                <c:pt idx="2">
                  <c:v>Worldpay</c:v>
                </c:pt>
                <c:pt idx="3">
                  <c:v>Adyen</c:v>
                </c:pt>
                <c:pt idx="4">
                  <c:v>Stripe</c:v>
                </c:pt>
              </c:strCache>
            </c:strRef>
          </c:cat>
          <c:val>
            <c:numRef>
              <c:f>Dashboards!$D$17:$D$21</c:f>
              <c:numCache>
                <c:formatCode>0.0%</c:formatCode>
                <c:ptCount val="5"/>
                <c:pt idx="0">
                  <c:v>0.58823529411764708</c:v>
                </c:pt>
                <c:pt idx="1">
                  <c:v>0.5714285714285714</c:v>
                </c:pt>
                <c:pt idx="2">
                  <c:v>0.54123711340206182</c:v>
                </c:pt>
                <c:pt idx="3">
                  <c:v>0.51851851851851849</c:v>
                </c:pt>
                <c:pt idx="4">
                  <c:v>0.543010752688172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D2-4F68-8553-4DFE7BBC7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641304"/>
        <c:axId val="1254639864"/>
      </c:lineChart>
      <c:catAx>
        <c:axId val="121026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E5E7EB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265752"/>
        <c:crosses val="autoZero"/>
        <c:auto val="1"/>
        <c:lblAlgn val="ctr"/>
        <c:lblOffset val="100"/>
        <c:noMultiLvlLbl val="0"/>
      </c:catAx>
      <c:valAx>
        <c:axId val="121026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3F4F6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rgbClr val="E5E7EB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B72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267552"/>
        <c:crosses val="autoZero"/>
        <c:crossBetween val="between"/>
      </c:valAx>
      <c:valAx>
        <c:axId val="1254639864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solidFill>
              <a:srgbClr val="D75A0D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D75A0D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641304"/>
        <c:crosses val="max"/>
        <c:crossBetween val="between"/>
      </c:valAx>
      <c:catAx>
        <c:axId val="1254641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4639864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rgbClr val="6B728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>
      <a:solidFill>
        <a:srgbClr val="E5E7EB"/>
      </a:solidFill>
      <a:prstDash val="soli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752475</xdr:colOff>
      <xdr:row>3</xdr:row>
      <xdr:rowOff>66675</xdr:rowOff>
    </xdr:from>
    <xdr:to>
      <xdr:col>26</xdr:col>
      <xdr:colOff>412750</xdr:colOff>
      <xdr:row>52</xdr:row>
      <xdr:rowOff>155575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795C78E5-DD93-7B06-41B4-24FB0B48270F}"/>
            </a:ext>
          </a:extLst>
        </xdr:cNvPr>
        <xdr:cNvGrpSpPr/>
      </xdr:nvGrpSpPr>
      <xdr:grpSpPr>
        <a:xfrm>
          <a:off x="13150850" y="892175"/>
          <a:ext cx="12074525" cy="12217400"/>
          <a:chOff x="12944475" y="6991350"/>
          <a:chExt cx="12118975" cy="12204700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EECF100D-5013-7750-CBF2-D728E58DF4A5}"/>
              </a:ext>
            </a:extLst>
          </xdr:cNvPr>
          <xdr:cNvGraphicFramePr/>
        </xdr:nvGraphicFramePr>
        <xdr:xfrm>
          <a:off x="19094450" y="15830550"/>
          <a:ext cx="5969000" cy="3365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669FC009-430D-3D43-6BD6-8696C0BC5CEB}"/>
              </a:ext>
            </a:extLst>
          </xdr:cNvPr>
          <xdr:cNvGraphicFramePr/>
        </xdr:nvGraphicFramePr>
        <xdr:xfrm>
          <a:off x="12973049" y="12757150"/>
          <a:ext cx="12090400" cy="2921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3F7642E0-C04A-372D-5742-5DFA0DEBF9B1}"/>
              </a:ext>
            </a:extLst>
          </xdr:cNvPr>
          <xdr:cNvGraphicFramePr/>
        </xdr:nvGraphicFramePr>
        <xdr:xfrm>
          <a:off x="12973050" y="15830550"/>
          <a:ext cx="5969000" cy="3365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B3166467-998C-9AA3-EF5E-2F38F39BABAF}"/>
              </a:ext>
            </a:extLst>
          </xdr:cNvPr>
          <xdr:cNvGraphicFramePr/>
        </xdr:nvGraphicFramePr>
        <xdr:xfrm>
          <a:off x="19094450" y="9683749"/>
          <a:ext cx="5969000" cy="2921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1C80221C-5758-E402-A0D5-69E81177F276}"/>
              </a:ext>
            </a:extLst>
          </xdr:cNvPr>
          <xdr:cNvGraphicFramePr/>
        </xdr:nvGraphicFramePr>
        <xdr:xfrm>
          <a:off x="12944475" y="6991350"/>
          <a:ext cx="5969000" cy="25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6BB42E3A-DA41-EADE-D60D-E1119A213F6B}"/>
              </a:ext>
            </a:extLst>
          </xdr:cNvPr>
          <xdr:cNvGraphicFramePr/>
        </xdr:nvGraphicFramePr>
        <xdr:xfrm>
          <a:off x="19065875" y="6991350"/>
          <a:ext cx="5969000" cy="25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00A54282-6391-A694-8B34-E2A6CB4E9558}"/>
              </a:ext>
            </a:extLst>
          </xdr:cNvPr>
          <xdr:cNvGraphicFramePr/>
        </xdr:nvGraphicFramePr>
        <xdr:xfrm>
          <a:off x="12944475" y="9683749"/>
          <a:ext cx="5969000" cy="2921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FDC250-154F-48C5-B269-8374B098431E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 ID" tableColumnId="1"/>
      <queryTableField id="2" name="Date &amp; Time" tableColumnId="2"/>
      <queryTableField id="3" name="GEO" tableColumnId="3"/>
      <queryTableField id="4" name="Currency" tableColumnId="4"/>
      <queryTableField id="5" name="PSP Provider" tableColumnId="5"/>
      <queryTableField id="6" name="Payment Method" tableColumnId="6"/>
      <queryTableField id="7" name="Amount" tableColumnId="7"/>
      <queryTableField id="8" name="Status" tableColumnId="8"/>
      <queryTableField id="9" name="Decline Reason" tableColumnId="9"/>
      <queryTableField id="10" name="Fee %" tableColumnId="10"/>
      <queryTableField id="11" name="Fee Amount" tableColumnId="11"/>
      <queryTableField id="12" name="Net Amoun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0600A11-06E3-408C-94C8-30624F38E1FC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 ID" tableColumnId="1"/>
      <queryTableField id="2" name="Date &amp; Time" tableColumnId="2"/>
      <queryTableField id="3" name="GEO" tableColumnId="3"/>
      <queryTableField id="4" name="Currency" tableColumnId="4"/>
      <queryTableField id="5" name="PSP Provider" tableColumnId="5"/>
      <queryTableField id="6" name="Payment Method" tableColumnId="6"/>
      <queryTableField id="7" name="Amount" tableColumnId="7"/>
      <queryTableField id="8" name="Status" tableColumnId="8"/>
      <queryTableField id="9" name="Decline Reason" tableColumnId="9"/>
      <queryTableField id="10" name="Fee %" tableColumnId="10"/>
      <queryTableField id="11" name="Fee Amount" tableColumnId="11"/>
      <queryTableField id="12" name="Net Amount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26E9F19-C666-47F4-B707-9731863CF60D}" autoFormatId="16" applyNumberFormats="0" applyBorderFormats="0" applyFontFormats="0" applyPatternFormats="0" applyAlignmentFormats="0" applyWidthHeightFormats="0">
  <queryTableRefresh nextId="22">
    <queryTableFields count="13">
      <queryTableField id="1" name="Transaction ID" tableColumnId="1"/>
      <queryTableField id="2" name="Date &amp; Time" tableColumnId="2"/>
      <queryTableField id="3" name="GEO" tableColumnId="3"/>
      <queryTableField id="4" name="Currency" tableColumnId="4"/>
      <queryTableField id="5" name="PSP Provider" tableColumnId="5"/>
      <queryTableField id="7" name="Amount" tableColumnId="7"/>
      <queryTableField id="8" name="Status" tableColumnId="8"/>
      <queryTableField id="9" name="Decline Reason" tableColumnId="9"/>
      <queryTableField id="10" name="Fee %" tableColumnId="10"/>
      <queryTableField id="13" name="Exchange Rate to EUR" tableColumnId="13"/>
      <queryTableField id="16" name="Fee Amount EUR" tableColumnId="11"/>
      <queryTableField id="17" name="Net Amount EUR" tableColumnId="12"/>
      <queryTableField id="20" name="Gross Amount EU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A4884-FAE2-4817-AA76-C5CBE7C70ADA}" name="Raw_Data__Jan_Jun" displayName="Raw_Data__Jan_Jun" ref="A1:L486" tableType="queryTable" totalsRowShown="0">
  <autoFilter ref="A1:L486" xr:uid="{51EA4884-FAE2-4817-AA76-C5CBE7C70ADA}"/>
  <tableColumns count="12">
    <tableColumn id="1" xr3:uid="{9FA32F5B-0766-4266-9589-907C277B2E6F}" uniqueName="1" name="Transaction ID" queryTableFieldId="1" dataDxfId="22"/>
    <tableColumn id="2" xr3:uid="{06F4361A-AD36-4921-AA25-670F2DF10310}" uniqueName="2" name="Date &amp; Time" queryTableFieldId="2" dataDxfId="21"/>
    <tableColumn id="3" xr3:uid="{F469809E-F4C5-4FE8-A8B1-5E353B0BF948}" uniqueName="3" name="GEO" queryTableFieldId="3" dataDxfId="20"/>
    <tableColumn id="4" xr3:uid="{E588E4A2-9FE5-4F83-BCBC-315D8A5D077A}" uniqueName="4" name="Currency" queryTableFieldId="4" dataDxfId="19"/>
    <tableColumn id="5" xr3:uid="{0BEA8E5E-F479-415B-A047-B7086A5FD1D1}" uniqueName="5" name="PSP Provider" queryTableFieldId="5" dataDxfId="18"/>
    <tableColumn id="6" xr3:uid="{06236AF1-32B1-4F9E-B002-AA62A9FECDF4}" uniqueName="6" name="Payment Method" queryTableFieldId="6" dataDxfId="17"/>
    <tableColumn id="7" xr3:uid="{8ACDBC12-28E2-418C-9F83-20DB34B3EDDB}" uniqueName="7" name="Amount" queryTableFieldId="7"/>
    <tableColumn id="8" xr3:uid="{CB7BE180-DB4F-4B7F-A569-4BC725559247}" uniqueName="8" name="Status" queryTableFieldId="8" dataDxfId="16"/>
    <tableColumn id="9" xr3:uid="{868CEC6D-23F0-4625-88E2-A94E13EE104C}" uniqueName="9" name="Decline Reason" queryTableFieldId="9" dataDxfId="15"/>
    <tableColumn id="10" xr3:uid="{E70756C6-04DA-4030-A99D-CD41B9B63176}" uniqueName="10" name="Fee %" queryTableFieldId="10"/>
    <tableColumn id="11" xr3:uid="{489726E5-56D3-4F8D-AD2E-A5A95B901186}" uniqueName="11" name="Fee Amount" queryTableFieldId="11"/>
    <tableColumn id="12" xr3:uid="{1A3B0E88-69C6-4C00-83C6-48A4C85E4F8F}" uniqueName="12" name="Net Amoun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E4AD63-CFEA-41DC-8F16-DCB54C7539AA}" name="Raw_Data__Jul_Dec" displayName="Raw_Data__Jul_Dec" ref="A1:L516" tableType="queryTable" totalsRowShown="0">
  <autoFilter ref="A1:L516" xr:uid="{93E4AD63-CFEA-41DC-8F16-DCB54C7539AA}"/>
  <tableColumns count="12">
    <tableColumn id="1" xr3:uid="{EB75A968-2C31-4EAE-9345-38360FD6D800}" uniqueName="1" name="Transaction ID" queryTableFieldId="1" dataDxfId="14"/>
    <tableColumn id="2" xr3:uid="{F59008C1-5B3B-4F52-99D1-DD54081020CE}" uniqueName="2" name="Date &amp; Time" queryTableFieldId="2" dataDxfId="13"/>
    <tableColumn id="3" xr3:uid="{AF2CA27C-F03A-442F-BC78-78B0A44DF832}" uniqueName="3" name="GEO" queryTableFieldId="3" dataDxfId="12"/>
    <tableColumn id="4" xr3:uid="{44C925ED-32B0-41DF-BC56-6E8CB1364DEC}" uniqueName="4" name="Currency" queryTableFieldId="4" dataDxfId="11"/>
    <tableColumn id="5" xr3:uid="{BC6461B9-3933-44B1-85AA-D67EF6A3DC3D}" uniqueName="5" name="PSP Provider" queryTableFieldId="5" dataDxfId="10"/>
    <tableColumn id="6" xr3:uid="{DED61571-C28E-499F-BCAB-FF885E9C1EE6}" uniqueName="6" name="Payment Method" queryTableFieldId="6" dataDxfId="9"/>
    <tableColumn id="7" xr3:uid="{D8A9375C-F45E-4BDF-A2B7-DFE11895CC70}" uniqueName="7" name="Amount" queryTableFieldId="7"/>
    <tableColumn id="8" xr3:uid="{5ACA8843-1797-4F38-8D40-E0CC23BB3DB4}" uniqueName="8" name="Status" queryTableFieldId="8" dataDxfId="8"/>
    <tableColumn id="9" xr3:uid="{758A5549-95BC-48A5-9393-B3D6A2F22266}" uniqueName="9" name="Decline Reason" queryTableFieldId="9" dataDxfId="7"/>
    <tableColumn id="10" xr3:uid="{EC1C9ECA-49EA-437F-B627-C702E3FACB4B}" uniqueName="10" name="Fee %" queryTableFieldId="10"/>
    <tableColumn id="11" xr3:uid="{5DB5BA99-CAC8-45FB-838B-96931310DA87}" uniqueName="11" name="Fee Amount" queryTableFieldId="11"/>
    <tableColumn id="12" xr3:uid="{776F2244-DB87-4C3B-A6AB-95EFE0A55A05}" uniqueName="12" name="Net Amount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F6CBD5-0DA3-4F1A-9B92-3A9EACDB3585}" name="Raw_Data_Combined" displayName="Raw_Data_Combined" ref="A1:M1001" tableType="queryTable" totalsRowShown="0">
  <autoFilter ref="A1:M1001" xr:uid="{46F6CBD5-0DA3-4F1A-9B92-3A9EACDB3585}"/>
  <tableColumns count="13">
    <tableColumn id="1" xr3:uid="{726B7CFD-208F-4640-8049-ACB90F1518C7}" uniqueName="1" name="Transaction ID" queryTableFieldId="1" dataDxfId="6"/>
    <tableColumn id="2" xr3:uid="{F7238E86-21B7-4410-82AF-A42B1C230101}" uniqueName="2" name="Date &amp; Time" queryTableFieldId="2" dataDxfId="5"/>
    <tableColumn id="3" xr3:uid="{B06EFA13-4609-4EB5-BCD2-745D73358B2B}" uniqueName="3" name="GEO" queryTableFieldId="3" dataDxfId="4"/>
    <tableColumn id="4" xr3:uid="{060AEB1B-06E5-416D-879B-6BE2D682ED20}" uniqueName="4" name="Currency" queryTableFieldId="4" dataDxfId="3"/>
    <tableColumn id="5" xr3:uid="{FD7DF5CB-984B-4074-B4CB-EBB1A19E20EE}" uniqueName="5" name="PSP Provider" queryTableFieldId="5" dataDxfId="2"/>
    <tableColumn id="7" xr3:uid="{77DCC69A-B0B4-4511-A39E-DB0756CF00C0}" uniqueName="7" name="Amount" queryTableFieldId="7"/>
    <tableColumn id="8" xr3:uid="{D68CACCE-A0C0-465D-A9D7-C32C312B452D}" uniqueName="8" name="Status" queryTableFieldId="8" dataDxfId="1"/>
    <tableColumn id="9" xr3:uid="{07F626F1-3870-4EA0-A546-FA0E4C5E5FF4}" uniqueName="9" name="Decline Reason" queryTableFieldId="9" dataDxfId="0"/>
    <tableColumn id="10" xr3:uid="{20A1E4A8-4C9D-4E47-96BE-CBE014C7F041}" uniqueName="10" name="Fee %" queryTableFieldId="10"/>
    <tableColumn id="13" xr3:uid="{8EFD5663-1946-4157-937D-F2A8549D241E}" uniqueName="13" name="Exchange Rate to EUR" queryTableFieldId="13"/>
    <tableColumn id="11" xr3:uid="{FAEC428C-4251-4344-B7AE-AC3B0CF355A3}" uniqueName="11" name="Fee Amount EUR" queryTableFieldId="16"/>
    <tableColumn id="12" xr3:uid="{BF25A180-BBDC-4CA0-B208-9F1FF788AB93}" uniqueName="12" name="Net Amount EUR" queryTableFieldId="17"/>
    <tableColumn id="6" xr3:uid="{5417F377-E796-4321-A577-E4B38E7089F6}" uniqueName="6" name="Gross Amount EUR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BE37F1-5A1D-44A6-BC9C-3C3DC5FF62B5}">
  <we:reference id="wa200009404" version="1.0.0.5" store="en-GB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0F82-E5BC-48C7-B076-C91BAC412E64}">
  <sheetPr>
    <tabColor theme="7" tint="0.39997558519241921"/>
  </sheetPr>
  <dimension ref="A1:L486"/>
  <sheetViews>
    <sheetView tabSelected="1" view="pageBreakPreview" zoomScale="60" zoomScaleNormal="100" workbookViewId="0">
      <selection activeCell="AJ21" sqref="AI21:AJ21"/>
    </sheetView>
  </sheetViews>
  <sheetFormatPr defaultRowHeight="15" x14ac:dyDescent="0.25"/>
  <cols>
    <col min="1" max="1" width="24" bestFit="1" customWidth="1"/>
    <col min="2" max="2" width="20.85546875" bestFit="1" customWidth="1"/>
    <col min="3" max="3" width="11.28515625" bestFit="1" customWidth="1"/>
    <col min="4" max="4" width="16.5703125" bestFit="1" customWidth="1"/>
    <col min="5" max="5" width="22.7109375" bestFit="1" customWidth="1"/>
    <col min="6" max="6" width="26.85546875" bestFit="1" customWidth="1"/>
    <col min="7" max="7" width="15.42578125" bestFit="1" customWidth="1"/>
    <col min="8" max="8" width="13.7109375" bestFit="1" customWidth="1"/>
    <col min="9" max="9" width="25.42578125" bestFit="1" customWidth="1"/>
    <col min="10" max="10" width="13" bestFit="1" customWidth="1"/>
    <col min="11" max="11" width="20.85546875" bestFit="1" customWidth="1"/>
    <col min="12" max="12" width="2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45292.913194444445</v>
      </c>
      <c r="C2" t="s">
        <v>13</v>
      </c>
      <c r="D2" t="s">
        <v>14</v>
      </c>
      <c r="E2" t="s">
        <v>15</v>
      </c>
      <c r="F2" t="s">
        <v>16</v>
      </c>
      <c r="G2">
        <v>280.48</v>
      </c>
      <c r="H2" t="s">
        <v>17</v>
      </c>
      <c r="J2">
        <v>2.5</v>
      </c>
      <c r="K2">
        <v>0</v>
      </c>
      <c r="L2">
        <v>0</v>
      </c>
    </row>
    <row r="3" spans="1:12" x14ac:dyDescent="0.25">
      <c r="A3" t="s">
        <v>18</v>
      </c>
      <c r="B3" s="1">
        <v>45294.355555555558</v>
      </c>
      <c r="C3" t="s">
        <v>19</v>
      </c>
      <c r="D3" t="s">
        <v>20</v>
      </c>
      <c r="E3" t="s">
        <v>15</v>
      </c>
      <c r="F3" t="s">
        <v>21</v>
      </c>
      <c r="G3">
        <v>4887.84</v>
      </c>
      <c r="H3" t="s">
        <v>22</v>
      </c>
      <c r="J3">
        <v>2.5</v>
      </c>
      <c r="K3">
        <v>122.2</v>
      </c>
      <c r="L3">
        <v>4765.6400000000003</v>
      </c>
    </row>
    <row r="4" spans="1:12" x14ac:dyDescent="0.25">
      <c r="A4" t="s">
        <v>23</v>
      </c>
      <c r="B4" s="1">
        <v>45294.427083333336</v>
      </c>
      <c r="C4" t="s">
        <v>24</v>
      </c>
      <c r="D4" t="s">
        <v>25</v>
      </c>
      <c r="E4" t="s">
        <v>15</v>
      </c>
      <c r="F4" t="s">
        <v>21</v>
      </c>
      <c r="G4">
        <v>4202.1499999999996</v>
      </c>
      <c r="H4" t="s">
        <v>22</v>
      </c>
      <c r="J4">
        <v>2.5</v>
      </c>
      <c r="K4">
        <v>105.05</v>
      </c>
      <c r="L4">
        <v>4097.1000000000004</v>
      </c>
    </row>
    <row r="5" spans="1:12" x14ac:dyDescent="0.25">
      <c r="A5" t="s">
        <v>26</v>
      </c>
      <c r="B5" s="1">
        <v>45294.436805555553</v>
      </c>
      <c r="C5" t="s">
        <v>27</v>
      </c>
      <c r="D5" t="s">
        <v>25</v>
      </c>
      <c r="E5" t="s">
        <v>28</v>
      </c>
      <c r="F5" t="s">
        <v>29</v>
      </c>
      <c r="G5">
        <v>4643.8500000000004</v>
      </c>
      <c r="H5" t="s">
        <v>17</v>
      </c>
      <c r="J5">
        <v>2.9</v>
      </c>
      <c r="K5">
        <v>0</v>
      </c>
      <c r="L5">
        <v>0</v>
      </c>
    </row>
    <row r="6" spans="1:12" x14ac:dyDescent="0.25">
      <c r="A6" t="s">
        <v>30</v>
      </c>
      <c r="B6" s="1">
        <v>45295.007638888892</v>
      </c>
      <c r="C6" t="s">
        <v>31</v>
      </c>
      <c r="D6" t="s">
        <v>32</v>
      </c>
      <c r="E6" t="s">
        <v>33</v>
      </c>
      <c r="F6" t="s">
        <v>21</v>
      </c>
      <c r="G6">
        <v>2086.9499999999998</v>
      </c>
      <c r="H6" t="s">
        <v>34</v>
      </c>
      <c r="I6" t="s">
        <v>35</v>
      </c>
      <c r="J6">
        <v>1.9</v>
      </c>
      <c r="K6">
        <v>0</v>
      </c>
      <c r="L6">
        <v>0</v>
      </c>
    </row>
    <row r="7" spans="1:12" x14ac:dyDescent="0.25">
      <c r="A7" t="s">
        <v>36</v>
      </c>
      <c r="B7" s="1">
        <v>45295.154861111114</v>
      </c>
      <c r="C7" t="s">
        <v>37</v>
      </c>
      <c r="D7" t="s">
        <v>38</v>
      </c>
      <c r="E7" t="s">
        <v>39</v>
      </c>
      <c r="F7" t="s">
        <v>16</v>
      </c>
      <c r="G7">
        <v>3624.74</v>
      </c>
      <c r="H7" t="s">
        <v>17</v>
      </c>
      <c r="J7">
        <v>3.2</v>
      </c>
      <c r="K7">
        <v>0</v>
      </c>
      <c r="L7">
        <v>0</v>
      </c>
    </row>
    <row r="8" spans="1:12" x14ac:dyDescent="0.25">
      <c r="A8" t="s">
        <v>40</v>
      </c>
      <c r="B8" s="1">
        <v>45295.384722222225</v>
      </c>
      <c r="C8" t="s">
        <v>24</v>
      </c>
      <c r="D8" t="s">
        <v>25</v>
      </c>
      <c r="E8" t="s">
        <v>39</v>
      </c>
      <c r="F8" t="s">
        <v>41</v>
      </c>
      <c r="G8">
        <v>3859.9</v>
      </c>
      <c r="H8" t="s">
        <v>22</v>
      </c>
      <c r="J8">
        <v>3.2</v>
      </c>
      <c r="K8">
        <v>123.52</v>
      </c>
      <c r="L8">
        <v>3736.38</v>
      </c>
    </row>
    <row r="9" spans="1:12" x14ac:dyDescent="0.25">
      <c r="A9" t="s">
        <v>42</v>
      </c>
      <c r="B9" s="1">
        <v>45296.226388888892</v>
      </c>
      <c r="C9" t="s">
        <v>43</v>
      </c>
      <c r="D9" t="s">
        <v>25</v>
      </c>
      <c r="E9" t="s">
        <v>44</v>
      </c>
      <c r="F9" t="s">
        <v>45</v>
      </c>
      <c r="G9">
        <v>2674.57</v>
      </c>
      <c r="H9" t="s">
        <v>22</v>
      </c>
      <c r="J9">
        <v>2.1</v>
      </c>
      <c r="K9">
        <v>56.17</v>
      </c>
      <c r="L9">
        <v>2618.4</v>
      </c>
    </row>
    <row r="10" spans="1:12" x14ac:dyDescent="0.25">
      <c r="A10" t="s">
        <v>46</v>
      </c>
      <c r="B10" s="1">
        <v>45296.466666666667</v>
      </c>
      <c r="C10" t="s">
        <v>47</v>
      </c>
      <c r="D10" t="s">
        <v>25</v>
      </c>
      <c r="E10" t="s">
        <v>33</v>
      </c>
      <c r="F10" t="s">
        <v>21</v>
      </c>
      <c r="G10">
        <v>3700.48</v>
      </c>
      <c r="H10" t="s">
        <v>22</v>
      </c>
      <c r="J10">
        <v>1.9</v>
      </c>
      <c r="K10">
        <v>70.31</v>
      </c>
      <c r="L10">
        <v>3630.17</v>
      </c>
    </row>
    <row r="11" spans="1:12" x14ac:dyDescent="0.25">
      <c r="A11" t="s">
        <v>48</v>
      </c>
      <c r="B11" s="1">
        <v>45296.57708333333</v>
      </c>
      <c r="C11" t="s">
        <v>47</v>
      </c>
      <c r="D11" t="s">
        <v>25</v>
      </c>
      <c r="E11" t="s">
        <v>33</v>
      </c>
      <c r="F11" t="s">
        <v>29</v>
      </c>
      <c r="G11">
        <v>3985.87</v>
      </c>
      <c r="H11" t="s">
        <v>17</v>
      </c>
      <c r="J11">
        <v>1.9</v>
      </c>
      <c r="K11">
        <v>0</v>
      </c>
      <c r="L11">
        <v>0</v>
      </c>
    </row>
    <row r="12" spans="1:12" x14ac:dyDescent="0.25">
      <c r="A12" t="s">
        <v>49</v>
      </c>
      <c r="B12" s="1">
        <v>45297.874305555553</v>
      </c>
      <c r="C12" t="s">
        <v>27</v>
      </c>
      <c r="D12" t="s">
        <v>25</v>
      </c>
      <c r="E12" t="s">
        <v>33</v>
      </c>
      <c r="F12" t="s">
        <v>16</v>
      </c>
      <c r="G12">
        <v>4260.84</v>
      </c>
      <c r="H12" t="s">
        <v>22</v>
      </c>
      <c r="J12">
        <v>1.9</v>
      </c>
      <c r="K12">
        <v>80.959999999999994</v>
      </c>
      <c r="L12">
        <v>4179.88</v>
      </c>
    </row>
    <row r="13" spans="1:12" x14ac:dyDescent="0.25">
      <c r="A13" t="s">
        <v>50</v>
      </c>
      <c r="B13" s="1">
        <v>45298.27847222222</v>
      </c>
      <c r="C13" t="s">
        <v>43</v>
      </c>
      <c r="D13" t="s">
        <v>25</v>
      </c>
      <c r="E13" t="s">
        <v>28</v>
      </c>
      <c r="F13" t="s">
        <v>16</v>
      </c>
      <c r="G13">
        <v>4007.09</v>
      </c>
      <c r="H13" t="s">
        <v>22</v>
      </c>
      <c r="J13">
        <v>2.9</v>
      </c>
      <c r="K13">
        <v>116.21</v>
      </c>
      <c r="L13">
        <v>3890.88</v>
      </c>
    </row>
    <row r="14" spans="1:12" x14ac:dyDescent="0.25">
      <c r="A14" t="s">
        <v>51</v>
      </c>
      <c r="B14" s="1">
        <v>45299.243055555555</v>
      </c>
      <c r="C14" t="s">
        <v>47</v>
      </c>
      <c r="D14" t="s">
        <v>25</v>
      </c>
      <c r="E14" t="s">
        <v>33</v>
      </c>
      <c r="F14" t="s">
        <v>41</v>
      </c>
      <c r="G14">
        <v>1985.08</v>
      </c>
      <c r="H14" t="s">
        <v>22</v>
      </c>
      <c r="J14">
        <v>1.9</v>
      </c>
      <c r="K14">
        <v>37.72</v>
      </c>
      <c r="L14">
        <v>1947.36</v>
      </c>
    </row>
    <row r="15" spans="1:12" x14ac:dyDescent="0.25">
      <c r="A15" t="s">
        <v>52</v>
      </c>
      <c r="B15" s="1">
        <v>45299.290972222225</v>
      </c>
      <c r="C15" t="s">
        <v>24</v>
      </c>
      <c r="D15" t="s">
        <v>25</v>
      </c>
      <c r="E15" t="s">
        <v>28</v>
      </c>
      <c r="F15" t="s">
        <v>16</v>
      </c>
      <c r="G15">
        <v>4573.0600000000004</v>
      </c>
      <c r="H15" t="s">
        <v>17</v>
      </c>
      <c r="J15">
        <v>2.9</v>
      </c>
      <c r="K15">
        <v>0</v>
      </c>
      <c r="L15">
        <v>0</v>
      </c>
    </row>
    <row r="16" spans="1:12" x14ac:dyDescent="0.25">
      <c r="A16" t="s">
        <v>53</v>
      </c>
      <c r="B16" s="1">
        <v>45299.815972222219</v>
      </c>
      <c r="C16" t="s">
        <v>13</v>
      </c>
      <c r="D16" t="s">
        <v>14</v>
      </c>
      <c r="E16" t="s">
        <v>28</v>
      </c>
      <c r="F16" t="s">
        <v>29</v>
      </c>
      <c r="G16">
        <v>2717.22</v>
      </c>
      <c r="H16" t="s">
        <v>17</v>
      </c>
      <c r="J16">
        <v>2.9</v>
      </c>
      <c r="K16">
        <v>0</v>
      </c>
      <c r="L16">
        <v>0</v>
      </c>
    </row>
    <row r="17" spans="1:12" x14ac:dyDescent="0.25">
      <c r="A17" t="s">
        <v>54</v>
      </c>
      <c r="B17" s="1">
        <v>45299.972916666666</v>
      </c>
      <c r="C17" t="s">
        <v>47</v>
      </c>
      <c r="D17" t="s">
        <v>25</v>
      </c>
      <c r="E17" t="s">
        <v>33</v>
      </c>
      <c r="F17" t="s">
        <v>29</v>
      </c>
      <c r="G17">
        <v>885.72</v>
      </c>
      <c r="H17" t="s">
        <v>34</v>
      </c>
      <c r="I17" t="s">
        <v>55</v>
      </c>
      <c r="J17">
        <v>1.9</v>
      </c>
      <c r="K17">
        <v>0</v>
      </c>
      <c r="L17">
        <v>0</v>
      </c>
    </row>
    <row r="18" spans="1:12" x14ac:dyDescent="0.25">
      <c r="A18" t="s">
        <v>56</v>
      </c>
      <c r="B18" s="1">
        <v>45300.300694444442</v>
      </c>
      <c r="C18" t="s">
        <v>31</v>
      </c>
      <c r="D18" t="s">
        <v>32</v>
      </c>
      <c r="E18" t="s">
        <v>28</v>
      </c>
      <c r="F18" t="s">
        <v>45</v>
      </c>
      <c r="G18">
        <v>177.55</v>
      </c>
      <c r="H18" t="s">
        <v>17</v>
      </c>
      <c r="J18">
        <v>2.9</v>
      </c>
      <c r="K18">
        <v>0</v>
      </c>
      <c r="L18">
        <v>0</v>
      </c>
    </row>
    <row r="19" spans="1:12" x14ac:dyDescent="0.25">
      <c r="A19" t="s">
        <v>57</v>
      </c>
      <c r="B19" s="1">
        <v>45301.658333333333</v>
      </c>
      <c r="C19" t="s">
        <v>58</v>
      </c>
      <c r="D19" t="s">
        <v>25</v>
      </c>
      <c r="E19" t="s">
        <v>28</v>
      </c>
      <c r="F19" t="s">
        <v>29</v>
      </c>
      <c r="G19">
        <v>548.01</v>
      </c>
      <c r="H19" t="s">
        <v>17</v>
      </c>
      <c r="J19">
        <v>2.9</v>
      </c>
      <c r="K19">
        <v>0</v>
      </c>
      <c r="L19">
        <v>0</v>
      </c>
    </row>
    <row r="20" spans="1:12" x14ac:dyDescent="0.25">
      <c r="A20" t="s">
        <v>59</v>
      </c>
      <c r="B20" s="1">
        <v>45301.694444444445</v>
      </c>
      <c r="C20" t="s">
        <v>60</v>
      </c>
      <c r="D20" t="s">
        <v>25</v>
      </c>
      <c r="E20" t="s">
        <v>33</v>
      </c>
      <c r="F20" t="s">
        <v>45</v>
      </c>
      <c r="G20">
        <v>2031.62</v>
      </c>
      <c r="H20" t="s">
        <v>17</v>
      </c>
      <c r="J20">
        <v>1.9</v>
      </c>
      <c r="K20">
        <v>0</v>
      </c>
      <c r="L20">
        <v>0</v>
      </c>
    </row>
    <row r="21" spans="1:12" x14ac:dyDescent="0.25">
      <c r="A21" t="s">
        <v>61</v>
      </c>
      <c r="B21" s="1">
        <v>45301.864583333336</v>
      </c>
      <c r="C21" t="s">
        <v>13</v>
      </c>
      <c r="D21" t="s">
        <v>14</v>
      </c>
      <c r="E21" t="s">
        <v>44</v>
      </c>
      <c r="F21" t="s">
        <v>45</v>
      </c>
      <c r="G21">
        <v>2501.0300000000002</v>
      </c>
      <c r="H21" t="s">
        <v>34</v>
      </c>
      <c r="I21" t="s">
        <v>62</v>
      </c>
      <c r="J21">
        <v>2.1</v>
      </c>
      <c r="K21">
        <v>0</v>
      </c>
      <c r="L21">
        <v>0</v>
      </c>
    </row>
    <row r="22" spans="1:12" x14ac:dyDescent="0.25">
      <c r="A22" t="s">
        <v>63</v>
      </c>
      <c r="B22" s="1">
        <v>45302.040972222225</v>
      </c>
      <c r="C22" t="s">
        <v>13</v>
      </c>
      <c r="D22" t="s">
        <v>14</v>
      </c>
      <c r="E22" t="s">
        <v>33</v>
      </c>
      <c r="F22" t="s">
        <v>29</v>
      </c>
      <c r="G22">
        <v>4535.16</v>
      </c>
      <c r="H22" t="s">
        <v>34</v>
      </c>
      <c r="I22" t="s">
        <v>35</v>
      </c>
      <c r="J22">
        <v>1.9</v>
      </c>
      <c r="K22">
        <v>0</v>
      </c>
      <c r="L22">
        <v>0</v>
      </c>
    </row>
    <row r="23" spans="1:12" x14ac:dyDescent="0.25">
      <c r="A23" t="s">
        <v>64</v>
      </c>
      <c r="B23" s="1">
        <v>45302.427777777775</v>
      </c>
      <c r="C23" t="s">
        <v>31</v>
      </c>
      <c r="D23" t="s">
        <v>32</v>
      </c>
      <c r="E23" t="s">
        <v>28</v>
      </c>
      <c r="F23" t="s">
        <v>21</v>
      </c>
      <c r="G23">
        <v>858.82</v>
      </c>
      <c r="H23" t="s">
        <v>34</v>
      </c>
      <c r="I23" t="s">
        <v>35</v>
      </c>
      <c r="J23">
        <v>2.9</v>
      </c>
      <c r="K23">
        <v>0</v>
      </c>
      <c r="L23">
        <v>0</v>
      </c>
    </row>
    <row r="24" spans="1:12" x14ac:dyDescent="0.25">
      <c r="A24" t="s">
        <v>65</v>
      </c>
      <c r="B24" s="1">
        <v>45302.933333333334</v>
      </c>
      <c r="C24" t="s">
        <v>37</v>
      </c>
      <c r="D24" t="s">
        <v>38</v>
      </c>
      <c r="E24" t="s">
        <v>44</v>
      </c>
      <c r="F24" t="s">
        <v>21</v>
      </c>
      <c r="G24">
        <v>4494.33</v>
      </c>
      <c r="H24" t="s">
        <v>34</v>
      </c>
      <c r="I24" t="s">
        <v>55</v>
      </c>
      <c r="J24">
        <v>2.1</v>
      </c>
      <c r="K24">
        <v>0</v>
      </c>
      <c r="L24">
        <v>0</v>
      </c>
    </row>
    <row r="25" spans="1:12" x14ac:dyDescent="0.25">
      <c r="A25" t="s">
        <v>66</v>
      </c>
      <c r="B25" s="1">
        <v>45303.395138888889</v>
      </c>
      <c r="C25" t="s">
        <v>13</v>
      </c>
      <c r="D25" t="s">
        <v>14</v>
      </c>
      <c r="E25" t="s">
        <v>15</v>
      </c>
      <c r="F25" t="s">
        <v>45</v>
      </c>
      <c r="G25">
        <v>1902.59</v>
      </c>
      <c r="H25" t="s">
        <v>22</v>
      </c>
      <c r="J25">
        <v>2.5</v>
      </c>
      <c r="K25">
        <v>47.56</v>
      </c>
      <c r="L25">
        <v>1855.03</v>
      </c>
    </row>
    <row r="26" spans="1:12" x14ac:dyDescent="0.25">
      <c r="A26" t="s">
        <v>67</v>
      </c>
      <c r="B26" s="1">
        <v>45303.783333333333</v>
      </c>
      <c r="C26" t="s">
        <v>47</v>
      </c>
      <c r="D26" t="s">
        <v>25</v>
      </c>
      <c r="E26" t="s">
        <v>44</v>
      </c>
      <c r="F26" t="s">
        <v>21</v>
      </c>
      <c r="G26">
        <v>1010.77</v>
      </c>
      <c r="H26" t="s">
        <v>22</v>
      </c>
      <c r="J26">
        <v>2.1</v>
      </c>
      <c r="K26">
        <v>21.23</v>
      </c>
      <c r="L26">
        <v>989.54</v>
      </c>
    </row>
    <row r="27" spans="1:12" x14ac:dyDescent="0.25">
      <c r="A27" t="s">
        <v>68</v>
      </c>
      <c r="B27" s="1">
        <v>45304.240972222222</v>
      </c>
      <c r="C27" t="s">
        <v>37</v>
      </c>
      <c r="D27" t="s">
        <v>38</v>
      </c>
      <c r="E27" t="s">
        <v>15</v>
      </c>
      <c r="F27" t="s">
        <v>29</v>
      </c>
      <c r="G27">
        <v>1341.36</v>
      </c>
      <c r="H27" t="s">
        <v>22</v>
      </c>
      <c r="J27">
        <v>2.5</v>
      </c>
      <c r="K27">
        <v>33.53</v>
      </c>
      <c r="L27">
        <v>1307.83</v>
      </c>
    </row>
    <row r="28" spans="1:12" x14ac:dyDescent="0.25">
      <c r="A28" t="s">
        <v>69</v>
      </c>
      <c r="B28" s="1">
        <v>45304.702777777777</v>
      </c>
      <c r="C28" t="s">
        <v>37</v>
      </c>
      <c r="D28" t="s">
        <v>38</v>
      </c>
      <c r="E28" t="s">
        <v>33</v>
      </c>
      <c r="F28" t="s">
        <v>45</v>
      </c>
      <c r="G28">
        <v>2233.33</v>
      </c>
      <c r="H28" t="s">
        <v>22</v>
      </c>
      <c r="J28">
        <v>1.9</v>
      </c>
      <c r="K28">
        <v>42.43</v>
      </c>
      <c r="L28">
        <v>2190.9</v>
      </c>
    </row>
    <row r="29" spans="1:12" x14ac:dyDescent="0.25">
      <c r="A29" t="s">
        <v>70</v>
      </c>
      <c r="B29" s="1">
        <v>45304.883333333331</v>
      </c>
      <c r="C29" t="s">
        <v>58</v>
      </c>
      <c r="D29" t="s">
        <v>25</v>
      </c>
      <c r="E29" t="s">
        <v>39</v>
      </c>
      <c r="F29" t="s">
        <v>21</v>
      </c>
      <c r="G29">
        <v>4323.12</v>
      </c>
      <c r="H29" t="s">
        <v>22</v>
      </c>
      <c r="J29">
        <v>3.2</v>
      </c>
      <c r="K29">
        <v>138.34</v>
      </c>
      <c r="L29">
        <v>4184.78</v>
      </c>
    </row>
    <row r="30" spans="1:12" x14ac:dyDescent="0.25">
      <c r="A30" t="s">
        <v>71</v>
      </c>
      <c r="B30" s="1">
        <v>45306.158333333333</v>
      </c>
      <c r="C30" t="s">
        <v>47</v>
      </c>
      <c r="D30" t="s">
        <v>25</v>
      </c>
      <c r="E30" t="s">
        <v>15</v>
      </c>
      <c r="F30" t="s">
        <v>41</v>
      </c>
      <c r="G30">
        <v>2998.47</v>
      </c>
      <c r="H30" t="s">
        <v>22</v>
      </c>
      <c r="J30">
        <v>2.5</v>
      </c>
      <c r="K30">
        <v>74.959999999999994</v>
      </c>
      <c r="L30">
        <v>2923.51</v>
      </c>
    </row>
    <row r="31" spans="1:12" x14ac:dyDescent="0.25">
      <c r="A31" t="s">
        <v>72</v>
      </c>
      <c r="B31" s="1">
        <v>45307.529861111114</v>
      </c>
      <c r="C31" t="s">
        <v>58</v>
      </c>
      <c r="D31" t="s">
        <v>25</v>
      </c>
      <c r="E31" t="s">
        <v>44</v>
      </c>
      <c r="F31" t="s">
        <v>21</v>
      </c>
      <c r="G31">
        <v>1081.43</v>
      </c>
      <c r="H31" t="s">
        <v>22</v>
      </c>
      <c r="J31">
        <v>2.1</v>
      </c>
      <c r="K31">
        <v>22.71</v>
      </c>
      <c r="L31">
        <v>1058.72</v>
      </c>
    </row>
    <row r="32" spans="1:12" x14ac:dyDescent="0.25">
      <c r="A32" t="s">
        <v>73</v>
      </c>
      <c r="B32" s="1">
        <v>45307.589583333334</v>
      </c>
      <c r="C32" t="s">
        <v>60</v>
      </c>
      <c r="D32" t="s">
        <v>25</v>
      </c>
      <c r="E32" t="s">
        <v>33</v>
      </c>
      <c r="F32" t="s">
        <v>41</v>
      </c>
      <c r="G32">
        <v>433.04</v>
      </c>
      <c r="H32" t="s">
        <v>22</v>
      </c>
      <c r="J32">
        <v>1.9</v>
      </c>
      <c r="K32">
        <v>8.23</v>
      </c>
      <c r="L32">
        <v>424.81</v>
      </c>
    </row>
    <row r="33" spans="1:12" x14ac:dyDescent="0.25">
      <c r="A33" t="s">
        <v>74</v>
      </c>
      <c r="B33" s="1">
        <v>45308.254166666666</v>
      </c>
      <c r="C33" t="s">
        <v>43</v>
      </c>
      <c r="D33" t="s">
        <v>25</v>
      </c>
      <c r="E33" t="s">
        <v>44</v>
      </c>
      <c r="F33" t="s">
        <v>41</v>
      </c>
      <c r="G33">
        <v>168.77</v>
      </c>
      <c r="H33" t="s">
        <v>34</v>
      </c>
      <c r="I33" t="s">
        <v>55</v>
      </c>
      <c r="J33">
        <v>2.1</v>
      </c>
      <c r="K33">
        <v>0</v>
      </c>
      <c r="L33">
        <v>0</v>
      </c>
    </row>
    <row r="34" spans="1:12" x14ac:dyDescent="0.25">
      <c r="A34" t="s">
        <v>75</v>
      </c>
      <c r="B34" s="1">
        <v>45308.434027777781</v>
      </c>
      <c r="C34" t="s">
        <v>47</v>
      </c>
      <c r="D34" t="s">
        <v>25</v>
      </c>
      <c r="E34" t="s">
        <v>28</v>
      </c>
      <c r="F34" t="s">
        <v>29</v>
      </c>
      <c r="G34">
        <v>4566.55</v>
      </c>
      <c r="H34" t="s">
        <v>17</v>
      </c>
      <c r="J34">
        <v>2.9</v>
      </c>
      <c r="K34">
        <v>0</v>
      </c>
      <c r="L34">
        <v>0</v>
      </c>
    </row>
    <row r="35" spans="1:12" x14ac:dyDescent="0.25">
      <c r="A35" t="s">
        <v>76</v>
      </c>
      <c r="B35" s="1">
        <v>45308.580555555556</v>
      </c>
      <c r="C35" t="s">
        <v>31</v>
      </c>
      <c r="D35" t="s">
        <v>32</v>
      </c>
      <c r="E35" t="s">
        <v>15</v>
      </c>
      <c r="F35" t="s">
        <v>16</v>
      </c>
      <c r="G35">
        <v>1579.65</v>
      </c>
      <c r="H35" t="s">
        <v>34</v>
      </c>
      <c r="I35" t="s">
        <v>55</v>
      </c>
      <c r="J35">
        <v>2.5</v>
      </c>
      <c r="K35">
        <v>0</v>
      </c>
      <c r="L35">
        <v>0</v>
      </c>
    </row>
    <row r="36" spans="1:12" x14ac:dyDescent="0.25">
      <c r="A36" t="s">
        <v>77</v>
      </c>
      <c r="B36" s="1">
        <v>45308.965277777781</v>
      </c>
      <c r="C36" t="s">
        <v>13</v>
      </c>
      <c r="D36" t="s">
        <v>14</v>
      </c>
      <c r="E36" t="s">
        <v>39</v>
      </c>
      <c r="F36" t="s">
        <v>41</v>
      </c>
      <c r="G36">
        <v>3011.99</v>
      </c>
      <c r="H36" t="s">
        <v>34</v>
      </c>
      <c r="I36" t="s">
        <v>78</v>
      </c>
      <c r="J36">
        <v>3.2</v>
      </c>
      <c r="K36">
        <v>0</v>
      </c>
      <c r="L36">
        <v>0</v>
      </c>
    </row>
    <row r="37" spans="1:12" x14ac:dyDescent="0.25">
      <c r="A37" t="s">
        <v>79</v>
      </c>
      <c r="B37" s="1">
        <v>45309.169444444444</v>
      </c>
      <c r="C37" t="s">
        <v>24</v>
      </c>
      <c r="D37" t="s">
        <v>25</v>
      </c>
      <c r="E37" t="s">
        <v>39</v>
      </c>
      <c r="F37" t="s">
        <v>21</v>
      </c>
      <c r="G37">
        <v>1920.44</v>
      </c>
      <c r="H37" t="s">
        <v>17</v>
      </c>
      <c r="J37">
        <v>3.2</v>
      </c>
      <c r="K37">
        <v>0</v>
      </c>
      <c r="L37">
        <v>0</v>
      </c>
    </row>
    <row r="38" spans="1:12" x14ac:dyDescent="0.25">
      <c r="A38" t="s">
        <v>80</v>
      </c>
      <c r="B38" s="1">
        <v>45309.270138888889</v>
      </c>
      <c r="C38" t="s">
        <v>31</v>
      </c>
      <c r="D38" t="s">
        <v>32</v>
      </c>
      <c r="E38" t="s">
        <v>33</v>
      </c>
      <c r="F38" t="s">
        <v>29</v>
      </c>
      <c r="G38">
        <v>2369.4</v>
      </c>
      <c r="H38" t="s">
        <v>22</v>
      </c>
      <c r="J38">
        <v>1.9</v>
      </c>
      <c r="K38">
        <v>45.02</v>
      </c>
      <c r="L38">
        <v>2324.38</v>
      </c>
    </row>
    <row r="39" spans="1:12" x14ac:dyDescent="0.25">
      <c r="A39" t="s">
        <v>81</v>
      </c>
      <c r="B39" s="1">
        <v>45309.890277777777</v>
      </c>
      <c r="C39" t="s">
        <v>37</v>
      </c>
      <c r="D39" t="s">
        <v>38</v>
      </c>
      <c r="E39" t="s">
        <v>15</v>
      </c>
      <c r="F39" t="s">
        <v>16</v>
      </c>
      <c r="G39">
        <v>4875.16</v>
      </c>
      <c r="H39" t="s">
        <v>17</v>
      </c>
      <c r="J39">
        <v>2.5</v>
      </c>
      <c r="K39">
        <v>0</v>
      </c>
      <c r="L39">
        <v>0</v>
      </c>
    </row>
    <row r="40" spans="1:12" x14ac:dyDescent="0.25">
      <c r="A40" t="s">
        <v>82</v>
      </c>
      <c r="B40" s="1">
        <v>45310.188888888886</v>
      </c>
      <c r="C40" t="s">
        <v>19</v>
      </c>
      <c r="D40" t="s">
        <v>20</v>
      </c>
      <c r="E40" t="s">
        <v>39</v>
      </c>
      <c r="F40" t="s">
        <v>41</v>
      </c>
      <c r="G40">
        <v>4372.21</v>
      </c>
      <c r="H40" t="s">
        <v>34</v>
      </c>
      <c r="I40" t="s">
        <v>78</v>
      </c>
      <c r="J40">
        <v>3.2</v>
      </c>
      <c r="K40">
        <v>0</v>
      </c>
      <c r="L40">
        <v>0</v>
      </c>
    </row>
    <row r="41" spans="1:12" x14ac:dyDescent="0.25">
      <c r="A41" t="s">
        <v>83</v>
      </c>
      <c r="B41" s="1">
        <v>45310.383333333331</v>
      </c>
      <c r="C41" t="s">
        <v>60</v>
      </c>
      <c r="D41" t="s">
        <v>25</v>
      </c>
      <c r="E41" t="s">
        <v>44</v>
      </c>
      <c r="F41" t="s">
        <v>41</v>
      </c>
      <c r="G41">
        <v>1584.82</v>
      </c>
      <c r="H41" t="s">
        <v>22</v>
      </c>
      <c r="J41">
        <v>2.1</v>
      </c>
      <c r="K41">
        <v>33.28</v>
      </c>
      <c r="L41">
        <v>1551.54</v>
      </c>
    </row>
    <row r="42" spans="1:12" x14ac:dyDescent="0.25">
      <c r="A42" t="s">
        <v>84</v>
      </c>
      <c r="B42" s="1">
        <v>45310.488888888889</v>
      </c>
      <c r="C42" t="s">
        <v>13</v>
      </c>
      <c r="D42" t="s">
        <v>14</v>
      </c>
      <c r="E42" t="s">
        <v>33</v>
      </c>
      <c r="F42" t="s">
        <v>41</v>
      </c>
      <c r="G42">
        <v>555.75</v>
      </c>
      <c r="H42" t="s">
        <v>22</v>
      </c>
      <c r="J42">
        <v>1.9</v>
      </c>
      <c r="K42">
        <v>10.56</v>
      </c>
      <c r="L42">
        <v>545.19000000000005</v>
      </c>
    </row>
    <row r="43" spans="1:12" x14ac:dyDescent="0.25">
      <c r="A43" t="s">
        <v>85</v>
      </c>
      <c r="B43" s="1">
        <v>45310.642361111109</v>
      </c>
      <c r="C43" t="s">
        <v>43</v>
      </c>
      <c r="D43" t="s">
        <v>25</v>
      </c>
      <c r="E43" t="s">
        <v>33</v>
      </c>
      <c r="F43" t="s">
        <v>45</v>
      </c>
      <c r="G43">
        <v>3625.82</v>
      </c>
      <c r="H43" t="s">
        <v>34</v>
      </c>
      <c r="I43" t="s">
        <v>35</v>
      </c>
      <c r="J43">
        <v>1.9</v>
      </c>
      <c r="K43">
        <v>0</v>
      </c>
      <c r="L43">
        <v>0</v>
      </c>
    </row>
    <row r="44" spans="1:12" x14ac:dyDescent="0.25">
      <c r="A44" t="s">
        <v>86</v>
      </c>
      <c r="B44" s="1">
        <v>45310.719444444447</v>
      </c>
      <c r="C44" t="s">
        <v>13</v>
      </c>
      <c r="D44" t="s">
        <v>14</v>
      </c>
      <c r="E44" t="s">
        <v>33</v>
      </c>
      <c r="F44" t="s">
        <v>16</v>
      </c>
      <c r="G44">
        <v>3273</v>
      </c>
      <c r="H44" t="s">
        <v>22</v>
      </c>
      <c r="J44">
        <v>1.9</v>
      </c>
      <c r="K44">
        <v>62.19</v>
      </c>
      <c r="L44">
        <v>3210.81</v>
      </c>
    </row>
    <row r="45" spans="1:12" x14ac:dyDescent="0.25">
      <c r="A45" t="s">
        <v>87</v>
      </c>
      <c r="B45" s="1">
        <v>45310.743750000001</v>
      </c>
      <c r="C45" t="s">
        <v>58</v>
      </c>
      <c r="D45" t="s">
        <v>25</v>
      </c>
      <c r="E45" t="s">
        <v>44</v>
      </c>
      <c r="F45" t="s">
        <v>21</v>
      </c>
      <c r="G45">
        <v>1248.83</v>
      </c>
      <c r="H45" t="s">
        <v>22</v>
      </c>
      <c r="J45">
        <v>2.1</v>
      </c>
      <c r="K45">
        <v>26.23</v>
      </c>
      <c r="L45">
        <v>1222.5999999999999</v>
      </c>
    </row>
    <row r="46" spans="1:12" x14ac:dyDescent="0.25">
      <c r="A46" t="s">
        <v>88</v>
      </c>
      <c r="B46" s="1">
        <v>45311.634722222225</v>
      </c>
      <c r="C46" t="s">
        <v>24</v>
      </c>
      <c r="D46" t="s">
        <v>25</v>
      </c>
      <c r="E46" t="s">
        <v>15</v>
      </c>
      <c r="F46" t="s">
        <v>21</v>
      </c>
      <c r="G46">
        <v>1532.9</v>
      </c>
      <c r="H46" t="s">
        <v>22</v>
      </c>
      <c r="J46">
        <v>2.5</v>
      </c>
      <c r="K46">
        <v>38.32</v>
      </c>
      <c r="L46">
        <v>1494.58</v>
      </c>
    </row>
    <row r="47" spans="1:12" x14ac:dyDescent="0.25">
      <c r="A47" t="s">
        <v>89</v>
      </c>
      <c r="B47" s="1">
        <v>45312.322916666664</v>
      </c>
      <c r="C47" t="s">
        <v>43</v>
      </c>
      <c r="D47" t="s">
        <v>25</v>
      </c>
      <c r="E47" t="s">
        <v>15</v>
      </c>
      <c r="F47" t="s">
        <v>45</v>
      </c>
      <c r="G47">
        <v>2618.5100000000002</v>
      </c>
      <c r="H47" t="s">
        <v>22</v>
      </c>
      <c r="J47">
        <v>2.5</v>
      </c>
      <c r="K47">
        <v>65.459999999999994</v>
      </c>
      <c r="L47">
        <v>2553.0500000000002</v>
      </c>
    </row>
    <row r="48" spans="1:12" x14ac:dyDescent="0.25">
      <c r="A48" t="s">
        <v>90</v>
      </c>
      <c r="B48" s="1">
        <v>45312.324999999997</v>
      </c>
      <c r="C48" t="s">
        <v>43</v>
      </c>
      <c r="D48" t="s">
        <v>25</v>
      </c>
      <c r="E48" t="s">
        <v>44</v>
      </c>
      <c r="F48" t="s">
        <v>41</v>
      </c>
      <c r="G48">
        <v>1329.14</v>
      </c>
      <c r="H48" t="s">
        <v>22</v>
      </c>
      <c r="J48">
        <v>2.1</v>
      </c>
      <c r="K48">
        <v>27.91</v>
      </c>
      <c r="L48">
        <v>1301.23</v>
      </c>
    </row>
    <row r="49" spans="1:12" x14ac:dyDescent="0.25">
      <c r="A49" t="s">
        <v>91</v>
      </c>
      <c r="B49" s="1">
        <v>45312.913888888892</v>
      </c>
      <c r="C49" t="s">
        <v>37</v>
      </c>
      <c r="D49" t="s">
        <v>38</v>
      </c>
      <c r="E49" t="s">
        <v>15</v>
      </c>
      <c r="F49" t="s">
        <v>41</v>
      </c>
      <c r="G49">
        <v>1935.52</v>
      </c>
      <c r="H49" t="s">
        <v>17</v>
      </c>
      <c r="J49">
        <v>2.5</v>
      </c>
      <c r="K49">
        <v>0</v>
      </c>
      <c r="L49">
        <v>0</v>
      </c>
    </row>
    <row r="50" spans="1:12" x14ac:dyDescent="0.25">
      <c r="A50" t="s">
        <v>92</v>
      </c>
      <c r="B50" s="1">
        <v>45313.40625</v>
      </c>
      <c r="C50" t="s">
        <v>31</v>
      </c>
      <c r="D50" t="s">
        <v>32</v>
      </c>
      <c r="E50" t="s">
        <v>39</v>
      </c>
      <c r="F50" t="s">
        <v>16</v>
      </c>
      <c r="G50">
        <v>3283.3</v>
      </c>
      <c r="H50" t="s">
        <v>34</v>
      </c>
      <c r="I50" t="s">
        <v>35</v>
      </c>
      <c r="J50">
        <v>3.2</v>
      </c>
      <c r="K50">
        <v>0</v>
      </c>
      <c r="L50">
        <v>0</v>
      </c>
    </row>
    <row r="51" spans="1:12" x14ac:dyDescent="0.25">
      <c r="A51" t="s">
        <v>93</v>
      </c>
      <c r="B51" s="1">
        <v>45313.585416666669</v>
      </c>
      <c r="C51" t="s">
        <v>27</v>
      </c>
      <c r="D51" t="s">
        <v>25</v>
      </c>
      <c r="E51" t="s">
        <v>33</v>
      </c>
      <c r="F51" t="s">
        <v>16</v>
      </c>
      <c r="G51">
        <v>4110.21</v>
      </c>
      <c r="H51" t="s">
        <v>34</v>
      </c>
      <c r="I51" t="s">
        <v>55</v>
      </c>
      <c r="J51">
        <v>1.9</v>
      </c>
      <c r="K51">
        <v>0</v>
      </c>
      <c r="L51">
        <v>0</v>
      </c>
    </row>
    <row r="52" spans="1:12" x14ac:dyDescent="0.25">
      <c r="A52" t="s">
        <v>94</v>
      </c>
      <c r="B52" s="1">
        <v>45313.784722222219</v>
      </c>
      <c r="C52" t="s">
        <v>43</v>
      </c>
      <c r="D52" t="s">
        <v>25</v>
      </c>
      <c r="E52" t="s">
        <v>33</v>
      </c>
      <c r="F52" t="s">
        <v>29</v>
      </c>
      <c r="G52">
        <v>1863.28</v>
      </c>
      <c r="H52" t="s">
        <v>22</v>
      </c>
      <c r="J52">
        <v>1.9</v>
      </c>
      <c r="K52">
        <v>35.4</v>
      </c>
      <c r="L52">
        <v>1827.88</v>
      </c>
    </row>
    <row r="53" spans="1:12" x14ac:dyDescent="0.25">
      <c r="A53" t="s">
        <v>95</v>
      </c>
      <c r="B53" s="1">
        <v>45314.010416666664</v>
      </c>
      <c r="C53" t="s">
        <v>60</v>
      </c>
      <c r="D53" t="s">
        <v>25</v>
      </c>
      <c r="E53" t="s">
        <v>15</v>
      </c>
      <c r="F53" t="s">
        <v>21</v>
      </c>
      <c r="G53">
        <v>1921.07</v>
      </c>
      <c r="H53" t="s">
        <v>22</v>
      </c>
      <c r="J53">
        <v>2.5</v>
      </c>
      <c r="K53">
        <v>48.03</v>
      </c>
      <c r="L53">
        <v>1873.04</v>
      </c>
    </row>
    <row r="54" spans="1:12" x14ac:dyDescent="0.25">
      <c r="A54" t="s">
        <v>96</v>
      </c>
      <c r="B54" s="1">
        <v>45314.0625</v>
      </c>
      <c r="C54" t="s">
        <v>13</v>
      </c>
      <c r="D54" t="s">
        <v>14</v>
      </c>
      <c r="E54" t="s">
        <v>28</v>
      </c>
      <c r="F54" t="s">
        <v>16</v>
      </c>
      <c r="G54">
        <v>2660.3</v>
      </c>
      <c r="H54" t="s">
        <v>34</v>
      </c>
      <c r="I54" t="s">
        <v>78</v>
      </c>
      <c r="J54">
        <v>2.9</v>
      </c>
      <c r="K54">
        <v>0</v>
      </c>
      <c r="L54">
        <v>0</v>
      </c>
    </row>
    <row r="55" spans="1:12" x14ac:dyDescent="0.25">
      <c r="A55" t="s">
        <v>97</v>
      </c>
      <c r="B55" s="1">
        <v>45315.094444444447</v>
      </c>
      <c r="C55" t="s">
        <v>37</v>
      </c>
      <c r="D55" t="s">
        <v>38</v>
      </c>
      <c r="E55" t="s">
        <v>28</v>
      </c>
      <c r="F55" t="s">
        <v>45</v>
      </c>
      <c r="G55">
        <v>3839.97</v>
      </c>
      <c r="H55" t="s">
        <v>17</v>
      </c>
      <c r="J55">
        <v>2.9</v>
      </c>
      <c r="K55">
        <v>0</v>
      </c>
      <c r="L55">
        <v>0</v>
      </c>
    </row>
    <row r="56" spans="1:12" x14ac:dyDescent="0.25">
      <c r="A56" t="s">
        <v>98</v>
      </c>
      <c r="B56" s="1">
        <v>45315.720138888886</v>
      </c>
      <c r="C56" t="s">
        <v>27</v>
      </c>
      <c r="D56" t="s">
        <v>25</v>
      </c>
      <c r="E56" t="s">
        <v>33</v>
      </c>
      <c r="F56" t="s">
        <v>45</v>
      </c>
      <c r="G56">
        <v>3350.73</v>
      </c>
      <c r="H56" t="s">
        <v>22</v>
      </c>
      <c r="J56">
        <v>1.9</v>
      </c>
      <c r="K56">
        <v>63.66</v>
      </c>
      <c r="L56">
        <v>3287.07</v>
      </c>
    </row>
    <row r="57" spans="1:12" x14ac:dyDescent="0.25">
      <c r="A57" t="s">
        <v>99</v>
      </c>
      <c r="B57" s="1">
        <v>45315.867361111108</v>
      </c>
      <c r="C57" t="s">
        <v>19</v>
      </c>
      <c r="D57" t="s">
        <v>20</v>
      </c>
      <c r="E57" t="s">
        <v>39</v>
      </c>
      <c r="F57" t="s">
        <v>29</v>
      </c>
      <c r="G57">
        <v>3837.13</v>
      </c>
      <c r="H57" t="s">
        <v>34</v>
      </c>
      <c r="I57" t="s">
        <v>100</v>
      </c>
      <c r="J57">
        <v>3.2</v>
      </c>
      <c r="K57">
        <v>0</v>
      </c>
      <c r="L57">
        <v>0</v>
      </c>
    </row>
    <row r="58" spans="1:12" x14ac:dyDescent="0.25">
      <c r="A58" t="s">
        <v>101</v>
      </c>
      <c r="B58" s="1">
        <v>45316.413888888892</v>
      </c>
      <c r="C58" t="s">
        <v>47</v>
      </c>
      <c r="D58" t="s">
        <v>25</v>
      </c>
      <c r="E58" t="s">
        <v>44</v>
      </c>
      <c r="F58" t="s">
        <v>29</v>
      </c>
      <c r="G58">
        <v>4097.43</v>
      </c>
      <c r="H58" t="s">
        <v>34</v>
      </c>
      <c r="I58" t="s">
        <v>78</v>
      </c>
      <c r="J58">
        <v>2.1</v>
      </c>
      <c r="K58">
        <v>0</v>
      </c>
      <c r="L58">
        <v>0</v>
      </c>
    </row>
    <row r="59" spans="1:12" x14ac:dyDescent="0.25">
      <c r="A59" t="s">
        <v>102</v>
      </c>
      <c r="B59" s="1">
        <v>45317.35</v>
      </c>
      <c r="C59" t="s">
        <v>37</v>
      </c>
      <c r="D59" t="s">
        <v>38</v>
      </c>
      <c r="E59" t="s">
        <v>44</v>
      </c>
      <c r="F59" t="s">
        <v>16</v>
      </c>
      <c r="G59">
        <v>1640.96</v>
      </c>
      <c r="H59" t="s">
        <v>34</v>
      </c>
      <c r="I59" t="s">
        <v>62</v>
      </c>
      <c r="J59">
        <v>2.1</v>
      </c>
      <c r="K59">
        <v>0</v>
      </c>
      <c r="L59">
        <v>0</v>
      </c>
    </row>
    <row r="60" spans="1:12" x14ac:dyDescent="0.25">
      <c r="A60" t="s">
        <v>103</v>
      </c>
      <c r="B60" s="1">
        <v>45317.71875</v>
      </c>
      <c r="C60" t="s">
        <v>31</v>
      </c>
      <c r="D60" t="s">
        <v>32</v>
      </c>
      <c r="E60" t="s">
        <v>15</v>
      </c>
      <c r="F60" t="s">
        <v>29</v>
      </c>
      <c r="G60">
        <v>4009.07</v>
      </c>
      <c r="H60" t="s">
        <v>17</v>
      </c>
      <c r="J60">
        <v>2.5</v>
      </c>
      <c r="K60">
        <v>0</v>
      </c>
      <c r="L60">
        <v>0</v>
      </c>
    </row>
    <row r="61" spans="1:12" x14ac:dyDescent="0.25">
      <c r="A61" t="s">
        <v>104</v>
      </c>
      <c r="B61" s="1">
        <v>45317.979166666664</v>
      </c>
      <c r="C61" t="s">
        <v>47</v>
      </c>
      <c r="D61" t="s">
        <v>25</v>
      </c>
      <c r="E61" t="s">
        <v>39</v>
      </c>
      <c r="F61" t="s">
        <v>41</v>
      </c>
      <c r="G61">
        <v>1695.95</v>
      </c>
      <c r="H61" t="s">
        <v>22</v>
      </c>
      <c r="J61">
        <v>3.2</v>
      </c>
      <c r="K61">
        <v>54.27</v>
      </c>
      <c r="L61">
        <v>1641.68</v>
      </c>
    </row>
    <row r="62" spans="1:12" x14ac:dyDescent="0.25">
      <c r="A62" t="s">
        <v>105</v>
      </c>
      <c r="B62" s="1">
        <v>45318.416666666664</v>
      </c>
      <c r="C62" t="s">
        <v>31</v>
      </c>
      <c r="D62" t="s">
        <v>32</v>
      </c>
      <c r="E62" t="s">
        <v>15</v>
      </c>
      <c r="F62" t="s">
        <v>16</v>
      </c>
      <c r="G62">
        <v>4244.6000000000004</v>
      </c>
      <c r="H62" t="s">
        <v>17</v>
      </c>
      <c r="J62">
        <v>2.5</v>
      </c>
      <c r="K62">
        <v>0</v>
      </c>
      <c r="L62">
        <v>0</v>
      </c>
    </row>
    <row r="63" spans="1:12" x14ac:dyDescent="0.25">
      <c r="A63" t="s">
        <v>106</v>
      </c>
      <c r="B63" s="1">
        <v>45318.457638888889</v>
      </c>
      <c r="C63" t="s">
        <v>24</v>
      </c>
      <c r="D63" t="s">
        <v>25</v>
      </c>
      <c r="E63" t="s">
        <v>15</v>
      </c>
      <c r="F63" t="s">
        <v>21</v>
      </c>
      <c r="G63">
        <v>4983.7299999999996</v>
      </c>
      <c r="H63" t="s">
        <v>17</v>
      </c>
      <c r="J63">
        <v>2.5</v>
      </c>
      <c r="K63">
        <v>0</v>
      </c>
      <c r="L63">
        <v>0</v>
      </c>
    </row>
    <row r="64" spans="1:12" x14ac:dyDescent="0.25">
      <c r="A64" t="s">
        <v>107</v>
      </c>
      <c r="B64" s="1">
        <v>45318.770833333336</v>
      </c>
      <c r="C64" t="s">
        <v>27</v>
      </c>
      <c r="D64" t="s">
        <v>25</v>
      </c>
      <c r="E64" t="s">
        <v>33</v>
      </c>
      <c r="F64" t="s">
        <v>45</v>
      </c>
      <c r="G64">
        <v>3875.28</v>
      </c>
      <c r="H64" t="s">
        <v>34</v>
      </c>
      <c r="I64" t="s">
        <v>35</v>
      </c>
      <c r="J64">
        <v>1.9</v>
      </c>
      <c r="K64">
        <v>0</v>
      </c>
      <c r="L64">
        <v>0</v>
      </c>
    </row>
    <row r="65" spans="1:12" x14ac:dyDescent="0.25">
      <c r="A65" t="s">
        <v>108</v>
      </c>
      <c r="B65" s="1">
        <v>45319.256249999999</v>
      </c>
      <c r="C65" t="s">
        <v>60</v>
      </c>
      <c r="D65" t="s">
        <v>25</v>
      </c>
      <c r="E65" t="s">
        <v>44</v>
      </c>
      <c r="F65" t="s">
        <v>29</v>
      </c>
      <c r="G65">
        <v>188.95</v>
      </c>
      <c r="H65" t="s">
        <v>22</v>
      </c>
      <c r="J65">
        <v>2.1</v>
      </c>
      <c r="K65">
        <v>3.97</v>
      </c>
      <c r="L65">
        <v>184.98</v>
      </c>
    </row>
    <row r="66" spans="1:12" x14ac:dyDescent="0.25">
      <c r="A66" t="s">
        <v>109</v>
      </c>
      <c r="B66" s="1">
        <v>45319.458333333336</v>
      </c>
      <c r="C66" t="s">
        <v>43</v>
      </c>
      <c r="D66" t="s">
        <v>25</v>
      </c>
      <c r="E66" t="s">
        <v>44</v>
      </c>
      <c r="F66" t="s">
        <v>29</v>
      </c>
      <c r="G66">
        <v>4077.93</v>
      </c>
      <c r="H66" t="s">
        <v>17</v>
      </c>
      <c r="J66">
        <v>2.1</v>
      </c>
      <c r="K66">
        <v>0</v>
      </c>
      <c r="L66">
        <v>0</v>
      </c>
    </row>
    <row r="67" spans="1:12" x14ac:dyDescent="0.25">
      <c r="A67" t="s">
        <v>110</v>
      </c>
      <c r="B67" s="1">
        <v>45320.009027777778</v>
      </c>
      <c r="C67" t="s">
        <v>47</v>
      </c>
      <c r="D67" t="s">
        <v>25</v>
      </c>
      <c r="E67" t="s">
        <v>44</v>
      </c>
      <c r="F67" t="s">
        <v>29</v>
      </c>
      <c r="G67">
        <v>3823.16</v>
      </c>
      <c r="H67" t="s">
        <v>22</v>
      </c>
      <c r="J67">
        <v>2.1</v>
      </c>
      <c r="K67">
        <v>80.290000000000006</v>
      </c>
      <c r="L67">
        <v>3742.87</v>
      </c>
    </row>
    <row r="68" spans="1:12" x14ac:dyDescent="0.25">
      <c r="A68" t="s">
        <v>111</v>
      </c>
      <c r="B68" s="1">
        <v>45320.097222222219</v>
      </c>
      <c r="C68" t="s">
        <v>19</v>
      </c>
      <c r="D68" t="s">
        <v>20</v>
      </c>
      <c r="E68" t="s">
        <v>39</v>
      </c>
      <c r="F68" t="s">
        <v>41</v>
      </c>
      <c r="G68">
        <v>4503.87</v>
      </c>
      <c r="H68" t="s">
        <v>34</v>
      </c>
      <c r="I68" t="s">
        <v>62</v>
      </c>
      <c r="J68">
        <v>3.2</v>
      </c>
      <c r="K68">
        <v>0</v>
      </c>
      <c r="L68">
        <v>0</v>
      </c>
    </row>
    <row r="69" spans="1:12" x14ac:dyDescent="0.25">
      <c r="A69" t="s">
        <v>112</v>
      </c>
      <c r="B69" s="1">
        <v>45320.318055555559</v>
      </c>
      <c r="C69" t="s">
        <v>24</v>
      </c>
      <c r="D69" t="s">
        <v>25</v>
      </c>
      <c r="E69" t="s">
        <v>28</v>
      </c>
      <c r="F69" t="s">
        <v>45</v>
      </c>
      <c r="G69">
        <v>2395.17</v>
      </c>
      <c r="H69" t="s">
        <v>22</v>
      </c>
      <c r="J69">
        <v>2.9</v>
      </c>
      <c r="K69">
        <v>69.459999999999994</v>
      </c>
      <c r="L69">
        <v>2325.71</v>
      </c>
    </row>
    <row r="70" spans="1:12" x14ac:dyDescent="0.25">
      <c r="A70" t="s">
        <v>113</v>
      </c>
      <c r="B70" s="1">
        <v>45320.885416666664</v>
      </c>
      <c r="C70" t="s">
        <v>24</v>
      </c>
      <c r="D70" t="s">
        <v>25</v>
      </c>
      <c r="E70" t="s">
        <v>44</v>
      </c>
      <c r="F70" t="s">
        <v>21</v>
      </c>
      <c r="G70">
        <v>2966.73</v>
      </c>
      <c r="H70" t="s">
        <v>22</v>
      </c>
      <c r="J70">
        <v>2.1</v>
      </c>
      <c r="K70">
        <v>62.3</v>
      </c>
      <c r="L70">
        <v>2904.43</v>
      </c>
    </row>
    <row r="71" spans="1:12" x14ac:dyDescent="0.25">
      <c r="A71" t="s">
        <v>114</v>
      </c>
      <c r="B71" s="1">
        <v>45320.961111111108</v>
      </c>
      <c r="C71" t="s">
        <v>13</v>
      </c>
      <c r="D71" t="s">
        <v>14</v>
      </c>
      <c r="E71" t="s">
        <v>33</v>
      </c>
      <c r="F71" t="s">
        <v>16</v>
      </c>
      <c r="G71">
        <v>471.83</v>
      </c>
      <c r="H71" t="s">
        <v>22</v>
      </c>
      <c r="J71">
        <v>1.9</v>
      </c>
      <c r="K71">
        <v>8.9600000000000009</v>
      </c>
      <c r="L71">
        <v>462.87</v>
      </c>
    </row>
    <row r="72" spans="1:12" x14ac:dyDescent="0.25">
      <c r="A72" t="s">
        <v>115</v>
      </c>
      <c r="B72" s="1">
        <v>45321.067361111112</v>
      </c>
      <c r="C72" t="s">
        <v>43</v>
      </c>
      <c r="D72" t="s">
        <v>25</v>
      </c>
      <c r="E72" t="s">
        <v>33</v>
      </c>
      <c r="F72" t="s">
        <v>45</v>
      </c>
      <c r="G72">
        <v>795.59</v>
      </c>
      <c r="H72" t="s">
        <v>17</v>
      </c>
      <c r="J72">
        <v>1.9</v>
      </c>
      <c r="K72">
        <v>0</v>
      </c>
      <c r="L72">
        <v>0</v>
      </c>
    </row>
    <row r="73" spans="1:12" x14ac:dyDescent="0.25">
      <c r="A73" t="s">
        <v>116</v>
      </c>
      <c r="B73" s="1">
        <v>45321.330555555556</v>
      </c>
      <c r="C73" t="s">
        <v>19</v>
      </c>
      <c r="D73" t="s">
        <v>20</v>
      </c>
      <c r="E73" t="s">
        <v>28</v>
      </c>
      <c r="F73" t="s">
        <v>41</v>
      </c>
      <c r="G73">
        <v>3662.22</v>
      </c>
      <c r="H73" t="s">
        <v>22</v>
      </c>
      <c r="J73">
        <v>2.9</v>
      </c>
      <c r="K73">
        <v>106.2</v>
      </c>
      <c r="L73">
        <v>3556.02</v>
      </c>
    </row>
    <row r="74" spans="1:12" x14ac:dyDescent="0.25">
      <c r="A74" t="s">
        <v>117</v>
      </c>
      <c r="B74" s="1">
        <v>45321.728472222225</v>
      </c>
      <c r="C74" t="s">
        <v>47</v>
      </c>
      <c r="D74" t="s">
        <v>25</v>
      </c>
      <c r="E74" t="s">
        <v>28</v>
      </c>
      <c r="F74" t="s">
        <v>16</v>
      </c>
      <c r="G74">
        <v>1279.74</v>
      </c>
      <c r="H74" t="s">
        <v>22</v>
      </c>
      <c r="J74">
        <v>2.9</v>
      </c>
      <c r="K74">
        <v>37.11</v>
      </c>
      <c r="L74">
        <v>1242.6300000000001</v>
      </c>
    </row>
    <row r="75" spans="1:12" x14ac:dyDescent="0.25">
      <c r="A75" t="s">
        <v>118</v>
      </c>
      <c r="B75" s="1">
        <v>45323.025694444441</v>
      </c>
      <c r="C75" t="s">
        <v>60</v>
      </c>
      <c r="D75" t="s">
        <v>25</v>
      </c>
      <c r="E75" t="s">
        <v>44</v>
      </c>
      <c r="F75" t="s">
        <v>21</v>
      </c>
      <c r="G75">
        <v>1750.9</v>
      </c>
      <c r="H75" t="s">
        <v>17</v>
      </c>
      <c r="J75">
        <v>2.1</v>
      </c>
      <c r="K75">
        <v>0</v>
      </c>
      <c r="L75">
        <v>0</v>
      </c>
    </row>
    <row r="76" spans="1:12" x14ac:dyDescent="0.25">
      <c r="A76" t="s">
        <v>119</v>
      </c>
      <c r="B76" s="1">
        <v>45323.497916666667</v>
      </c>
      <c r="C76" t="s">
        <v>13</v>
      </c>
      <c r="D76" t="s">
        <v>14</v>
      </c>
      <c r="E76" t="s">
        <v>28</v>
      </c>
      <c r="F76" t="s">
        <v>41</v>
      </c>
      <c r="G76">
        <v>3519.74</v>
      </c>
      <c r="H76" t="s">
        <v>22</v>
      </c>
      <c r="J76">
        <v>2.9</v>
      </c>
      <c r="K76">
        <v>102.07</v>
      </c>
      <c r="L76">
        <v>3417.67</v>
      </c>
    </row>
    <row r="77" spans="1:12" x14ac:dyDescent="0.25">
      <c r="A77" t="s">
        <v>120</v>
      </c>
      <c r="B77" s="1">
        <v>45323.667361111111</v>
      </c>
      <c r="C77" t="s">
        <v>58</v>
      </c>
      <c r="D77" t="s">
        <v>25</v>
      </c>
      <c r="E77" t="s">
        <v>33</v>
      </c>
      <c r="F77" t="s">
        <v>21</v>
      </c>
      <c r="G77">
        <v>2770.75</v>
      </c>
      <c r="H77" t="s">
        <v>22</v>
      </c>
      <c r="J77">
        <v>1.9</v>
      </c>
      <c r="K77">
        <v>52.64</v>
      </c>
      <c r="L77">
        <v>2718.11</v>
      </c>
    </row>
    <row r="78" spans="1:12" x14ac:dyDescent="0.25">
      <c r="A78" t="s">
        <v>121</v>
      </c>
      <c r="B78" s="1">
        <v>45323.854166666664</v>
      </c>
      <c r="C78" t="s">
        <v>19</v>
      </c>
      <c r="D78" t="s">
        <v>20</v>
      </c>
      <c r="E78" t="s">
        <v>44</v>
      </c>
      <c r="F78" t="s">
        <v>45</v>
      </c>
      <c r="G78">
        <v>267.58</v>
      </c>
      <c r="H78" t="s">
        <v>22</v>
      </c>
      <c r="J78">
        <v>2.1</v>
      </c>
      <c r="K78">
        <v>5.62</v>
      </c>
      <c r="L78">
        <v>261.95999999999998</v>
      </c>
    </row>
    <row r="79" spans="1:12" x14ac:dyDescent="0.25">
      <c r="A79" t="s">
        <v>122</v>
      </c>
      <c r="B79" s="1">
        <v>45324.161805555559</v>
      </c>
      <c r="C79" t="s">
        <v>43</v>
      </c>
      <c r="D79" t="s">
        <v>25</v>
      </c>
      <c r="E79" t="s">
        <v>33</v>
      </c>
      <c r="F79" t="s">
        <v>45</v>
      </c>
      <c r="G79">
        <v>92.01</v>
      </c>
      <c r="H79" t="s">
        <v>17</v>
      </c>
      <c r="J79">
        <v>1.9</v>
      </c>
      <c r="K79">
        <v>0</v>
      </c>
      <c r="L79">
        <v>0</v>
      </c>
    </row>
    <row r="80" spans="1:12" x14ac:dyDescent="0.25">
      <c r="A80" t="s">
        <v>123</v>
      </c>
      <c r="B80" s="1">
        <v>45324.268750000003</v>
      </c>
      <c r="C80" t="s">
        <v>37</v>
      </c>
      <c r="D80" t="s">
        <v>38</v>
      </c>
      <c r="E80" t="s">
        <v>15</v>
      </c>
      <c r="F80" t="s">
        <v>21</v>
      </c>
      <c r="G80">
        <v>612.79999999999995</v>
      </c>
      <c r="H80" t="s">
        <v>17</v>
      </c>
      <c r="J80">
        <v>2.5</v>
      </c>
      <c r="K80">
        <v>0</v>
      </c>
      <c r="L80">
        <v>0</v>
      </c>
    </row>
    <row r="81" spans="1:12" x14ac:dyDescent="0.25">
      <c r="A81" t="s">
        <v>124</v>
      </c>
      <c r="B81" s="1">
        <v>45324.51666666667</v>
      </c>
      <c r="C81" t="s">
        <v>19</v>
      </c>
      <c r="D81" t="s">
        <v>20</v>
      </c>
      <c r="E81" t="s">
        <v>15</v>
      </c>
      <c r="F81" t="s">
        <v>45</v>
      </c>
      <c r="G81">
        <v>1264.56</v>
      </c>
      <c r="H81" t="s">
        <v>17</v>
      </c>
      <c r="J81">
        <v>2.5</v>
      </c>
      <c r="K81">
        <v>0</v>
      </c>
      <c r="L81">
        <v>0</v>
      </c>
    </row>
    <row r="82" spans="1:12" x14ac:dyDescent="0.25">
      <c r="A82" t="s">
        <v>125</v>
      </c>
      <c r="B82" s="1">
        <v>45324.842361111114</v>
      </c>
      <c r="C82" t="s">
        <v>58</v>
      </c>
      <c r="D82" t="s">
        <v>25</v>
      </c>
      <c r="E82" t="s">
        <v>39</v>
      </c>
      <c r="F82" t="s">
        <v>21</v>
      </c>
      <c r="G82">
        <v>3233.75</v>
      </c>
      <c r="H82" t="s">
        <v>22</v>
      </c>
      <c r="J82">
        <v>3.2</v>
      </c>
      <c r="K82">
        <v>103.48</v>
      </c>
      <c r="L82">
        <v>3130.27</v>
      </c>
    </row>
    <row r="83" spans="1:12" x14ac:dyDescent="0.25">
      <c r="A83" t="s">
        <v>126</v>
      </c>
      <c r="B83" s="1">
        <v>45325.289583333331</v>
      </c>
      <c r="C83" t="s">
        <v>43</v>
      </c>
      <c r="D83" t="s">
        <v>25</v>
      </c>
      <c r="E83" t="s">
        <v>44</v>
      </c>
      <c r="F83" t="s">
        <v>41</v>
      </c>
      <c r="G83">
        <v>4526.34</v>
      </c>
      <c r="H83" t="s">
        <v>22</v>
      </c>
      <c r="J83">
        <v>2.1</v>
      </c>
      <c r="K83">
        <v>95.05</v>
      </c>
      <c r="L83">
        <v>4431.29</v>
      </c>
    </row>
    <row r="84" spans="1:12" x14ac:dyDescent="0.25">
      <c r="A84" t="s">
        <v>127</v>
      </c>
      <c r="B84" s="1">
        <v>45326.376388888886</v>
      </c>
      <c r="C84" t="s">
        <v>31</v>
      </c>
      <c r="D84" t="s">
        <v>32</v>
      </c>
      <c r="E84" t="s">
        <v>28</v>
      </c>
      <c r="F84" t="s">
        <v>21</v>
      </c>
      <c r="G84">
        <v>3243.37</v>
      </c>
      <c r="H84" t="s">
        <v>22</v>
      </c>
      <c r="J84">
        <v>2.9</v>
      </c>
      <c r="K84">
        <v>94.06</v>
      </c>
      <c r="L84">
        <v>3149.31</v>
      </c>
    </row>
    <row r="85" spans="1:12" x14ac:dyDescent="0.25">
      <c r="A85" t="s">
        <v>128</v>
      </c>
      <c r="B85" s="1">
        <v>45326.529166666667</v>
      </c>
      <c r="C85" t="s">
        <v>47</v>
      </c>
      <c r="D85" t="s">
        <v>25</v>
      </c>
      <c r="E85" t="s">
        <v>39</v>
      </c>
      <c r="F85" t="s">
        <v>41</v>
      </c>
      <c r="G85">
        <v>105.2</v>
      </c>
      <c r="H85" t="s">
        <v>34</v>
      </c>
      <c r="I85" t="s">
        <v>35</v>
      </c>
      <c r="J85">
        <v>3.2</v>
      </c>
      <c r="K85">
        <v>0</v>
      </c>
      <c r="L85">
        <v>0</v>
      </c>
    </row>
    <row r="86" spans="1:12" x14ac:dyDescent="0.25">
      <c r="A86" t="s">
        <v>129</v>
      </c>
      <c r="B86" s="1">
        <v>45327.199305555558</v>
      </c>
      <c r="C86" t="s">
        <v>60</v>
      </c>
      <c r="D86" t="s">
        <v>25</v>
      </c>
      <c r="E86" t="s">
        <v>28</v>
      </c>
      <c r="F86" t="s">
        <v>45</v>
      </c>
      <c r="G86">
        <v>1083.51</v>
      </c>
      <c r="H86" t="s">
        <v>34</v>
      </c>
      <c r="I86" t="s">
        <v>55</v>
      </c>
      <c r="J86">
        <v>2.9</v>
      </c>
      <c r="K86">
        <v>0</v>
      </c>
      <c r="L86">
        <v>0</v>
      </c>
    </row>
    <row r="87" spans="1:12" x14ac:dyDescent="0.25">
      <c r="A87" t="s">
        <v>130</v>
      </c>
      <c r="B87" s="1">
        <v>45327.367361111108</v>
      </c>
      <c r="C87" t="s">
        <v>58</v>
      </c>
      <c r="D87" t="s">
        <v>25</v>
      </c>
      <c r="E87" t="s">
        <v>39</v>
      </c>
      <c r="F87" t="s">
        <v>45</v>
      </c>
      <c r="G87">
        <v>1343.19</v>
      </c>
      <c r="H87" t="s">
        <v>22</v>
      </c>
      <c r="J87">
        <v>3.2</v>
      </c>
      <c r="K87">
        <v>42.98</v>
      </c>
      <c r="L87">
        <v>1300.21</v>
      </c>
    </row>
    <row r="88" spans="1:12" x14ac:dyDescent="0.25">
      <c r="A88" t="s">
        <v>131</v>
      </c>
      <c r="B88" s="1">
        <v>45328.074305555558</v>
      </c>
      <c r="C88" t="s">
        <v>27</v>
      </c>
      <c r="D88" t="s">
        <v>25</v>
      </c>
      <c r="E88" t="s">
        <v>15</v>
      </c>
      <c r="F88" t="s">
        <v>41</v>
      </c>
      <c r="G88">
        <v>2361.39</v>
      </c>
      <c r="H88" t="s">
        <v>17</v>
      </c>
      <c r="J88">
        <v>2.5</v>
      </c>
      <c r="K88">
        <v>0</v>
      </c>
      <c r="L88">
        <v>0</v>
      </c>
    </row>
    <row r="89" spans="1:12" x14ac:dyDescent="0.25">
      <c r="A89" t="s">
        <v>132</v>
      </c>
      <c r="B89" s="1">
        <v>45328.090277777781</v>
      </c>
      <c r="C89" t="s">
        <v>37</v>
      </c>
      <c r="D89" t="s">
        <v>38</v>
      </c>
      <c r="E89" t="s">
        <v>44</v>
      </c>
      <c r="F89" t="s">
        <v>21</v>
      </c>
      <c r="G89">
        <v>1591.22</v>
      </c>
      <c r="H89" t="s">
        <v>22</v>
      </c>
      <c r="J89">
        <v>2.1</v>
      </c>
      <c r="K89">
        <v>33.42</v>
      </c>
      <c r="L89">
        <v>1557.8</v>
      </c>
    </row>
    <row r="90" spans="1:12" x14ac:dyDescent="0.25">
      <c r="A90" t="s">
        <v>133</v>
      </c>
      <c r="B90" s="1">
        <v>45328.37777777778</v>
      </c>
      <c r="C90" t="s">
        <v>24</v>
      </c>
      <c r="D90" t="s">
        <v>25</v>
      </c>
      <c r="E90" t="s">
        <v>33</v>
      </c>
      <c r="F90" t="s">
        <v>41</v>
      </c>
      <c r="G90">
        <v>515.11</v>
      </c>
      <c r="H90" t="s">
        <v>22</v>
      </c>
      <c r="J90">
        <v>1.9</v>
      </c>
      <c r="K90">
        <v>9.7899999999999991</v>
      </c>
      <c r="L90">
        <v>505.32</v>
      </c>
    </row>
    <row r="91" spans="1:12" x14ac:dyDescent="0.25">
      <c r="A91" t="s">
        <v>134</v>
      </c>
      <c r="B91" s="1">
        <v>45328.538194444445</v>
      </c>
      <c r="C91" t="s">
        <v>60</v>
      </c>
      <c r="D91" t="s">
        <v>25</v>
      </c>
      <c r="E91" t="s">
        <v>15</v>
      </c>
      <c r="F91" t="s">
        <v>41</v>
      </c>
      <c r="G91">
        <v>2304.17</v>
      </c>
      <c r="H91" t="s">
        <v>22</v>
      </c>
      <c r="J91">
        <v>2.5</v>
      </c>
      <c r="K91">
        <v>57.6</v>
      </c>
      <c r="L91">
        <v>2246.5700000000002</v>
      </c>
    </row>
    <row r="92" spans="1:12" x14ac:dyDescent="0.25">
      <c r="A92" t="s">
        <v>135</v>
      </c>
      <c r="B92" s="1">
        <v>45328.677083333336</v>
      </c>
      <c r="C92" t="s">
        <v>47</v>
      </c>
      <c r="D92" t="s">
        <v>25</v>
      </c>
      <c r="E92" t="s">
        <v>15</v>
      </c>
      <c r="F92" t="s">
        <v>29</v>
      </c>
      <c r="G92">
        <v>2700.78</v>
      </c>
      <c r="H92" t="s">
        <v>17</v>
      </c>
      <c r="J92">
        <v>2.5</v>
      </c>
      <c r="K92">
        <v>0</v>
      </c>
      <c r="L92">
        <v>0</v>
      </c>
    </row>
    <row r="93" spans="1:12" x14ac:dyDescent="0.25">
      <c r="A93" t="s">
        <v>136</v>
      </c>
      <c r="B93" s="1">
        <v>45328.705555555556</v>
      </c>
      <c r="C93" t="s">
        <v>60</v>
      </c>
      <c r="D93" t="s">
        <v>25</v>
      </c>
      <c r="E93" t="s">
        <v>39</v>
      </c>
      <c r="F93" t="s">
        <v>21</v>
      </c>
      <c r="G93">
        <v>668.59</v>
      </c>
      <c r="H93" t="s">
        <v>17</v>
      </c>
      <c r="J93">
        <v>3.2</v>
      </c>
      <c r="K93">
        <v>0</v>
      </c>
      <c r="L93">
        <v>0</v>
      </c>
    </row>
    <row r="94" spans="1:12" x14ac:dyDescent="0.25">
      <c r="A94" t="s">
        <v>137</v>
      </c>
      <c r="B94" s="1">
        <v>45329.095138888886</v>
      </c>
      <c r="C94" t="s">
        <v>27</v>
      </c>
      <c r="D94" t="s">
        <v>25</v>
      </c>
      <c r="E94" t="s">
        <v>15</v>
      </c>
      <c r="F94" t="s">
        <v>29</v>
      </c>
      <c r="G94">
        <v>3700.88</v>
      </c>
      <c r="H94" t="s">
        <v>22</v>
      </c>
      <c r="J94">
        <v>2.5</v>
      </c>
      <c r="K94">
        <v>92.52</v>
      </c>
      <c r="L94">
        <v>3608.36</v>
      </c>
    </row>
    <row r="95" spans="1:12" x14ac:dyDescent="0.25">
      <c r="A95" t="s">
        <v>138</v>
      </c>
      <c r="B95" s="1">
        <v>45329.180555555555</v>
      </c>
      <c r="C95" t="s">
        <v>31</v>
      </c>
      <c r="D95" t="s">
        <v>32</v>
      </c>
      <c r="E95" t="s">
        <v>15</v>
      </c>
      <c r="F95" t="s">
        <v>16</v>
      </c>
      <c r="G95">
        <v>3403.74</v>
      </c>
      <c r="H95" t="s">
        <v>22</v>
      </c>
      <c r="J95">
        <v>2.5</v>
      </c>
      <c r="K95">
        <v>85.09</v>
      </c>
      <c r="L95">
        <v>3318.65</v>
      </c>
    </row>
    <row r="96" spans="1:12" x14ac:dyDescent="0.25">
      <c r="A96" t="s">
        <v>139</v>
      </c>
      <c r="B96" s="1">
        <v>45329.285416666666</v>
      </c>
      <c r="C96" t="s">
        <v>19</v>
      </c>
      <c r="D96" t="s">
        <v>20</v>
      </c>
      <c r="E96" t="s">
        <v>33</v>
      </c>
      <c r="F96" t="s">
        <v>29</v>
      </c>
      <c r="G96">
        <v>2402.1799999999998</v>
      </c>
      <c r="H96" t="s">
        <v>22</v>
      </c>
      <c r="J96">
        <v>1.9</v>
      </c>
      <c r="K96">
        <v>45.64</v>
      </c>
      <c r="L96">
        <v>2356.54</v>
      </c>
    </row>
    <row r="97" spans="1:12" x14ac:dyDescent="0.25">
      <c r="A97" t="s">
        <v>140</v>
      </c>
      <c r="B97" s="1">
        <v>45329.522222222222</v>
      </c>
      <c r="C97" t="s">
        <v>43</v>
      </c>
      <c r="D97" t="s">
        <v>25</v>
      </c>
      <c r="E97" t="s">
        <v>33</v>
      </c>
      <c r="F97" t="s">
        <v>21</v>
      </c>
      <c r="G97">
        <v>4128.3</v>
      </c>
      <c r="H97" t="s">
        <v>17</v>
      </c>
      <c r="J97">
        <v>1.9</v>
      </c>
      <c r="K97">
        <v>0</v>
      </c>
      <c r="L97">
        <v>0</v>
      </c>
    </row>
    <row r="98" spans="1:12" x14ac:dyDescent="0.25">
      <c r="A98" t="s">
        <v>141</v>
      </c>
      <c r="B98" s="1">
        <v>45330.747916666667</v>
      </c>
      <c r="C98" t="s">
        <v>31</v>
      </c>
      <c r="D98" t="s">
        <v>32</v>
      </c>
      <c r="E98" t="s">
        <v>39</v>
      </c>
      <c r="F98" t="s">
        <v>45</v>
      </c>
      <c r="G98">
        <v>4926.53</v>
      </c>
      <c r="H98" t="s">
        <v>34</v>
      </c>
      <c r="I98" t="s">
        <v>78</v>
      </c>
      <c r="J98">
        <v>3.2</v>
      </c>
      <c r="K98">
        <v>0</v>
      </c>
      <c r="L98">
        <v>0</v>
      </c>
    </row>
    <row r="99" spans="1:12" x14ac:dyDescent="0.25">
      <c r="A99" t="s">
        <v>142</v>
      </c>
      <c r="B99" s="1">
        <v>45330.868055555555</v>
      </c>
      <c r="C99" t="s">
        <v>31</v>
      </c>
      <c r="D99" t="s">
        <v>32</v>
      </c>
      <c r="E99" t="s">
        <v>15</v>
      </c>
      <c r="F99" t="s">
        <v>45</v>
      </c>
      <c r="G99">
        <v>3751.51</v>
      </c>
      <c r="H99" t="s">
        <v>22</v>
      </c>
      <c r="J99">
        <v>2.5</v>
      </c>
      <c r="K99">
        <v>93.79</v>
      </c>
      <c r="L99">
        <v>3657.72</v>
      </c>
    </row>
    <row r="100" spans="1:12" x14ac:dyDescent="0.25">
      <c r="A100" t="s">
        <v>143</v>
      </c>
      <c r="B100" s="1">
        <v>45330.877083333333</v>
      </c>
      <c r="C100" t="s">
        <v>60</v>
      </c>
      <c r="D100" t="s">
        <v>25</v>
      </c>
      <c r="E100" t="s">
        <v>15</v>
      </c>
      <c r="F100" t="s">
        <v>29</v>
      </c>
      <c r="G100">
        <v>4214.3</v>
      </c>
      <c r="H100" t="s">
        <v>22</v>
      </c>
      <c r="J100">
        <v>2.5</v>
      </c>
      <c r="K100">
        <v>105.36</v>
      </c>
      <c r="L100">
        <v>4108.9399999999996</v>
      </c>
    </row>
    <row r="101" spans="1:12" x14ac:dyDescent="0.25">
      <c r="A101" t="s">
        <v>144</v>
      </c>
      <c r="B101" s="1">
        <v>45331.412499999999</v>
      </c>
      <c r="C101" t="s">
        <v>31</v>
      </c>
      <c r="D101" t="s">
        <v>32</v>
      </c>
      <c r="E101" t="s">
        <v>33</v>
      </c>
      <c r="F101" t="s">
        <v>45</v>
      </c>
      <c r="G101">
        <v>4177.25</v>
      </c>
      <c r="H101" t="s">
        <v>17</v>
      </c>
      <c r="J101">
        <v>1.9</v>
      </c>
      <c r="K101">
        <v>0</v>
      </c>
      <c r="L101">
        <v>0</v>
      </c>
    </row>
    <row r="102" spans="1:12" x14ac:dyDescent="0.25">
      <c r="A102" t="s">
        <v>145</v>
      </c>
      <c r="B102" s="1">
        <v>45331.765972222223</v>
      </c>
      <c r="C102" t="s">
        <v>31</v>
      </c>
      <c r="D102" t="s">
        <v>32</v>
      </c>
      <c r="E102" t="s">
        <v>33</v>
      </c>
      <c r="F102" t="s">
        <v>41</v>
      </c>
      <c r="G102">
        <v>904.93</v>
      </c>
      <c r="H102" t="s">
        <v>17</v>
      </c>
      <c r="J102">
        <v>1.9</v>
      </c>
      <c r="K102">
        <v>0</v>
      </c>
      <c r="L102">
        <v>0</v>
      </c>
    </row>
    <row r="103" spans="1:12" x14ac:dyDescent="0.25">
      <c r="A103" t="s">
        <v>146</v>
      </c>
      <c r="B103" s="1">
        <v>45331.869444444441</v>
      </c>
      <c r="C103" t="s">
        <v>47</v>
      </c>
      <c r="D103" t="s">
        <v>25</v>
      </c>
      <c r="E103" t="s">
        <v>33</v>
      </c>
      <c r="F103" t="s">
        <v>21</v>
      </c>
      <c r="G103">
        <v>2170.2199999999998</v>
      </c>
      <c r="H103" t="s">
        <v>17</v>
      </c>
      <c r="J103">
        <v>1.9</v>
      </c>
      <c r="K103">
        <v>0</v>
      </c>
      <c r="L103">
        <v>0</v>
      </c>
    </row>
    <row r="104" spans="1:12" x14ac:dyDescent="0.25">
      <c r="A104" t="s">
        <v>147</v>
      </c>
      <c r="B104" s="1">
        <v>45332.568055555559</v>
      </c>
      <c r="C104" t="s">
        <v>27</v>
      </c>
      <c r="D104" t="s">
        <v>25</v>
      </c>
      <c r="E104" t="s">
        <v>33</v>
      </c>
      <c r="F104" t="s">
        <v>21</v>
      </c>
      <c r="G104">
        <v>1612.85</v>
      </c>
      <c r="H104" t="s">
        <v>22</v>
      </c>
      <c r="J104">
        <v>1.9</v>
      </c>
      <c r="K104">
        <v>30.64</v>
      </c>
      <c r="L104">
        <v>1582.21</v>
      </c>
    </row>
    <row r="105" spans="1:12" x14ac:dyDescent="0.25">
      <c r="A105" t="s">
        <v>148</v>
      </c>
      <c r="B105" s="1">
        <v>45332.793055555558</v>
      </c>
      <c r="C105" t="s">
        <v>58</v>
      </c>
      <c r="D105" t="s">
        <v>25</v>
      </c>
      <c r="E105" t="s">
        <v>15</v>
      </c>
      <c r="F105" t="s">
        <v>45</v>
      </c>
      <c r="G105">
        <v>3284.31</v>
      </c>
      <c r="H105" t="s">
        <v>22</v>
      </c>
      <c r="J105">
        <v>2.5</v>
      </c>
      <c r="K105">
        <v>82.11</v>
      </c>
      <c r="L105">
        <v>3202.2</v>
      </c>
    </row>
    <row r="106" spans="1:12" x14ac:dyDescent="0.25">
      <c r="A106" t="s">
        <v>149</v>
      </c>
      <c r="B106" s="1">
        <v>45333.085416666669</v>
      </c>
      <c r="C106" t="s">
        <v>58</v>
      </c>
      <c r="D106" t="s">
        <v>25</v>
      </c>
      <c r="E106" t="s">
        <v>44</v>
      </c>
      <c r="F106" t="s">
        <v>16</v>
      </c>
      <c r="G106">
        <v>1081.77</v>
      </c>
      <c r="H106" t="s">
        <v>22</v>
      </c>
      <c r="J106">
        <v>2.1</v>
      </c>
      <c r="K106">
        <v>22.72</v>
      </c>
      <c r="L106">
        <v>1059.05</v>
      </c>
    </row>
    <row r="107" spans="1:12" x14ac:dyDescent="0.25">
      <c r="A107" t="s">
        <v>150</v>
      </c>
      <c r="B107" s="1">
        <v>45333.168749999997</v>
      </c>
      <c r="C107" t="s">
        <v>47</v>
      </c>
      <c r="D107" t="s">
        <v>25</v>
      </c>
      <c r="E107" t="s">
        <v>15</v>
      </c>
      <c r="F107" t="s">
        <v>41</v>
      </c>
      <c r="G107">
        <v>2720.53</v>
      </c>
      <c r="H107" t="s">
        <v>22</v>
      </c>
      <c r="J107">
        <v>2.5</v>
      </c>
      <c r="K107">
        <v>68.010000000000005</v>
      </c>
      <c r="L107">
        <v>2652.52</v>
      </c>
    </row>
    <row r="108" spans="1:12" x14ac:dyDescent="0.25">
      <c r="A108" t="s">
        <v>151</v>
      </c>
      <c r="B108" s="1">
        <v>45334.401388888888</v>
      </c>
      <c r="C108" t="s">
        <v>13</v>
      </c>
      <c r="D108" t="s">
        <v>14</v>
      </c>
      <c r="E108" t="s">
        <v>15</v>
      </c>
      <c r="F108" t="s">
        <v>21</v>
      </c>
      <c r="G108">
        <v>953.21</v>
      </c>
      <c r="H108" t="s">
        <v>22</v>
      </c>
      <c r="J108">
        <v>2.5</v>
      </c>
      <c r="K108">
        <v>23.83</v>
      </c>
      <c r="L108">
        <v>929.38</v>
      </c>
    </row>
    <row r="109" spans="1:12" x14ac:dyDescent="0.25">
      <c r="A109" t="s">
        <v>152</v>
      </c>
      <c r="B109" s="1">
        <v>45334.662499999999</v>
      </c>
      <c r="C109" t="s">
        <v>58</v>
      </c>
      <c r="D109" t="s">
        <v>25</v>
      </c>
      <c r="E109" t="s">
        <v>39</v>
      </c>
      <c r="F109" t="s">
        <v>45</v>
      </c>
      <c r="G109">
        <v>4886.87</v>
      </c>
      <c r="H109" t="s">
        <v>22</v>
      </c>
      <c r="J109">
        <v>3.2</v>
      </c>
      <c r="K109">
        <v>156.38</v>
      </c>
      <c r="L109">
        <v>4730.49</v>
      </c>
    </row>
    <row r="110" spans="1:12" x14ac:dyDescent="0.25">
      <c r="A110" t="s">
        <v>153</v>
      </c>
      <c r="B110" s="1">
        <v>45335.349305555559</v>
      </c>
      <c r="C110" t="s">
        <v>58</v>
      </c>
      <c r="D110" t="s">
        <v>25</v>
      </c>
      <c r="E110" t="s">
        <v>39</v>
      </c>
      <c r="F110" t="s">
        <v>29</v>
      </c>
      <c r="G110">
        <v>766.54</v>
      </c>
      <c r="H110" t="s">
        <v>17</v>
      </c>
      <c r="J110">
        <v>3.2</v>
      </c>
      <c r="K110">
        <v>0</v>
      </c>
      <c r="L110">
        <v>0</v>
      </c>
    </row>
    <row r="111" spans="1:12" x14ac:dyDescent="0.25">
      <c r="A111" t="s">
        <v>154</v>
      </c>
      <c r="B111" s="1">
        <v>45335.754166666666</v>
      </c>
      <c r="C111" t="s">
        <v>13</v>
      </c>
      <c r="D111" t="s">
        <v>14</v>
      </c>
      <c r="E111" t="s">
        <v>44</v>
      </c>
      <c r="F111" t="s">
        <v>16</v>
      </c>
      <c r="G111">
        <v>383.4</v>
      </c>
      <c r="H111" t="s">
        <v>17</v>
      </c>
      <c r="J111">
        <v>2.1</v>
      </c>
      <c r="K111">
        <v>0</v>
      </c>
      <c r="L111">
        <v>0</v>
      </c>
    </row>
    <row r="112" spans="1:12" x14ac:dyDescent="0.25">
      <c r="A112" t="s">
        <v>155</v>
      </c>
      <c r="B112" s="1">
        <v>45336.04583333333</v>
      </c>
      <c r="C112" t="s">
        <v>58</v>
      </c>
      <c r="D112" t="s">
        <v>25</v>
      </c>
      <c r="E112" t="s">
        <v>44</v>
      </c>
      <c r="F112" t="s">
        <v>29</v>
      </c>
      <c r="G112">
        <v>3363.73</v>
      </c>
      <c r="H112" t="s">
        <v>17</v>
      </c>
      <c r="J112">
        <v>2.1</v>
      </c>
      <c r="K112">
        <v>0</v>
      </c>
      <c r="L112">
        <v>0</v>
      </c>
    </row>
    <row r="113" spans="1:12" x14ac:dyDescent="0.25">
      <c r="A113" t="s">
        <v>156</v>
      </c>
      <c r="B113" s="1">
        <v>45336.130555555559</v>
      </c>
      <c r="C113" t="s">
        <v>31</v>
      </c>
      <c r="D113" t="s">
        <v>32</v>
      </c>
      <c r="E113" t="s">
        <v>33</v>
      </c>
      <c r="F113" t="s">
        <v>16</v>
      </c>
      <c r="G113">
        <v>1764.16</v>
      </c>
      <c r="H113" t="s">
        <v>34</v>
      </c>
      <c r="I113" t="s">
        <v>62</v>
      </c>
      <c r="J113">
        <v>1.9</v>
      </c>
      <c r="K113">
        <v>0</v>
      </c>
      <c r="L113">
        <v>0</v>
      </c>
    </row>
    <row r="114" spans="1:12" x14ac:dyDescent="0.25">
      <c r="A114" t="s">
        <v>157</v>
      </c>
      <c r="B114" s="1">
        <v>45336.227083333331</v>
      </c>
      <c r="C114" t="s">
        <v>43</v>
      </c>
      <c r="D114" t="s">
        <v>25</v>
      </c>
      <c r="E114" t="s">
        <v>33</v>
      </c>
      <c r="F114" t="s">
        <v>45</v>
      </c>
      <c r="G114">
        <v>2567.08</v>
      </c>
      <c r="H114" t="s">
        <v>22</v>
      </c>
      <c r="J114">
        <v>1.9</v>
      </c>
      <c r="K114">
        <v>48.77</v>
      </c>
      <c r="L114">
        <v>2518.31</v>
      </c>
    </row>
    <row r="115" spans="1:12" x14ac:dyDescent="0.25">
      <c r="A115" t="s">
        <v>158</v>
      </c>
      <c r="B115" s="1">
        <v>45337.018055555556</v>
      </c>
      <c r="C115" t="s">
        <v>47</v>
      </c>
      <c r="D115" t="s">
        <v>25</v>
      </c>
      <c r="E115" t="s">
        <v>15</v>
      </c>
      <c r="F115" t="s">
        <v>29</v>
      </c>
      <c r="G115">
        <v>2783.51</v>
      </c>
      <c r="H115" t="s">
        <v>17</v>
      </c>
      <c r="J115">
        <v>2.5</v>
      </c>
      <c r="K115">
        <v>0</v>
      </c>
      <c r="L115">
        <v>0</v>
      </c>
    </row>
    <row r="116" spans="1:12" x14ac:dyDescent="0.25">
      <c r="A116" t="s">
        <v>159</v>
      </c>
      <c r="B116" s="1">
        <v>45337.482638888891</v>
      </c>
      <c r="C116" t="s">
        <v>31</v>
      </c>
      <c r="D116" t="s">
        <v>32</v>
      </c>
      <c r="E116" t="s">
        <v>33</v>
      </c>
      <c r="F116" t="s">
        <v>45</v>
      </c>
      <c r="G116">
        <v>3924.35</v>
      </c>
      <c r="H116" t="s">
        <v>34</v>
      </c>
      <c r="I116" t="s">
        <v>78</v>
      </c>
      <c r="J116">
        <v>1.9</v>
      </c>
      <c r="K116">
        <v>0</v>
      </c>
      <c r="L116">
        <v>0</v>
      </c>
    </row>
    <row r="117" spans="1:12" x14ac:dyDescent="0.25">
      <c r="A117" t="s">
        <v>160</v>
      </c>
      <c r="B117" s="1">
        <v>45338.079861111109</v>
      </c>
      <c r="C117" t="s">
        <v>31</v>
      </c>
      <c r="D117" t="s">
        <v>32</v>
      </c>
      <c r="E117" t="s">
        <v>44</v>
      </c>
      <c r="F117" t="s">
        <v>29</v>
      </c>
      <c r="G117">
        <v>3962.48</v>
      </c>
      <c r="H117" t="s">
        <v>34</v>
      </c>
      <c r="I117" t="s">
        <v>100</v>
      </c>
      <c r="J117">
        <v>2.1</v>
      </c>
      <c r="K117">
        <v>0</v>
      </c>
      <c r="L117">
        <v>0</v>
      </c>
    </row>
    <row r="118" spans="1:12" x14ac:dyDescent="0.25">
      <c r="A118" t="s">
        <v>161</v>
      </c>
      <c r="B118" s="1">
        <v>45338.086805555555</v>
      </c>
      <c r="C118" t="s">
        <v>58</v>
      </c>
      <c r="D118" t="s">
        <v>25</v>
      </c>
      <c r="E118" t="s">
        <v>28</v>
      </c>
      <c r="F118" t="s">
        <v>21</v>
      </c>
      <c r="G118">
        <v>4060.73</v>
      </c>
      <c r="H118" t="s">
        <v>17</v>
      </c>
      <c r="J118">
        <v>2.9</v>
      </c>
      <c r="K118">
        <v>0</v>
      </c>
      <c r="L118">
        <v>0</v>
      </c>
    </row>
    <row r="119" spans="1:12" x14ac:dyDescent="0.25">
      <c r="A119" t="s">
        <v>162</v>
      </c>
      <c r="B119" s="1">
        <v>45338.15625</v>
      </c>
      <c r="C119" t="s">
        <v>43</v>
      </c>
      <c r="D119" t="s">
        <v>25</v>
      </c>
      <c r="E119" t="s">
        <v>39</v>
      </c>
      <c r="F119" t="s">
        <v>41</v>
      </c>
      <c r="G119">
        <v>2623.85</v>
      </c>
      <c r="H119" t="s">
        <v>34</v>
      </c>
      <c r="I119" t="s">
        <v>100</v>
      </c>
      <c r="J119">
        <v>3.2</v>
      </c>
      <c r="K119">
        <v>0</v>
      </c>
      <c r="L119">
        <v>0</v>
      </c>
    </row>
    <row r="120" spans="1:12" x14ac:dyDescent="0.25">
      <c r="A120" t="s">
        <v>163</v>
      </c>
      <c r="B120" s="1">
        <v>45338.669444444444</v>
      </c>
      <c r="C120" t="s">
        <v>31</v>
      </c>
      <c r="D120" t="s">
        <v>32</v>
      </c>
      <c r="E120" t="s">
        <v>39</v>
      </c>
      <c r="F120" t="s">
        <v>29</v>
      </c>
      <c r="G120">
        <v>2289.19</v>
      </c>
      <c r="H120" t="s">
        <v>22</v>
      </c>
      <c r="J120">
        <v>3.2</v>
      </c>
      <c r="K120">
        <v>73.25</v>
      </c>
      <c r="L120">
        <v>2215.94</v>
      </c>
    </row>
    <row r="121" spans="1:12" x14ac:dyDescent="0.25">
      <c r="A121" t="s">
        <v>164</v>
      </c>
      <c r="B121" s="1">
        <v>45338.686111111114</v>
      </c>
      <c r="C121" t="s">
        <v>60</v>
      </c>
      <c r="D121" t="s">
        <v>25</v>
      </c>
      <c r="E121" t="s">
        <v>15</v>
      </c>
      <c r="F121" t="s">
        <v>29</v>
      </c>
      <c r="G121">
        <v>2571.11</v>
      </c>
      <c r="H121" t="s">
        <v>34</v>
      </c>
      <c r="I121" t="s">
        <v>100</v>
      </c>
      <c r="J121">
        <v>2.5</v>
      </c>
      <c r="K121">
        <v>0</v>
      </c>
      <c r="L121">
        <v>0</v>
      </c>
    </row>
    <row r="122" spans="1:12" x14ac:dyDescent="0.25">
      <c r="A122" t="s">
        <v>165</v>
      </c>
      <c r="B122" s="1">
        <v>45338.818749999999</v>
      </c>
      <c r="C122" t="s">
        <v>47</v>
      </c>
      <c r="D122" t="s">
        <v>25</v>
      </c>
      <c r="E122" t="s">
        <v>33</v>
      </c>
      <c r="F122" t="s">
        <v>45</v>
      </c>
      <c r="G122">
        <v>1042.19</v>
      </c>
      <c r="H122" t="s">
        <v>34</v>
      </c>
      <c r="I122" t="s">
        <v>62</v>
      </c>
      <c r="J122">
        <v>1.9</v>
      </c>
      <c r="K122">
        <v>0</v>
      </c>
      <c r="L122">
        <v>0</v>
      </c>
    </row>
    <row r="123" spans="1:12" x14ac:dyDescent="0.25">
      <c r="A123" t="s">
        <v>166</v>
      </c>
      <c r="B123" s="1">
        <v>45338.884027777778</v>
      </c>
      <c r="C123" t="s">
        <v>19</v>
      </c>
      <c r="D123" t="s">
        <v>20</v>
      </c>
      <c r="E123" t="s">
        <v>28</v>
      </c>
      <c r="F123" t="s">
        <v>41</v>
      </c>
      <c r="G123">
        <v>3936.11</v>
      </c>
      <c r="H123" t="s">
        <v>22</v>
      </c>
      <c r="J123">
        <v>2.9</v>
      </c>
      <c r="K123">
        <v>114.15</v>
      </c>
      <c r="L123">
        <v>3821.96</v>
      </c>
    </row>
    <row r="124" spans="1:12" x14ac:dyDescent="0.25">
      <c r="A124" t="s">
        <v>167</v>
      </c>
      <c r="B124" s="1">
        <v>45339.081944444442</v>
      </c>
      <c r="C124" t="s">
        <v>24</v>
      </c>
      <c r="D124" t="s">
        <v>25</v>
      </c>
      <c r="E124" t="s">
        <v>33</v>
      </c>
      <c r="F124" t="s">
        <v>16</v>
      </c>
      <c r="G124">
        <v>3507.23</v>
      </c>
      <c r="H124" t="s">
        <v>22</v>
      </c>
      <c r="J124">
        <v>1.9</v>
      </c>
      <c r="K124">
        <v>66.64</v>
      </c>
      <c r="L124">
        <v>3440.59</v>
      </c>
    </row>
    <row r="125" spans="1:12" x14ac:dyDescent="0.25">
      <c r="A125" t="s">
        <v>168</v>
      </c>
      <c r="B125" s="1">
        <v>45339.298611111109</v>
      </c>
      <c r="C125" t="s">
        <v>58</v>
      </c>
      <c r="D125" t="s">
        <v>25</v>
      </c>
      <c r="E125" t="s">
        <v>15</v>
      </c>
      <c r="F125" t="s">
        <v>16</v>
      </c>
      <c r="G125">
        <v>1076.5999999999999</v>
      </c>
      <c r="H125" t="s">
        <v>34</v>
      </c>
      <c r="I125" t="s">
        <v>78</v>
      </c>
      <c r="J125">
        <v>2.5</v>
      </c>
      <c r="K125">
        <v>0</v>
      </c>
      <c r="L125">
        <v>0</v>
      </c>
    </row>
    <row r="126" spans="1:12" x14ac:dyDescent="0.25">
      <c r="A126" t="s">
        <v>169</v>
      </c>
      <c r="B126" s="1">
        <v>45339.468055555553</v>
      </c>
      <c r="C126" t="s">
        <v>24</v>
      </c>
      <c r="D126" t="s">
        <v>25</v>
      </c>
      <c r="E126" t="s">
        <v>39</v>
      </c>
      <c r="F126" t="s">
        <v>21</v>
      </c>
      <c r="G126">
        <v>1810.38</v>
      </c>
      <c r="H126" t="s">
        <v>22</v>
      </c>
      <c r="J126">
        <v>3.2</v>
      </c>
      <c r="K126">
        <v>57.93</v>
      </c>
      <c r="L126">
        <v>1752.45</v>
      </c>
    </row>
    <row r="127" spans="1:12" x14ac:dyDescent="0.25">
      <c r="A127" t="s">
        <v>170</v>
      </c>
      <c r="B127" s="1">
        <v>45339.504166666666</v>
      </c>
      <c r="C127" t="s">
        <v>37</v>
      </c>
      <c r="D127" t="s">
        <v>38</v>
      </c>
      <c r="E127" t="s">
        <v>39</v>
      </c>
      <c r="F127" t="s">
        <v>45</v>
      </c>
      <c r="G127">
        <v>1329.96</v>
      </c>
      <c r="H127" t="s">
        <v>22</v>
      </c>
      <c r="J127">
        <v>3.2</v>
      </c>
      <c r="K127">
        <v>42.56</v>
      </c>
      <c r="L127">
        <v>1287.4000000000001</v>
      </c>
    </row>
    <row r="128" spans="1:12" x14ac:dyDescent="0.25">
      <c r="A128" t="s">
        <v>171</v>
      </c>
      <c r="B128" s="1">
        <v>45339.51666666667</v>
      </c>
      <c r="C128" t="s">
        <v>58</v>
      </c>
      <c r="D128" t="s">
        <v>25</v>
      </c>
      <c r="E128" t="s">
        <v>33</v>
      </c>
      <c r="F128" t="s">
        <v>16</v>
      </c>
      <c r="G128">
        <v>290.01</v>
      </c>
      <c r="H128" t="s">
        <v>22</v>
      </c>
      <c r="J128">
        <v>1.9</v>
      </c>
      <c r="K128">
        <v>5.51</v>
      </c>
      <c r="L128">
        <v>284.5</v>
      </c>
    </row>
    <row r="129" spans="1:12" x14ac:dyDescent="0.25">
      <c r="A129" t="s">
        <v>172</v>
      </c>
      <c r="B129" s="1">
        <v>45339.605555555558</v>
      </c>
      <c r="C129" t="s">
        <v>60</v>
      </c>
      <c r="D129" t="s">
        <v>25</v>
      </c>
      <c r="E129" t="s">
        <v>15</v>
      </c>
      <c r="F129" t="s">
        <v>45</v>
      </c>
      <c r="G129">
        <v>778.85</v>
      </c>
      <c r="H129" t="s">
        <v>22</v>
      </c>
      <c r="J129">
        <v>2.5</v>
      </c>
      <c r="K129">
        <v>19.47</v>
      </c>
      <c r="L129">
        <v>759.38</v>
      </c>
    </row>
    <row r="130" spans="1:12" x14ac:dyDescent="0.25">
      <c r="A130" t="s">
        <v>173</v>
      </c>
      <c r="B130" s="1">
        <v>45339.654166666667</v>
      </c>
      <c r="C130" t="s">
        <v>27</v>
      </c>
      <c r="D130" t="s">
        <v>25</v>
      </c>
      <c r="E130" t="s">
        <v>33</v>
      </c>
      <c r="F130" t="s">
        <v>45</v>
      </c>
      <c r="G130">
        <v>4139.33</v>
      </c>
      <c r="H130" t="s">
        <v>34</v>
      </c>
      <c r="I130" t="s">
        <v>100</v>
      </c>
      <c r="J130">
        <v>1.9</v>
      </c>
      <c r="K130">
        <v>0</v>
      </c>
      <c r="L130">
        <v>0</v>
      </c>
    </row>
    <row r="131" spans="1:12" x14ac:dyDescent="0.25">
      <c r="A131" t="s">
        <v>174</v>
      </c>
      <c r="B131" s="1">
        <v>45340.061805555553</v>
      </c>
      <c r="C131" t="s">
        <v>37</v>
      </c>
      <c r="D131" t="s">
        <v>38</v>
      </c>
      <c r="E131" t="s">
        <v>44</v>
      </c>
      <c r="F131" t="s">
        <v>29</v>
      </c>
      <c r="G131">
        <v>1332.29</v>
      </c>
      <c r="H131" t="s">
        <v>17</v>
      </c>
      <c r="J131">
        <v>2.1</v>
      </c>
      <c r="K131">
        <v>0</v>
      </c>
      <c r="L131">
        <v>0</v>
      </c>
    </row>
    <row r="132" spans="1:12" x14ac:dyDescent="0.25">
      <c r="A132" t="s">
        <v>175</v>
      </c>
      <c r="B132" s="1">
        <v>45340.435416666667</v>
      </c>
      <c r="C132" t="s">
        <v>37</v>
      </c>
      <c r="D132" t="s">
        <v>38</v>
      </c>
      <c r="E132" t="s">
        <v>39</v>
      </c>
      <c r="F132" t="s">
        <v>21</v>
      </c>
      <c r="G132">
        <v>4768.43</v>
      </c>
      <c r="H132" t="s">
        <v>34</v>
      </c>
      <c r="I132" t="s">
        <v>78</v>
      </c>
      <c r="J132">
        <v>3.2</v>
      </c>
      <c r="K132">
        <v>0</v>
      </c>
      <c r="L132">
        <v>0</v>
      </c>
    </row>
    <row r="133" spans="1:12" x14ac:dyDescent="0.25">
      <c r="A133" t="s">
        <v>176</v>
      </c>
      <c r="B133" s="1">
        <v>45341.059027777781</v>
      </c>
      <c r="C133" t="s">
        <v>19</v>
      </c>
      <c r="D133" t="s">
        <v>20</v>
      </c>
      <c r="E133" t="s">
        <v>33</v>
      </c>
      <c r="F133" t="s">
        <v>16</v>
      </c>
      <c r="G133">
        <v>776.41</v>
      </c>
      <c r="H133" t="s">
        <v>22</v>
      </c>
      <c r="J133">
        <v>1.9</v>
      </c>
      <c r="K133">
        <v>14.75</v>
      </c>
      <c r="L133">
        <v>761.66</v>
      </c>
    </row>
    <row r="134" spans="1:12" x14ac:dyDescent="0.25">
      <c r="A134" t="s">
        <v>177</v>
      </c>
      <c r="B134" s="1">
        <v>45342.324305555558</v>
      </c>
      <c r="C134" t="s">
        <v>58</v>
      </c>
      <c r="D134" t="s">
        <v>25</v>
      </c>
      <c r="E134" t="s">
        <v>44</v>
      </c>
      <c r="F134" t="s">
        <v>16</v>
      </c>
      <c r="G134">
        <v>4457.91</v>
      </c>
      <c r="H134" t="s">
        <v>22</v>
      </c>
      <c r="J134">
        <v>2.1</v>
      </c>
      <c r="K134">
        <v>93.62</v>
      </c>
      <c r="L134">
        <v>4364.29</v>
      </c>
    </row>
    <row r="135" spans="1:12" x14ac:dyDescent="0.25">
      <c r="A135" t="s">
        <v>178</v>
      </c>
      <c r="B135" s="1">
        <v>45342.551388888889</v>
      </c>
      <c r="C135" t="s">
        <v>31</v>
      </c>
      <c r="D135" t="s">
        <v>32</v>
      </c>
      <c r="E135" t="s">
        <v>39</v>
      </c>
      <c r="F135" t="s">
        <v>45</v>
      </c>
      <c r="G135">
        <v>3847.34</v>
      </c>
      <c r="H135" t="s">
        <v>17</v>
      </c>
      <c r="J135">
        <v>3.2</v>
      </c>
      <c r="K135">
        <v>0</v>
      </c>
      <c r="L135">
        <v>0</v>
      </c>
    </row>
    <row r="136" spans="1:12" x14ac:dyDescent="0.25">
      <c r="A136" t="s">
        <v>179</v>
      </c>
      <c r="B136" s="1">
        <v>45342.864583333336</v>
      </c>
      <c r="C136" t="s">
        <v>31</v>
      </c>
      <c r="D136" t="s">
        <v>32</v>
      </c>
      <c r="E136" t="s">
        <v>15</v>
      </c>
      <c r="F136" t="s">
        <v>29</v>
      </c>
      <c r="G136">
        <v>3473.07</v>
      </c>
      <c r="H136" t="s">
        <v>22</v>
      </c>
      <c r="J136">
        <v>2.5</v>
      </c>
      <c r="K136">
        <v>86.83</v>
      </c>
      <c r="L136">
        <v>3386.24</v>
      </c>
    </row>
    <row r="137" spans="1:12" x14ac:dyDescent="0.25">
      <c r="A137" t="s">
        <v>180</v>
      </c>
      <c r="B137" s="1">
        <v>45342.868055555555</v>
      </c>
      <c r="C137" t="s">
        <v>43</v>
      </c>
      <c r="D137" t="s">
        <v>25</v>
      </c>
      <c r="E137" t="s">
        <v>28</v>
      </c>
      <c r="F137" t="s">
        <v>41</v>
      </c>
      <c r="G137">
        <v>4647.87</v>
      </c>
      <c r="H137" t="s">
        <v>22</v>
      </c>
      <c r="J137">
        <v>2.9</v>
      </c>
      <c r="K137">
        <v>134.79</v>
      </c>
      <c r="L137">
        <v>4513.08</v>
      </c>
    </row>
    <row r="138" spans="1:12" x14ac:dyDescent="0.25">
      <c r="A138" t="s">
        <v>181</v>
      </c>
      <c r="B138" s="1">
        <v>45343.429861111108</v>
      </c>
      <c r="C138" t="s">
        <v>37</v>
      </c>
      <c r="D138" t="s">
        <v>38</v>
      </c>
      <c r="E138" t="s">
        <v>44</v>
      </c>
      <c r="F138" t="s">
        <v>29</v>
      </c>
      <c r="G138">
        <v>3664.44</v>
      </c>
      <c r="H138" t="s">
        <v>34</v>
      </c>
      <c r="I138" t="s">
        <v>55</v>
      </c>
      <c r="J138">
        <v>2.1</v>
      </c>
      <c r="K138">
        <v>0</v>
      </c>
      <c r="L138">
        <v>0</v>
      </c>
    </row>
    <row r="139" spans="1:12" x14ac:dyDescent="0.25">
      <c r="A139" t="s">
        <v>182</v>
      </c>
      <c r="B139" s="1">
        <v>45343.511805555558</v>
      </c>
      <c r="C139" t="s">
        <v>43</v>
      </c>
      <c r="D139" t="s">
        <v>25</v>
      </c>
      <c r="E139" t="s">
        <v>39</v>
      </c>
      <c r="F139" t="s">
        <v>29</v>
      </c>
      <c r="G139">
        <v>1857.2</v>
      </c>
      <c r="H139" t="s">
        <v>22</v>
      </c>
      <c r="J139">
        <v>3.2</v>
      </c>
      <c r="K139">
        <v>59.43</v>
      </c>
      <c r="L139">
        <v>1797.77</v>
      </c>
    </row>
    <row r="140" spans="1:12" x14ac:dyDescent="0.25">
      <c r="A140" t="s">
        <v>183</v>
      </c>
      <c r="B140" s="1">
        <v>45345.272916666669</v>
      </c>
      <c r="C140" t="s">
        <v>24</v>
      </c>
      <c r="D140" t="s">
        <v>25</v>
      </c>
      <c r="E140" t="s">
        <v>15</v>
      </c>
      <c r="F140" t="s">
        <v>16</v>
      </c>
      <c r="G140">
        <v>4806.3100000000004</v>
      </c>
      <c r="H140" t="s">
        <v>22</v>
      </c>
      <c r="J140">
        <v>2.5</v>
      </c>
      <c r="K140">
        <v>120.16</v>
      </c>
      <c r="L140">
        <v>4686.1499999999996</v>
      </c>
    </row>
    <row r="141" spans="1:12" x14ac:dyDescent="0.25">
      <c r="A141" t="s">
        <v>184</v>
      </c>
      <c r="B141" s="1">
        <v>45345.393055555556</v>
      </c>
      <c r="C141" t="s">
        <v>31</v>
      </c>
      <c r="D141" t="s">
        <v>32</v>
      </c>
      <c r="E141" t="s">
        <v>28</v>
      </c>
      <c r="F141" t="s">
        <v>29</v>
      </c>
      <c r="G141">
        <v>1748.16</v>
      </c>
      <c r="H141" t="s">
        <v>22</v>
      </c>
      <c r="J141">
        <v>2.9</v>
      </c>
      <c r="K141">
        <v>50.7</v>
      </c>
      <c r="L141">
        <v>1697.46</v>
      </c>
    </row>
    <row r="142" spans="1:12" x14ac:dyDescent="0.25">
      <c r="A142" t="s">
        <v>185</v>
      </c>
      <c r="B142" s="1">
        <v>45346.004166666666</v>
      </c>
      <c r="C142" t="s">
        <v>47</v>
      </c>
      <c r="D142" t="s">
        <v>25</v>
      </c>
      <c r="E142" t="s">
        <v>44</v>
      </c>
      <c r="F142" t="s">
        <v>45</v>
      </c>
      <c r="G142">
        <v>3736.8</v>
      </c>
      <c r="H142" t="s">
        <v>17</v>
      </c>
      <c r="J142">
        <v>2.1</v>
      </c>
      <c r="K142">
        <v>0</v>
      </c>
      <c r="L142">
        <v>0</v>
      </c>
    </row>
    <row r="143" spans="1:12" x14ac:dyDescent="0.25">
      <c r="A143" t="s">
        <v>186</v>
      </c>
      <c r="B143" s="1">
        <v>45346.083333333336</v>
      </c>
      <c r="C143" t="s">
        <v>47</v>
      </c>
      <c r="D143" t="s">
        <v>25</v>
      </c>
      <c r="E143" t="s">
        <v>15</v>
      </c>
      <c r="F143" t="s">
        <v>21</v>
      </c>
      <c r="G143">
        <v>3809.12</v>
      </c>
      <c r="H143" t="s">
        <v>22</v>
      </c>
      <c r="J143">
        <v>2.5</v>
      </c>
      <c r="K143">
        <v>95.23</v>
      </c>
      <c r="L143">
        <v>3713.89</v>
      </c>
    </row>
    <row r="144" spans="1:12" x14ac:dyDescent="0.25">
      <c r="A144" t="s">
        <v>187</v>
      </c>
      <c r="B144" s="1">
        <v>45346.711111111108</v>
      </c>
      <c r="C144" t="s">
        <v>13</v>
      </c>
      <c r="D144" t="s">
        <v>14</v>
      </c>
      <c r="E144" t="s">
        <v>39</v>
      </c>
      <c r="F144" t="s">
        <v>21</v>
      </c>
      <c r="G144">
        <v>4735.6099999999997</v>
      </c>
      <c r="H144" t="s">
        <v>17</v>
      </c>
      <c r="J144">
        <v>3.2</v>
      </c>
      <c r="K144">
        <v>0</v>
      </c>
      <c r="L144">
        <v>0</v>
      </c>
    </row>
    <row r="145" spans="1:12" x14ac:dyDescent="0.25">
      <c r="A145" t="s">
        <v>188</v>
      </c>
      <c r="B145" s="1">
        <v>45346.85833333333</v>
      </c>
      <c r="C145" t="s">
        <v>37</v>
      </c>
      <c r="D145" t="s">
        <v>38</v>
      </c>
      <c r="E145" t="s">
        <v>15</v>
      </c>
      <c r="F145" t="s">
        <v>16</v>
      </c>
      <c r="G145">
        <v>4415.29</v>
      </c>
      <c r="H145" t="s">
        <v>22</v>
      </c>
      <c r="J145">
        <v>2.5</v>
      </c>
      <c r="K145">
        <v>110.38</v>
      </c>
      <c r="L145">
        <v>4304.91</v>
      </c>
    </row>
    <row r="146" spans="1:12" x14ac:dyDescent="0.25">
      <c r="A146" t="s">
        <v>189</v>
      </c>
      <c r="B146" s="1">
        <v>45347.781944444447</v>
      </c>
      <c r="C146" t="s">
        <v>13</v>
      </c>
      <c r="D146" t="s">
        <v>14</v>
      </c>
      <c r="E146" t="s">
        <v>28</v>
      </c>
      <c r="F146" t="s">
        <v>16</v>
      </c>
      <c r="G146">
        <v>3623.13</v>
      </c>
      <c r="H146" t="s">
        <v>17</v>
      </c>
      <c r="J146">
        <v>2.9</v>
      </c>
      <c r="K146">
        <v>0</v>
      </c>
      <c r="L146">
        <v>0</v>
      </c>
    </row>
    <row r="147" spans="1:12" x14ac:dyDescent="0.25">
      <c r="A147" t="s">
        <v>190</v>
      </c>
      <c r="B147" s="1">
        <v>45348.515972222223</v>
      </c>
      <c r="C147" t="s">
        <v>43</v>
      </c>
      <c r="D147" t="s">
        <v>25</v>
      </c>
      <c r="E147" t="s">
        <v>33</v>
      </c>
      <c r="F147" t="s">
        <v>41</v>
      </c>
      <c r="G147">
        <v>1834.2</v>
      </c>
      <c r="H147" t="s">
        <v>22</v>
      </c>
      <c r="J147">
        <v>1.9</v>
      </c>
      <c r="K147">
        <v>34.85</v>
      </c>
      <c r="L147">
        <v>1799.35</v>
      </c>
    </row>
    <row r="148" spans="1:12" x14ac:dyDescent="0.25">
      <c r="A148" t="s">
        <v>191</v>
      </c>
      <c r="B148" s="1">
        <v>45348.704861111109</v>
      </c>
      <c r="C148" t="s">
        <v>37</v>
      </c>
      <c r="D148" t="s">
        <v>38</v>
      </c>
      <c r="E148" t="s">
        <v>28</v>
      </c>
      <c r="F148" t="s">
        <v>21</v>
      </c>
      <c r="G148">
        <v>3525.64</v>
      </c>
      <c r="H148" t="s">
        <v>34</v>
      </c>
      <c r="I148" t="s">
        <v>100</v>
      </c>
      <c r="J148">
        <v>2.9</v>
      </c>
      <c r="K148">
        <v>0</v>
      </c>
      <c r="L148">
        <v>0</v>
      </c>
    </row>
    <row r="149" spans="1:12" x14ac:dyDescent="0.25">
      <c r="A149" t="s">
        <v>192</v>
      </c>
      <c r="B149" s="1">
        <v>45348.924305555556</v>
      </c>
      <c r="C149" t="s">
        <v>47</v>
      </c>
      <c r="D149" t="s">
        <v>25</v>
      </c>
      <c r="E149" t="s">
        <v>39</v>
      </c>
      <c r="F149" t="s">
        <v>16</v>
      </c>
      <c r="G149">
        <v>3305.78</v>
      </c>
      <c r="H149" t="s">
        <v>22</v>
      </c>
      <c r="J149">
        <v>3.2</v>
      </c>
      <c r="K149">
        <v>105.78</v>
      </c>
      <c r="L149">
        <v>3200</v>
      </c>
    </row>
    <row r="150" spans="1:12" x14ac:dyDescent="0.25">
      <c r="A150" t="s">
        <v>193</v>
      </c>
      <c r="B150" s="1">
        <v>45349.030555555553</v>
      </c>
      <c r="C150" t="s">
        <v>24</v>
      </c>
      <c r="D150" t="s">
        <v>25</v>
      </c>
      <c r="E150" t="s">
        <v>28</v>
      </c>
      <c r="F150" t="s">
        <v>29</v>
      </c>
      <c r="G150">
        <v>2410.77</v>
      </c>
      <c r="H150" t="s">
        <v>22</v>
      </c>
      <c r="J150">
        <v>2.9</v>
      </c>
      <c r="K150">
        <v>69.91</v>
      </c>
      <c r="L150">
        <v>2340.86</v>
      </c>
    </row>
    <row r="151" spans="1:12" x14ac:dyDescent="0.25">
      <c r="A151" t="s">
        <v>194</v>
      </c>
      <c r="B151" s="1">
        <v>45349.54791666667</v>
      </c>
      <c r="C151" t="s">
        <v>27</v>
      </c>
      <c r="D151" t="s">
        <v>25</v>
      </c>
      <c r="E151" t="s">
        <v>33</v>
      </c>
      <c r="F151" t="s">
        <v>45</v>
      </c>
      <c r="G151">
        <v>2917.56</v>
      </c>
      <c r="H151" t="s">
        <v>22</v>
      </c>
      <c r="J151">
        <v>1.9</v>
      </c>
      <c r="K151">
        <v>55.43</v>
      </c>
      <c r="L151">
        <v>2862.13</v>
      </c>
    </row>
    <row r="152" spans="1:12" x14ac:dyDescent="0.25">
      <c r="A152" t="s">
        <v>195</v>
      </c>
      <c r="B152" s="1">
        <v>45350.423611111109</v>
      </c>
      <c r="C152" t="s">
        <v>60</v>
      </c>
      <c r="D152" t="s">
        <v>25</v>
      </c>
      <c r="E152" t="s">
        <v>33</v>
      </c>
      <c r="F152" t="s">
        <v>21</v>
      </c>
      <c r="G152">
        <v>196.51</v>
      </c>
      <c r="H152" t="s">
        <v>34</v>
      </c>
      <c r="I152" t="s">
        <v>100</v>
      </c>
      <c r="J152">
        <v>1.9</v>
      </c>
      <c r="K152">
        <v>0</v>
      </c>
      <c r="L152">
        <v>0</v>
      </c>
    </row>
    <row r="153" spans="1:12" x14ac:dyDescent="0.25">
      <c r="A153" t="s">
        <v>196</v>
      </c>
      <c r="B153" s="1">
        <v>45350.776388888888</v>
      </c>
      <c r="C153" t="s">
        <v>43</v>
      </c>
      <c r="D153" t="s">
        <v>25</v>
      </c>
      <c r="E153" t="s">
        <v>39</v>
      </c>
      <c r="F153" t="s">
        <v>45</v>
      </c>
      <c r="G153">
        <v>497.29</v>
      </c>
      <c r="H153" t="s">
        <v>34</v>
      </c>
      <c r="I153" t="s">
        <v>35</v>
      </c>
      <c r="J153">
        <v>3.2</v>
      </c>
      <c r="K153">
        <v>0</v>
      </c>
      <c r="L153">
        <v>0</v>
      </c>
    </row>
    <row r="154" spans="1:12" x14ac:dyDescent="0.25">
      <c r="A154" t="s">
        <v>197</v>
      </c>
      <c r="B154" s="1">
        <v>45350.801388888889</v>
      </c>
      <c r="C154" t="s">
        <v>31</v>
      </c>
      <c r="D154" t="s">
        <v>32</v>
      </c>
      <c r="E154" t="s">
        <v>33</v>
      </c>
      <c r="F154" t="s">
        <v>29</v>
      </c>
      <c r="G154">
        <v>2436.96</v>
      </c>
      <c r="H154" t="s">
        <v>22</v>
      </c>
      <c r="J154">
        <v>1.9</v>
      </c>
      <c r="K154">
        <v>46.3</v>
      </c>
      <c r="L154">
        <v>2390.66</v>
      </c>
    </row>
    <row r="155" spans="1:12" x14ac:dyDescent="0.25">
      <c r="A155" t="s">
        <v>198</v>
      </c>
      <c r="B155" s="1">
        <v>45351.162499999999</v>
      </c>
      <c r="C155" t="s">
        <v>60</v>
      </c>
      <c r="D155" t="s">
        <v>25</v>
      </c>
      <c r="E155" t="s">
        <v>28</v>
      </c>
      <c r="F155" t="s">
        <v>29</v>
      </c>
      <c r="G155">
        <v>3320.14</v>
      </c>
      <c r="H155" t="s">
        <v>22</v>
      </c>
      <c r="J155">
        <v>2.9</v>
      </c>
      <c r="K155">
        <v>96.28</v>
      </c>
      <c r="L155">
        <v>3223.86</v>
      </c>
    </row>
    <row r="156" spans="1:12" x14ac:dyDescent="0.25">
      <c r="A156" t="s">
        <v>199</v>
      </c>
      <c r="B156" s="1">
        <v>45352.01458333333</v>
      </c>
      <c r="C156" t="s">
        <v>58</v>
      </c>
      <c r="D156" t="s">
        <v>25</v>
      </c>
      <c r="E156" t="s">
        <v>39</v>
      </c>
      <c r="F156" t="s">
        <v>45</v>
      </c>
      <c r="G156">
        <v>328.72</v>
      </c>
      <c r="H156" t="s">
        <v>17</v>
      </c>
      <c r="J156">
        <v>3.2</v>
      </c>
      <c r="K156">
        <v>0</v>
      </c>
      <c r="L156">
        <v>0</v>
      </c>
    </row>
    <row r="157" spans="1:12" x14ac:dyDescent="0.25">
      <c r="A157" t="s">
        <v>200</v>
      </c>
      <c r="B157" s="1">
        <v>45352.304861111108</v>
      </c>
      <c r="C157" t="s">
        <v>31</v>
      </c>
      <c r="D157" t="s">
        <v>32</v>
      </c>
      <c r="E157" t="s">
        <v>44</v>
      </c>
      <c r="F157" t="s">
        <v>21</v>
      </c>
      <c r="G157">
        <v>3470.25</v>
      </c>
      <c r="H157" t="s">
        <v>17</v>
      </c>
      <c r="J157">
        <v>2.1</v>
      </c>
      <c r="K157">
        <v>0</v>
      </c>
      <c r="L157">
        <v>0</v>
      </c>
    </row>
    <row r="158" spans="1:12" x14ac:dyDescent="0.25">
      <c r="A158" t="s">
        <v>201</v>
      </c>
      <c r="B158" s="1">
        <v>45352.870138888888</v>
      </c>
      <c r="C158" t="s">
        <v>27</v>
      </c>
      <c r="D158" t="s">
        <v>25</v>
      </c>
      <c r="E158" t="s">
        <v>15</v>
      </c>
      <c r="F158" t="s">
        <v>21</v>
      </c>
      <c r="G158">
        <v>2549.27</v>
      </c>
      <c r="H158" t="s">
        <v>22</v>
      </c>
      <c r="J158">
        <v>2.5</v>
      </c>
      <c r="K158">
        <v>63.73</v>
      </c>
      <c r="L158">
        <v>2485.54</v>
      </c>
    </row>
    <row r="159" spans="1:12" x14ac:dyDescent="0.25">
      <c r="A159" t="s">
        <v>202</v>
      </c>
      <c r="B159" s="1">
        <v>45353.021527777775</v>
      </c>
      <c r="C159" t="s">
        <v>58</v>
      </c>
      <c r="D159" t="s">
        <v>25</v>
      </c>
      <c r="E159" t="s">
        <v>44</v>
      </c>
      <c r="F159" t="s">
        <v>29</v>
      </c>
      <c r="G159">
        <v>1907.24</v>
      </c>
      <c r="H159" t="s">
        <v>22</v>
      </c>
      <c r="J159">
        <v>2.1</v>
      </c>
      <c r="K159">
        <v>40.049999999999997</v>
      </c>
      <c r="L159">
        <v>1867.19</v>
      </c>
    </row>
    <row r="160" spans="1:12" x14ac:dyDescent="0.25">
      <c r="A160" t="s">
        <v>203</v>
      </c>
      <c r="B160" s="1">
        <v>45353.324305555558</v>
      </c>
      <c r="C160" t="s">
        <v>19</v>
      </c>
      <c r="D160" t="s">
        <v>20</v>
      </c>
      <c r="E160" t="s">
        <v>28</v>
      </c>
      <c r="F160" t="s">
        <v>16</v>
      </c>
      <c r="G160">
        <v>280.10000000000002</v>
      </c>
      <c r="H160" t="s">
        <v>17</v>
      </c>
      <c r="J160">
        <v>2.9</v>
      </c>
      <c r="K160">
        <v>0</v>
      </c>
      <c r="L160">
        <v>0</v>
      </c>
    </row>
    <row r="161" spans="1:12" x14ac:dyDescent="0.25">
      <c r="A161" t="s">
        <v>204</v>
      </c>
      <c r="B161" s="1">
        <v>45353.48333333333</v>
      </c>
      <c r="C161" t="s">
        <v>47</v>
      </c>
      <c r="D161" t="s">
        <v>25</v>
      </c>
      <c r="E161" t="s">
        <v>28</v>
      </c>
      <c r="F161" t="s">
        <v>45</v>
      </c>
      <c r="G161">
        <v>774.99</v>
      </c>
      <c r="H161" t="s">
        <v>22</v>
      </c>
      <c r="J161">
        <v>2.9</v>
      </c>
      <c r="K161">
        <v>22.47</v>
      </c>
      <c r="L161">
        <v>752.52</v>
      </c>
    </row>
    <row r="162" spans="1:12" x14ac:dyDescent="0.25">
      <c r="A162" t="s">
        <v>205</v>
      </c>
      <c r="B162" s="1">
        <v>45353.59097222222</v>
      </c>
      <c r="C162" t="s">
        <v>27</v>
      </c>
      <c r="D162" t="s">
        <v>25</v>
      </c>
      <c r="E162" t="s">
        <v>44</v>
      </c>
      <c r="F162" t="s">
        <v>29</v>
      </c>
      <c r="G162">
        <v>639.66999999999996</v>
      </c>
      <c r="H162" t="s">
        <v>34</v>
      </c>
      <c r="I162" t="s">
        <v>78</v>
      </c>
      <c r="J162">
        <v>2.1</v>
      </c>
      <c r="K162">
        <v>0</v>
      </c>
      <c r="L162">
        <v>0</v>
      </c>
    </row>
    <row r="163" spans="1:12" x14ac:dyDescent="0.25">
      <c r="A163" t="s">
        <v>206</v>
      </c>
      <c r="B163" s="1">
        <v>45354.017361111109</v>
      </c>
      <c r="C163" t="s">
        <v>43</v>
      </c>
      <c r="D163" t="s">
        <v>25</v>
      </c>
      <c r="E163" t="s">
        <v>44</v>
      </c>
      <c r="F163" t="s">
        <v>16</v>
      </c>
      <c r="G163">
        <v>4639.78</v>
      </c>
      <c r="H163" t="s">
        <v>22</v>
      </c>
      <c r="J163">
        <v>2.1</v>
      </c>
      <c r="K163">
        <v>97.44</v>
      </c>
      <c r="L163">
        <v>4542.34</v>
      </c>
    </row>
    <row r="164" spans="1:12" x14ac:dyDescent="0.25">
      <c r="A164" t="s">
        <v>207</v>
      </c>
      <c r="B164" s="1">
        <v>45354.354861111111</v>
      </c>
      <c r="C164" t="s">
        <v>43</v>
      </c>
      <c r="D164" t="s">
        <v>25</v>
      </c>
      <c r="E164" t="s">
        <v>44</v>
      </c>
      <c r="F164" t="s">
        <v>29</v>
      </c>
      <c r="G164">
        <v>158.32</v>
      </c>
      <c r="H164" t="s">
        <v>22</v>
      </c>
      <c r="J164">
        <v>2.1</v>
      </c>
      <c r="K164">
        <v>3.32</v>
      </c>
      <c r="L164">
        <v>155</v>
      </c>
    </row>
    <row r="165" spans="1:12" x14ac:dyDescent="0.25">
      <c r="A165" t="s">
        <v>208</v>
      </c>
      <c r="B165" s="1">
        <v>45354.723611111112</v>
      </c>
      <c r="C165" t="s">
        <v>31</v>
      </c>
      <c r="D165" t="s">
        <v>32</v>
      </c>
      <c r="E165" t="s">
        <v>28</v>
      </c>
      <c r="F165" t="s">
        <v>16</v>
      </c>
      <c r="G165">
        <v>2411.0700000000002</v>
      </c>
      <c r="H165" t="s">
        <v>22</v>
      </c>
      <c r="J165">
        <v>2.9</v>
      </c>
      <c r="K165">
        <v>69.92</v>
      </c>
      <c r="L165">
        <v>2341.15</v>
      </c>
    </row>
    <row r="166" spans="1:12" x14ac:dyDescent="0.25">
      <c r="A166" t="s">
        <v>209</v>
      </c>
      <c r="B166" s="1">
        <v>45354.779861111114</v>
      </c>
      <c r="C166" t="s">
        <v>13</v>
      </c>
      <c r="D166" t="s">
        <v>14</v>
      </c>
      <c r="E166" t="s">
        <v>15</v>
      </c>
      <c r="F166" t="s">
        <v>16</v>
      </c>
      <c r="G166">
        <v>4093.7</v>
      </c>
      <c r="H166" t="s">
        <v>22</v>
      </c>
      <c r="J166">
        <v>2.5</v>
      </c>
      <c r="K166">
        <v>102.34</v>
      </c>
      <c r="L166">
        <v>3991.36</v>
      </c>
    </row>
    <row r="167" spans="1:12" x14ac:dyDescent="0.25">
      <c r="A167" t="s">
        <v>210</v>
      </c>
      <c r="B167" s="1">
        <v>45355.041666666664</v>
      </c>
      <c r="C167" t="s">
        <v>19</v>
      </c>
      <c r="D167" t="s">
        <v>20</v>
      </c>
      <c r="E167" t="s">
        <v>33</v>
      </c>
      <c r="F167" t="s">
        <v>16</v>
      </c>
      <c r="G167">
        <v>2690.39</v>
      </c>
      <c r="H167" t="s">
        <v>22</v>
      </c>
      <c r="J167">
        <v>1.9</v>
      </c>
      <c r="K167">
        <v>51.12</v>
      </c>
      <c r="L167">
        <v>2639.27</v>
      </c>
    </row>
    <row r="168" spans="1:12" x14ac:dyDescent="0.25">
      <c r="A168" t="s">
        <v>211</v>
      </c>
      <c r="B168" s="1">
        <v>45355.800694444442</v>
      </c>
      <c r="C168" t="s">
        <v>19</v>
      </c>
      <c r="D168" t="s">
        <v>20</v>
      </c>
      <c r="E168" t="s">
        <v>44</v>
      </c>
      <c r="F168" t="s">
        <v>29</v>
      </c>
      <c r="G168">
        <v>3356.3</v>
      </c>
      <c r="H168" t="s">
        <v>22</v>
      </c>
      <c r="J168">
        <v>2.1</v>
      </c>
      <c r="K168">
        <v>70.48</v>
      </c>
      <c r="L168">
        <v>3285.82</v>
      </c>
    </row>
    <row r="169" spans="1:12" x14ac:dyDescent="0.25">
      <c r="A169" t="s">
        <v>212</v>
      </c>
      <c r="B169" s="1">
        <v>45356.36041666667</v>
      </c>
      <c r="C169" t="s">
        <v>19</v>
      </c>
      <c r="D169" t="s">
        <v>20</v>
      </c>
      <c r="E169" t="s">
        <v>33</v>
      </c>
      <c r="F169" t="s">
        <v>21</v>
      </c>
      <c r="G169">
        <v>1910.71</v>
      </c>
      <c r="H169" t="s">
        <v>17</v>
      </c>
      <c r="J169">
        <v>1.9</v>
      </c>
      <c r="K169">
        <v>0</v>
      </c>
      <c r="L169">
        <v>0</v>
      </c>
    </row>
    <row r="170" spans="1:12" x14ac:dyDescent="0.25">
      <c r="A170" t="s">
        <v>213</v>
      </c>
      <c r="B170" s="1">
        <v>45356.634722222225</v>
      </c>
      <c r="C170" t="s">
        <v>37</v>
      </c>
      <c r="D170" t="s">
        <v>38</v>
      </c>
      <c r="E170" t="s">
        <v>33</v>
      </c>
      <c r="F170" t="s">
        <v>21</v>
      </c>
      <c r="G170">
        <v>4029.57</v>
      </c>
      <c r="H170" t="s">
        <v>34</v>
      </c>
      <c r="I170" t="s">
        <v>35</v>
      </c>
      <c r="J170">
        <v>1.9</v>
      </c>
      <c r="K170">
        <v>0</v>
      </c>
      <c r="L170">
        <v>0</v>
      </c>
    </row>
    <row r="171" spans="1:12" x14ac:dyDescent="0.25">
      <c r="A171" t="s">
        <v>214</v>
      </c>
      <c r="B171" s="1">
        <v>45356.84652777778</v>
      </c>
      <c r="C171" t="s">
        <v>19</v>
      </c>
      <c r="D171" t="s">
        <v>20</v>
      </c>
      <c r="E171" t="s">
        <v>33</v>
      </c>
      <c r="F171" t="s">
        <v>41</v>
      </c>
      <c r="G171">
        <v>2517.84</v>
      </c>
      <c r="H171" t="s">
        <v>22</v>
      </c>
      <c r="J171">
        <v>1.9</v>
      </c>
      <c r="K171">
        <v>47.84</v>
      </c>
      <c r="L171">
        <v>2470</v>
      </c>
    </row>
    <row r="172" spans="1:12" x14ac:dyDescent="0.25">
      <c r="A172" t="s">
        <v>215</v>
      </c>
      <c r="B172" s="1">
        <v>45357.072222222225</v>
      </c>
      <c r="C172" t="s">
        <v>19</v>
      </c>
      <c r="D172" t="s">
        <v>20</v>
      </c>
      <c r="E172" t="s">
        <v>28</v>
      </c>
      <c r="F172" t="s">
        <v>21</v>
      </c>
      <c r="G172">
        <v>691.14</v>
      </c>
      <c r="H172" t="s">
        <v>34</v>
      </c>
      <c r="I172" t="s">
        <v>55</v>
      </c>
      <c r="J172">
        <v>2.9</v>
      </c>
      <c r="K172">
        <v>0</v>
      </c>
      <c r="L172">
        <v>0</v>
      </c>
    </row>
    <row r="173" spans="1:12" x14ac:dyDescent="0.25">
      <c r="A173" t="s">
        <v>216</v>
      </c>
      <c r="B173" s="1">
        <v>45357.14166666667</v>
      </c>
      <c r="C173" t="s">
        <v>19</v>
      </c>
      <c r="D173" t="s">
        <v>20</v>
      </c>
      <c r="E173" t="s">
        <v>33</v>
      </c>
      <c r="F173" t="s">
        <v>21</v>
      </c>
      <c r="G173">
        <v>2525.5100000000002</v>
      </c>
      <c r="H173" t="s">
        <v>34</v>
      </c>
      <c r="I173" t="s">
        <v>55</v>
      </c>
      <c r="J173">
        <v>1.9</v>
      </c>
      <c r="K173">
        <v>0</v>
      </c>
      <c r="L173">
        <v>0</v>
      </c>
    </row>
    <row r="174" spans="1:12" x14ac:dyDescent="0.25">
      <c r="A174" t="s">
        <v>217</v>
      </c>
      <c r="B174" s="1">
        <v>45357.142361111109</v>
      </c>
      <c r="C174" t="s">
        <v>37</v>
      </c>
      <c r="D174" t="s">
        <v>38</v>
      </c>
      <c r="E174" t="s">
        <v>39</v>
      </c>
      <c r="F174" t="s">
        <v>45</v>
      </c>
      <c r="G174">
        <v>4695.3500000000004</v>
      </c>
      <c r="H174" t="s">
        <v>22</v>
      </c>
      <c r="J174">
        <v>3.2</v>
      </c>
      <c r="K174">
        <v>150.25</v>
      </c>
      <c r="L174">
        <v>4545.1000000000004</v>
      </c>
    </row>
    <row r="175" spans="1:12" x14ac:dyDescent="0.25">
      <c r="A175" t="s">
        <v>218</v>
      </c>
      <c r="B175" s="1">
        <v>45357.663194444445</v>
      </c>
      <c r="C175" t="s">
        <v>47</v>
      </c>
      <c r="D175" t="s">
        <v>25</v>
      </c>
      <c r="E175" t="s">
        <v>39</v>
      </c>
      <c r="F175" t="s">
        <v>16</v>
      </c>
      <c r="G175">
        <v>1421.8</v>
      </c>
      <c r="H175" t="s">
        <v>22</v>
      </c>
      <c r="J175">
        <v>3.2</v>
      </c>
      <c r="K175">
        <v>45.5</v>
      </c>
      <c r="L175">
        <v>1376.3</v>
      </c>
    </row>
    <row r="176" spans="1:12" x14ac:dyDescent="0.25">
      <c r="A176" t="s">
        <v>219</v>
      </c>
      <c r="B176" s="1">
        <v>45357.895833333336</v>
      </c>
      <c r="C176" t="s">
        <v>13</v>
      </c>
      <c r="D176" t="s">
        <v>14</v>
      </c>
      <c r="E176" t="s">
        <v>44</v>
      </c>
      <c r="F176" t="s">
        <v>21</v>
      </c>
      <c r="G176">
        <v>2643.09</v>
      </c>
      <c r="H176" t="s">
        <v>17</v>
      </c>
      <c r="J176">
        <v>2.1</v>
      </c>
      <c r="K176">
        <v>0</v>
      </c>
      <c r="L176">
        <v>0</v>
      </c>
    </row>
    <row r="177" spans="1:12" x14ac:dyDescent="0.25">
      <c r="A177" t="s">
        <v>220</v>
      </c>
      <c r="B177" s="1">
        <v>45358.14166666667</v>
      </c>
      <c r="C177" t="s">
        <v>13</v>
      </c>
      <c r="D177" t="s">
        <v>14</v>
      </c>
      <c r="E177" t="s">
        <v>33</v>
      </c>
      <c r="F177" t="s">
        <v>21</v>
      </c>
      <c r="G177">
        <v>843.43</v>
      </c>
      <c r="H177" t="s">
        <v>22</v>
      </c>
      <c r="J177">
        <v>1.9</v>
      </c>
      <c r="K177">
        <v>16.03</v>
      </c>
      <c r="L177">
        <v>827.4</v>
      </c>
    </row>
    <row r="178" spans="1:12" x14ac:dyDescent="0.25">
      <c r="A178" t="s">
        <v>221</v>
      </c>
      <c r="B178" s="1">
        <v>45358.447916666664</v>
      </c>
      <c r="C178" t="s">
        <v>27</v>
      </c>
      <c r="D178" t="s">
        <v>25</v>
      </c>
      <c r="E178" t="s">
        <v>39</v>
      </c>
      <c r="F178" t="s">
        <v>41</v>
      </c>
      <c r="G178">
        <v>119.35</v>
      </c>
      <c r="H178" t="s">
        <v>17</v>
      </c>
      <c r="J178">
        <v>3.2</v>
      </c>
      <c r="K178">
        <v>0</v>
      </c>
      <c r="L178">
        <v>0</v>
      </c>
    </row>
    <row r="179" spans="1:12" x14ac:dyDescent="0.25">
      <c r="A179" t="s">
        <v>222</v>
      </c>
      <c r="B179" s="1">
        <v>45358.816666666666</v>
      </c>
      <c r="C179" t="s">
        <v>43</v>
      </c>
      <c r="D179" t="s">
        <v>25</v>
      </c>
      <c r="E179" t="s">
        <v>33</v>
      </c>
      <c r="F179" t="s">
        <v>16</v>
      </c>
      <c r="G179">
        <v>2467.6</v>
      </c>
      <c r="H179" t="s">
        <v>22</v>
      </c>
      <c r="J179">
        <v>1.9</v>
      </c>
      <c r="K179">
        <v>46.88</v>
      </c>
      <c r="L179">
        <v>2420.7199999999998</v>
      </c>
    </row>
    <row r="180" spans="1:12" x14ac:dyDescent="0.25">
      <c r="A180" t="s">
        <v>223</v>
      </c>
      <c r="B180" s="1">
        <v>45359.097222222219</v>
      </c>
      <c r="C180" t="s">
        <v>13</v>
      </c>
      <c r="D180" t="s">
        <v>14</v>
      </c>
      <c r="E180" t="s">
        <v>15</v>
      </c>
      <c r="F180" t="s">
        <v>29</v>
      </c>
      <c r="G180">
        <v>1309.43</v>
      </c>
      <c r="H180" t="s">
        <v>22</v>
      </c>
      <c r="J180">
        <v>2.5</v>
      </c>
      <c r="K180">
        <v>32.74</v>
      </c>
      <c r="L180">
        <v>1276.69</v>
      </c>
    </row>
    <row r="181" spans="1:12" x14ac:dyDescent="0.25">
      <c r="A181" t="s">
        <v>224</v>
      </c>
      <c r="B181" s="1">
        <v>45359.119444444441</v>
      </c>
      <c r="C181" t="s">
        <v>43</v>
      </c>
      <c r="D181" t="s">
        <v>25</v>
      </c>
      <c r="E181" t="s">
        <v>28</v>
      </c>
      <c r="F181" t="s">
        <v>16</v>
      </c>
      <c r="G181">
        <v>1558.85</v>
      </c>
      <c r="H181" t="s">
        <v>34</v>
      </c>
      <c r="I181" t="s">
        <v>55</v>
      </c>
      <c r="J181">
        <v>2.9</v>
      </c>
      <c r="K181">
        <v>0</v>
      </c>
      <c r="L181">
        <v>0</v>
      </c>
    </row>
    <row r="182" spans="1:12" x14ac:dyDescent="0.25">
      <c r="A182" t="s">
        <v>225</v>
      </c>
      <c r="B182" s="1">
        <v>45359.209027777775</v>
      </c>
      <c r="C182" t="s">
        <v>19</v>
      </c>
      <c r="D182" t="s">
        <v>20</v>
      </c>
      <c r="E182" t="s">
        <v>33</v>
      </c>
      <c r="F182" t="s">
        <v>21</v>
      </c>
      <c r="G182">
        <v>3031.97</v>
      </c>
      <c r="H182" t="s">
        <v>17</v>
      </c>
      <c r="J182">
        <v>1.9</v>
      </c>
      <c r="K182">
        <v>0</v>
      </c>
      <c r="L182">
        <v>0</v>
      </c>
    </row>
    <row r="183" spans="1:12" x14ac:dyDescent="0.25">
      <c r="A183" t="s">
        <v>226</v>
      </c>
      <c r="B183" s="1">
        <v>45359.470833333333</v>
      </c>
      <c r="C183" t="s">
        <v>24</v>
      </c>
      <c r="D183" t="s">
        <v>25</v>
      </c>
      <c r="E183" t="s">
        <v>28</v>
      </c>
      <c r="F183" t="s">
        <v>41</v>
      </c>
      <c r="G183">
        <v>2404.12</v>
      </c>
      <c r="H183" t="s">
        <v>22</v>
      </c>
      <c r="J183">
        <v>2.9</v>
      </c>
      <c r="K183">
        <v>69.72</v>
      </c>
      <c r="L183">
        <v>2334.4</v>
      </c>
    </row>
    <row r="184" spans="1:12" x14ac:dyDescent="0.25">
      <c r="A184" t="s">
        <v>227</v>
      </c>
      <c r="B184" s="1">
        <v>45359.803472222222</v>
      </c>
      <c r="C184" t="s">
        <v>47</v>
      </c>
      <c r="D184" t="s">
        <v>25</v>
      </c>
      <c r="E184" t="s">
        <v>39</v>
      </c>
      <c r="F184" t="s">
        <v>41</v>
      </c>
      <c r="G184">
        <v>3709.73</v>
      </c>
      <c r="H184" t="s">
        <v>17</v>
      </c>
      <c r="J184">
        <v>3.2</v>
      </c>
      <c r="K184">
        <v>0</v>
      </c>
      <c r="L184">
        <v>0</v>
      </c>
    </row>
    <row r="185" spans="1:12" x14ac:dyDescent="0.25">
      <c r="A185" t="s">
        <v>228</v>
      </c>
      <c r="B185" s="1">
        <v>45359.84097222222</v>
      </c>
      <c r="C185" t="s">
        <v>19</v>
      </c>
      <c r="D185" t="s">
        <v>20</v>
      </c>
      <c r="E185" t="s">
        <v>28</v>
      </c>
      <c r="F185" t="s">
        <v>29</v>
      </c>
      <c r="G185">
        <v>1269.43</v>
      </c>
      <c r="H185" t="s">
        <v>22</v>
      </c>
      <c r="J185">
        <v>2.9</v>
      </c>
      <c r="K185">
        <v>36.81</v>
      </c>
      <c r="L185">
        <v>1232.6199999999999</v>
      </c>
    </row>
    <row r="186" spans="1:12" x14ac:dyDescent="0.25">
      <c r="A186" t="s">
        <v>229</v>
      </c>
      <c r="B186" s="1">
        <v>45359.948611111111</v>
      </c>
      <c r="C186" t="s">
        <v>60</v>
      </c>
      <c r="D186" t="s">
        <v>25</v>
      </c>
      <c r="E186" t="s">
        <v>44</v>
      </c>
      <c r="F186" t="s">
        <v>41</v>
      </c>
      <c r="G186">
        <v>2085.98</v>
      </c>
      <c r="H186" t="s">
        <v>17</v>
      </c>
      <c r="J186">
        <v>2.1</v>
      </c>
      <c r="K186">
        <v>0</v>
      </c>
      <c r="L186">
        <v>0</v>
      </c>
    </row>
    <row r="187" spans="1:12" x14ac:dyDescent="0.25">
      <c r="A187" t="s">
        <v>230</v>
      </c>
      <c r="B187" s="1">
        <v>45360.159722222219</v>
      </c>
      <c r="C187" t="s">
        <v>19</v>
      </c>
      <c r="D187" t="s">
        <v>20</v>
      </c>
      <c r="E187" t="s">
        <v>15</v>
      </c>
      <c r="F187" t="s">
        <v>29</v>
      </c>
      <c r="G187">
        <v>88</v>
      </c>
      <c r="H187" t="s">
        <v>34</v>
      </c>
      <c r="I187" t="s">
        <v>78</v>
      </c>
      <c r="J187">
        <v>2.5</v>
      </c>
      <c r="K187">
        <v>0</v>
      </c>
      <c r="L187">
        <v>0</v>
      </c>
    </row>
    <row r="188" spans="1:12" x14ac:dyDescent="0.25">
      <c r="A188" t="s">
        <v>231</v>
      </c>
      <c r="B188" s="1">
        <v>45360.18472222222</v>
      </c>
      <c r="C188" t="s">
        <v>19</v>
      </c>
      <c r="D188" t="s">
        <v>20</v>
      </c>
      <c r="E188" t="s">
        <v>33</v>
      </c>
      <c r="F188" t="s">
        <v>21</v>
      </c>
      <c r="G188">
        <v>4216.9399999999996</v>
      </c>
      <c r="H188" t="s">
        <v>17</v>
      </c>
      <c r="J188">
        <v>1.9</v>
      </c>
      <c r="K188">
        <v>0</v>
      </c>
      <c r="L188">
        <v>0</v>
      </c>
    </row>
    <row r="189" spans="1:12" x14ac:dyDescent="0.25">
      <c r="A189" t="s">
        <v>232</v>
      </c>
      <c r="B189" s="1">
        <v>45361.379861111112</v>
      </c>
      <c r="C189" t="s">
        <v>43</v>
      </c>
      <c r="D189" t="s">
        <v>25</v>
      </c>
      <c r="E189" t="s">
        <v>33</v>
      </c>
      <c r="F189" t="s">
        <v>16</v>
      </c>
      <c r="G189">
        <v>1367.95</v>
      </c>
      <c r="H189" t="s">
        <v>17</v>
      </c>
      <c r="J189">
        <v>1.9</v>
      </c>
      <c r="K189">
        <v>0</v>
      </c>
      <c r="L189">
        <v>0</v>
      </c>
    </row>
    <row r="190" spans="1:12" x14ac:dyDescent="0.25">
      <c r="A190" t="s">
        <v>233</v>
      </c>
      <c r="B190" s="1">
        <v>45361.705555555556</v>
      </c>
      <c r="C190" t="s">
        <v>19</v>
      </c>
      <c r="D190" t="s">
        <v>20</v>
      </c>
      <c r="E190" t="s">
        <v>28</v>
      </c>
      <c r="F190" t="s">
        <v>29</v>
      </c>
      <c r="G190">
        <v>971.89</v>
      </c>
      <c r="H190" t="s">
        <v>22</v>
      </c>
      <c r="J190">
        <v>2.9</v>
      </c>
      <c r="K190">
        <v>28.18</v>
      </c>
      <c r="L190">
        <v>943.71</v>
      </c>
    </row>
    <row r="191" spans="1:12" x14ac:dyDescent="0.25">
      <c r="A191" t="s">
        <v>234</v>
      </c>
      <c r="B191" s="1">
        <v>45362.176388888889</v>
      </c>
      <c r="C191" t="s">
        <v>58</v>
      </c>
      <c r="D191" t="s">
        <v>25</v>
      </c>
      <c r="E191" t="s">
        <v>44</v>
      </c>
      <c r="F191" t="s">
        <v>29</v>
      </c>
      <c r="G191">
        <v>330.5</v>
      </c>
      <c r="H191" t="s">
        <v>34</v>
      </c>
      <c r="I191" t="s">
        <v>62</v>
      </c>
      <c r="J191">
        <v>2.1</v>
      </c>
      <c r="K191">
        <v>0</v>
      </c>
      <c r="L191">
        <v>0</v>
      </c>
    </row>
    <row r="192" spans="1:12" x14ac:dyDescent="0.25">
      <c r="A192" t="s">
        <v>235</v>
      </c>
      <c r="B192" s="1">
        <v>45362.26458333333</v>
      </c>
      <c r="C192" t="s">
        <v>58</v>
      </c>
      <c r="D192" t="s">
        <v>25</v>
      </c>
      <c r="E192" t="s">
        <v>33</v>
      </c>
      <c r="F192" t="s">
        <v>16</v>
      </c>
      <c r="G192">
        <v>724.69</v>
      </c>
      <c r="H192" t="s">
        <v>22</v>
      </c>
      <c r="J192">
        <v>1.9</v>
      </c>
      <c r="K192">
        <v>13.77</v>
      </c>
      <c r="L192">
        <v>710.92</v>
      </c>
    </row>
    <row r="193" spans="1:12" x14ac:dyDescent="0.25">
      <c r="A193" t="s">
        <v>236</v>
      </c>
      <c r="B193" s="1">
        <v>45362.53402777778</v>
      </c>
      <c r="C193" t="s">
        <v>27</v>
      </c>
      <c r="D193" t="s">
        <v>25</v>
      </c>
      <c r="E193" t="s">
        <v>44</v>
      </c>
      <c r="F193" t="s">
        <v>41</v>
      </c>
      <c r="G193">
        <v>2657.24</v>
      </c>
      <c r="H193" t="s">
        <v>22</v>
      </c>
      <c r="J193">
        <v>2.1</v>
      </c>
      <c r="K193">
        <v>55.8</v>
      </c>
      <c r="L193">
        <v>2601.44</v>
      </c>
    </row>
    <row r="194" spans="1:12" x14ac:dyDescent="0.25">
      <c r="A194" t="s">
        <v>237</v>
      </c>
      <c r="B194" s="1">
        <v>45363.05</v>
      </c>
      <c r="C194" t="s">
        <v>60</v>
      </c>
      <c r="D194" t="s">
        <v>25</v>
      </c>
      <c r="E194" t="s">
        <v>33</v>
      </c>
      <c r="F194" t="s">
        <v>29</v>
      </c>
      <c r="G194">
        <v>2451.27</v>
      </c>
      <c r="H194" t="s">
        <v>22</v>
      </c>
      <c r="J194">
        <v>1.9</v>
      </c>
      <c r="K194">
        <v>46.57</v>
      </c>
      <c r="L194">
        <v>2404.6999999999998</v>
      </c>
    </row>
    <row r="195" spans="1:12" x14ac:dyDescent="0.25">
      <c r="A195" t="s">
        <v>238</v>
      </c>
      <c r="B195" s="1">
        <v>45363.303472222222</v>
      </c>
      <c r="C195" t="s">
        <v>31</v>
      </c>
      <c r="D195" t="s">
        <v>32</v>
      </c>
      <c r="E195" t="s">
        <v>44</v>
      </c>
      <c r="F195" t="s">
        <v>45</v>
      </c>
      <c r="G195">
        <v>3008.99</v>
      </c>
      <c r="H195" t="s">
        <v>17</v>
      </c>
      <c r="J195">
        <v>2.1</v>
      </c>
      <c r="K195">
        <v>0</v>
      </c>
      <c r="L195">
        <v>0</v>
      </c>
    </row>
    <row r="196" spans="1:12" x14ac:dyDescent="0.25">
      <c r="A196" t="s">
        <v>239</v>
      </c>
      <c r="B196" s="1">
        <v>45363.84652777778</v>
      </c>
      <c r="C196" t="s">
        <v>24</v>
      </c>
      <c r="D196" t="s">
        <v>25</v>
      </c>
      <c r="E196" t="s">
        <v>39</v>
      </c>
      <c r="F196" t="s">
        <v>29</v>
      </c>
      <c r="G196">
        <v>3579.03</v>
      </c>
      <c r="H196" t="s">
        <v>34</v>
      </c>
      <c r="I196" t="s">
        <v>78</v>
      </c>
      <c r="J196">
        <v>3.2</v>
      </c>
      <c r="K196">
        <v>0</v>
      </c>
      <c r="L196">
        <v>0</v>
      </c>
    </row>
    <row r="197" spans="1:12" x14ac:dyDescent="0.25">
      <c r="A197" t="s">
        <v>240</v>
      </c>
      <c r="B197" s="1">
        <v>45363.981944444444</v>
      </c>
      <c r="C197" t="s">
        <v>43</v>
      </c>
      <c r="D197" t="s">
        <v>25</v>
      </c>
      <c r="E197" t="s">
        <v>44</v>
      </c>
      <c r="F197" t="s">
        <v>45</v>
      </c>
      <c r="G197">
        <v>4951.71</v>
      </c>
      <c r="H197" t="s">
        <v>22</v>
      </c>
      <c r="J197">
        <v>2.1</v>
      </c>
      <c r="K197">
        <v>103.99</v>
      </c>
      <c r="L197">
        <v>4847.72</v>
      </c>
    </row>
    <row r="198" spans="1:12" x14ac:dyDescent="0.25">
      <c r="A198" t="s">
        <v>241</v>
      </c>
      <c r="B198" s="1">
        <v>45364.127083333333</v>
      </c>
      <c r="C198" t="s">
        <v>47</v>
      </c>
      <c r="D198" t="s">
        <v>25</v>
      </c>
      <c r="E198" t="s">
        <v>15</v>
      </c>
      <c r="F198" t="s">
        <v>45</v>
      </c>
      <c r="G198">
        <v>2096.4899999999998</v>
      </c>
      <c r="H198" t="s">
        <v>22</v>
      </c>
      <c r="J198">
        <v>2.5</v>
      </c>
      <c r="K198">
        <v>52.41</v>
      </c>
      <c r="L198">
        <v>2044.08</v>
      </c>
    </row>
    <row r="199" spans="1:12" x14ac:dyDescent="0.25">
      <c r="A199" t="s">
        <v>242</v>
      </c>
      <c r="B199" s="1">
        <v>45364.548611111109</v>
      </c>
      <c r="C199" t="s">
        <v>37</v>
      </c>
      <c r="D199" t="s">
        <v>38</v>
      </c>
      <c r="E199" t="s">
        <v>33</v>
      </c>
      <c r="F199" t="s">
        <v>29</v>
      </c>
      <c r="G199">
        <v>2198.92</v>
      </c>
      <c r="H199" t="s">
        <v>17</v>
      </c>
      <c r="J199">
        <v>1.9</v>
      </c>
      <c r="K199">
        <v>0</v>
      </c>
      <c r="L199">
        <v>0</v>
      </c>
    </row>
    <row r="200" spans="1:12" x14ac:dyDescent="0.25">
      <c r="A200" t="s">
        <v>243</v>
      </c>
      <c r="B200" s="1">
        <v>45365.005555555559</v>
      </c>
      <c r="C200" t="s">
        <v>13</v>
      </c>
      <c r="D200" t="s">
        <v>14</v>
      </c>
      <c r="E200" t="s">
        <v>39</v>
      </c>
      <c r="F200" t="s">
        <v>21</v>
      </c>
      <c r="G200">
        <v>3896.25</v>
      </c>
      <c r="H200" t="s">
        <v>34</v>
      </c>
      <c r="I200" t="s">
        <v>62</v>
      </c>
      <c r="J200">
        <v>3.2</v>
      </c>
      <c r="K200">
        <v>0</v>
      </c>
      <c r="L200">
        <v>0</v>
      </c>
    </row>
    <row r="201" spans="1:12" x14ac:dyDescent="0.25">
      <c r="A201" t="s">
        <v>244</v>
      </c>
      <c r="B201" s="1">
        <v>45365.263194444444</v>
      </c>
      <c r="C201" t="s">
        <v>43</v>
      </c>
      <c r="D201" t="s">
        <v>25</v>
      </c>
      <c r="E201" t="s">
        <v>33</v>
      </c>
      <c r="F201" t="s">
        <v>21</v>
      </c>
      <c r="G201">
        <v>339.92</v>
      </c>
      <c r="H201" t="s">
        <v>17</v>
      </c>
      <c r="J201">
        <v>1.9</v>
      </c>
      <c r="K201">
        <v>0</v>
      </c>
      <c r="L201">
        <v>0</v>
      </c>
    </row>
    <row r="202" spans="1:12" x14ac:dyDescent="0.25">
      <c r="A202" t="s">
        <v>245</v>
      </c>
      <c r="B202" s="1">
        <v>45365.393750000003</v>
      </c>
      <c r="C202" t="s">
        <v>60</v>
      </c>
      <c r="D202" t="s">
        <v>25</v>
      </c>
      <c r="E202" t="s">
        <v>33</v>
      </c>
      <c r="F202" t="s">
        <v>21</v>
      </c>
      <c r="G202">
        <v>1210.42</v>
      </c>
      <c r="H202" t="s">
        <v>34</v>
      </c>
      <c r="I202" t="s">
        <v>35</v>
      </c>
      <c r="J202">
        <v>1.9</v>
      </c>
      <c r="K202">
        <v>0</v>
      </c>
      <c r="L202">
        <v>0</v>
      </c>
    </row>
    <row r="203" spans="1:12" x14ac:dyDescent="0.25">
      <c r="A203" t="s">
        <v>246</v>
      </c>
      <c r="B203" s="1">
        <v>45366.479166666664</v>
      </c>
      <c r="C203" t="s">
        <v>37</v>
      </c>
      <c r="D203" t="s">
        <v>38</v>
      </c>
      <c r="E203" t="s">
        <v>39</v>
      </c>
      <c r="F203" t="s">
        <v>41</v>
      </c>
      <c r="G203">
        <v>3230.53</v>
      </c>
      <c r="H203" t="s">
        <v>17</v>
      </c>
      <c r="J203">
        <v>3.2</v>
      </c>
      <c r="K203">
        <v>0</v>
      </c>
      <c r="L203">
        <v>0</v>
      </c>
    </row>
    <row r="204" spans="1:12" x14ac:dyDescent="0.25">
      <c r="A204" t="s">
        <v>247</v>
      </c>
      <c r="B204" s="1">
        <v>45366.665972222225</v>
      </c>
      <c r="C204" t="s">
        <v>19</v>
      </c>
      <c r="D204" t="s">
        <v>20</v>
      </c>
      <c r="E204" t="s">
        <v>15</v>
      </c>
      <c r="F204" t="s">
        <v>41</v>
      </c>
      <c r="G204">
        <v>329.76</v>
      </c>
      <c r="H204" t="s">
        <v>22</v>
      </c>
      <c r="J204">
        <v>2.5</v>
      </c>
      <c r="K204">
        <v>8.24</v>
      </c>
      <c r="L204">
        <v>321.52</v>
      </c>
    </row>
    <row r="205" spans="1:12" x14ac:dyDescent="0.25">
      <c r="A205" t="s">
        <v>248</v>
      </c>
      <c r="B205" s="1">
        <v>45366.970138888886</v>
      </c>
      <c r="C205" t="s">
        <v>19</v>
      </c>
      <c r="D205" t="s">
        <v>20</v>
      </c>
      <c r="E205" t="s">
        <v>39</v>
      </c>
      <c r="F205" t="s">
        <v>21</v>
      </c>
      <c r="G205">
        <v>811.18</v>
      </c>
      <c r="H205" t="s">
        <v>17</v>
      </c>
      <c r="J205">
        <v>3.2</v>
      </c>
      <c r="K205">
        <v>0</v>
      </c>
      <c r="L205">
        <v>0</v>
      </c>
    </row>
    <row r="206" spans="1:12" x14ac:dyDescent="0.25">
      <c r="A206" t="s">
        <v>249</v>
      </c>
      <c r="B206" s="1">
        <v>45367.791666666664</v>
      </c>
      <c r="C206" t="s">
        <v>47</v>
      </c>
      <c r="D206" t="s">
        <v>25</v>
      </c>
      <c r="E206" t="s">
        <v>44</v>
      </c>
      <c r="F206" t="s">
        <v>29</v>
      </c>
      <c r="G206">
        <v>2705.68</v>
      </c>
      <c r="H206" t="s">
        <v>22</v>
      </c>
      <c r="J206">
        <v>2.1</v>
      </c>
      <c r="K206">
        <v>56.82</v>
      </c>
      <c r="L206">
        <v>2648.86</v>
      </c>
    </row>
    <row r="207" spans="1:12" x14ac:dyDescent="0.25">
      <c r="A207" t="s">
        <v>250</v>
      </c>
      <c r="B207" s="1">
        <v>45367.881249999999</v>
      </c>
      <c r="C207" t="s">
        <v>43</v>
      </c>
      <c r="D207" t="s">
        <v>25</v>
      </c>
      <c r="E207" t="s">
        <v>33</v>
      </c>
      <c r="F207" t="s">
        <v>21</v>
      </c>
      <c r="G207">
        <v>1956.01</v>
      </c>
      <c r="H207" t="s">
        <v>17</v>
      </c>
      <c r="J207">
        <v>1.9</v>
      </c>
      <c r="K207">
        <v>0</v>
      </c>
      <c r="L207">
        <v>0</v>
      </c>
    </row>
    <row r="208" spans="1:12" x14ac:dyDescent="0.25">
      <c r="A208" t="s">
        <v>251</v>
      </c>
      <c r="B208" s="1">
        <v>45367.95416666667</v>
      </c>
      <c r="C208" t="s">
        <v>58</v>
      </c>
      <c r="D208" t="s">
        <v>25</v>
      </c>
      <c r="E208" t="s">
        <v>39</v>
      </c>
      <c r="F208" t="s">
        <v>16</v>
      </c>
      <c r="G208">
        <v>1870.43</v>
      </c>
      <c r="H208" t="s">
        <v>22</v>
      </c>
      <c r="J208">
        <v>3.2</v>
      </c>
      <c r="K208">
        <v>59.85</v>
      </c>
      <c r="L208">
        <v>1810.58</v>
      </c>
    </row>
    <row r="209" spans="1:12" x14ac:dyDescent="0.25">
      <c r="A209" t="s">
        <v>252</v>
      </c>
      <c r="B209" s="1">
        <v>45368.099305555559</v>
      </c>
      <c r="C209" t="s">
        <v>27</v>
      </c>
      <c r="D209" t="s">
        <v>25</v>
      </c>
      <c r="E209" t="s">
        <v>33</v>
      </c>
      <c r="F209" t="s">
        <v>41</v>
      </c>
      <c r="G209">
        <v>80.430000000000007</v>
      </c>
      <c r="H209" t="s">
        <v>17</v>
      </c>
      <c r="J209">
        <v>1.9</v>
      </c>
      <c r="K209">
        <v>0</v>
      </c>
      <c r="L209">
        <v>0</v>
      </c>
    </row>
    <row r="210" spans="1:12" x14ac:dyDescent="0.25">
      <c r="A210" t="s">
        <v>253</v>
      </c>
      <c r="B210" s="1">
        <v>45368.79583333333</v>
      </c>
      <c r="C210" t="s">
        <v>27</v>
      </c>
      <c r="D210" t="s">
        <v>25</v>
      </c>
      <c r="E210" t="s">
        <v>15</v>
      </c>
      <c r="F210" t="s">
        <v>45</v>
      </c>
      <c r="G210">
        <v>3003.07</v>
      </c>
      <c r="H210" t="s">
        <v>17</v>
      </c>
      <c r="J210">
        <v>2.5</v>
      </c>
      <c r="K210">
        <v>0</v>
      </c>
      <c r="L210">
        <v>0</v>
      </c>
    </row>
    <row r="211" spans="1:12" x14ac:dyDescent="0.25">
      <c r="A211" t="s">
        <v>254</v>
      </c>
      <c r="B211" s="1">
        <v>45369.572222222225</v>
      </c>
      <c r="C211" t="s">
        <v>24</v>
      </c>
      <c r="D211" t="s">
        <v>25</v>
      </c>
      <c r="E211" t="s">
        <v>15</v>
      </c>
      <c r="F211" t="s">
        <v>45</v>
      </c>
      <c r="G211">
        <v>3877.11</v>
      </c>
      <c r="H211" t="s">
        <v>34</v>
      </c>
      <c r="I211" t="s">
        <v>78</v>
      </c>
      <c r="J211">
        <v>2.5</v>
      </c>
      <c r="K211">
        <v>0</v>
      </c>
      <c r="L211">
        <v>0</v>
      </c>
    </row>
    <row r="212" spans="1:12" x14ac:dyDescent="0.25">
      <c r="A212" t="s">
        <v>255</v>
      </c>
      <c r="B212" s="1">
        <v>45369.931250000001</v>
      </c>
      <c r="C212" t="s">
        <v>58</v>
      </c>
      <c r="D212" t="s">
        <v>25</v>
      </c>
      <c r="E212" t="s">
        <v>33</v>
      </c>
      <c r="F212" t="s">
        <v>41</v>
      </c>
      <c r="G212">
        <v>2581.7600000000002</v>
      </c>
      <c r="H212" t="s">
        <v>34</v>
      </c>
      <c r="I212" t="s">
        <v>55</v>
      </c>
      <c r="J212">
        <v>1.9</v>
      </c>
      <c r="K212">
        <v>0</v>
      </c>
      <c r="L212">
        <v>0</v>
      </c>
    </row>
    <row r="213" spans="1:12" x14ac:dyDescent="0.25">
      <c r="A213" t="s">
        <v>256</v>
      </c>
      <c r="B213" s="1">
        <v>45369.945833333331</v>
      </c>
      <c r="C213" t="s">
        <v>31</v>
      </c>
      <c r="D213" t="s">
        <v>32</v>
      </c>
      <c r="E213" t="s">
        <v>28</v>
      </c>
      <c r="F213" t="s">
        <v>21</v>
      </c>
      <c r="G213">
        <v>4042.82</v>
      </c>
      <c r="H213" t="s">
        <v>34</v>
      </c>
      <c r="I213" t="s">
        <v>100</v>
      </c>
      <c r="J213">
        <v>2.9</v>
      </c>
      <c r="K213">
        <v>0</v>
      </c>
      <c r="L213">
        <v>0</v>
      </c>
    </row>
    <row r="214" spans="1:12" x14ac:dyDescent="0.25">
      <c r="A214" t="s">
        <v>257</v>
      </c>
      <c r="B214" s="1">
        <v>45371.131944444445</v>
      </c>
      <c r="C214" t="s">
        <v>43</v>
      </c>
      <c r="D214" t="s">
        <v>25</v>
      </c>
      <c r="E214" t="s">
        <v>15</v>
      </c>
      <c r="F214" t="s">
        <v>21</v>
      </c>
      <c r="G214">
        <v>2038.5</v>
      </c>
      <c r="H214" t="s">
        <v>17</v>
      </c>
      <c r="J214">
        <v>2.5</v>
      </c>
      <c r="K214">
        <v>0</v>
      </c>
      <c r="L214">
        <v>0</v>
      </c>
    </row>
    <row r="215" spans="1:12" x14ac:dyDescent="0.25">
      <c r="A215" t="s">
        <v>258</v>
      </c>
      <c r="B215" s="1">
        <v>45371.262499999997</v>
      </c>
      <c r="C215" t="s">
        <v>24</v>
      </c>
      <c r="D215" t="s">
        <v>25</v>
      </c>
      <c r="E215" t="s">
        <v>28</v>
      </c>
      <c r="F215" t="s">
        <v>45</v>
      </c>
      <c r="G215">
        <v>3681.33</v>
      </c>
      <c r="H215" t="s">
        <v>22</v>
      </c>
      <c r="J215">
        <v>2.9</v>
      </c>
      <c r="K215">
        <v>106.76</v>
      </c>
      <c r="L215">
        <v>3574.57</v>
      </c>
    </row>
    <row r="216" spans="1:12" x14ac:dyDescent="0.25">
      <c r="A216" t="s">
        <v>259</v>
      </c>
      <c r="B216" s="1">
        <v>45371.853472222225</v>
      </c>
      <c r="C216" t="s">
        <v>13</v>
      </c>
      <c r="D216" t="s">
        <v>14</v>
      </c>
      <c r="E216" t="s">
        <v>39</v>
      </c>
      <c r="F216" t="s">
        <v>16</v>
      </c>
      <c r="G216">
        <v>3922.11</v>
      </c>
      <c r="H216" t="s">
        <v>34</v>
      </c>
      <c r="I216" t="s">
        <v>78</v>
      </c>
      <c r="J216">
        <v>3.2</v>
      </c>
      <c r="K216">
        <v>0</v>
      </c>
      <c r="L216">
        <v>0</v>
      </c>
    </row>
    <row r="217" spans="1:12" x14ac:dyDescent="0.25">
      <c r="A217" t="s">
        <v>260</v>
      </c>
      <c r="B217" s="1">
        <v>45372.018055555556</v>
      </c>
      <c r="C217" t="s">
        <v>43</v>
      </c>
      <c r="D217" t="s">
        <v>25</v>
      </c>
      <c r="E217" t="s">
        <v>33</v>
      </c>
      <c r="F217" t="s">
        <v>16</v>
      </c>
      <c r="G217">
        <v>1463.38</v>
      </c>
      <c r="H217" t="s">
        <v>22</v>
      </c>
      <c r="J217">
        <v>1.9</v>
      </c>
      <c r="K217">
        <v>27.8</v>
      </c>
      <c r="L217">
        <v>1435.58</v>
      </c>
    </row>
    <row r="218" spans="1:12" x14ac:dyDescent="0.25">
      <c r="A218" t="s">
        <v>261</v>
      </c>
      <c r="B218" s="1">
        <v>45372.021527777775</v>
      </c>
      <c r="C218" t="s">
        <v>13</v>
      </c>
      <c r="D218" t="s">
        <v>14</v>
      </c>
      <c r="E218" t="s">
        <v>28</v>
      </c>
      <c r="F218" t="s">
        <v>41</v>
      </c>
      <c r="G218">
        <v>4476.45</v>
      </c>
      <c r="H218" t="s">
        <v>34</v>
      </c>
      <c r="I218" t="s">
        <v>100</v>
      </c>
      <c r="J218">
        <v>2.9</v>
      </c>
      <c r="K218">
        <v>0</v>
      </c>
      <c r="L218">
        <v>0</v>
      </c>
    </row>
    <row r="219" spans="1:12" x14ac:dyDescent="0.25">
      <c r="A219" t="s">
        <v>262</v>
      </c>
      <c r="B219" s="1">
        <v>45372.367361111108</v>
      </c>
      <c r="C219" t="s">
        <v>31</v>
      </c>
      <c r="D219" t="s">
        <v>32</v>
      </c>
      <c r="E219" t="s">
        <v>33</v>
      </c>
      <c r="F219" t="s">
        <v>41</v>
      </c>
      <c r="G219">
        <v>1149.74</v>
      </c>
      <c r="H219" t="s">
        <v>17</v>
      </c>
      <c r="J219">
        <v>1.9</v>
      </c>
      <c r="K219">
        <v>0</v>
      </c>
      <c r="L219">
        <v>0</v>
      </c>
    </row>
    <row r="220" spans="1:12" x14ac:dyDescent="0.25">
      <c r="A220" t="s">
        <v>263</v>
      </c>
      <c r="B220" s="1">
        <v>45372.628472222219</v>
      </c>
      <c r="C220" t="s">
        <v>19</v>
      </c>
      <c r="D220" t="s">
        <v>20</v>
      </c>
      <c r="E220" t="s">
        <v>39</v>
      </c>
      <c r="F220" t="s">
        <v>41</v>
      </c>
      <c r="G220">
        <v>308.27999999999997</v>
      </c>
      <c r="H220" t="s">
        <v>22</v>
      </c>
      <c r="J220">
        <v>3.2</v>
      </c>
      <c r="K220">
        <v>9.86</v>
      </c>
      <c r="L220">
        <v>298.42</v>
      </c>
    </row>
    <row r="221" spans="1:12" x14ac:dyDescent="0.25">
      <c r="A221" t="s">
        <v>264</v>
      </c>
      <c r="B221" s="1">
        <v>45372.793749999997</v>
      </c>
      <c r="C221" t="s">
        <v>31</v>
      </c>
      <c r="D221" t="s">
        <v>32</v>
      </c>
      <c r="E221" t="s">
        <v>39</v>
      </c>
      <c r="F221" t="s">
        <v>16</v>
      </c>
      <c r="G221">
        <v>3313.07</v>
      </c>
      <c r="H221" t="s">
        <v>34</v>
      </c>
      <c r="I221" t="s">
        <v>100</v>
      </c>
      <c r="J221">
        <v>3.2</v>
      </c>
      <c r="K221">
        <v>0</v>
      </c>
      <c r="L221">
        <v>0</v>
      </c>
    </row>
    <row r="222" spans="1:12" x14ac:dyDescent="0.25">
      <c r="A222" t="s">
        <v>265</v>
      </c>
      <c r="B222" s="1">
        <v>45373.865277777775</v>
      </c>
      <c r="C222" t="s">
        <v>60</v>
      </c>
      <c r="D222" t="s">
        <v>25</v>
      </c>
      <c r="E222" t="s">
        <v>33</v>
      </c>
      <c r="F222" t="s">
        <v>45</v>
      </c>
      <c r="G222">
        <v>619.49</v>
      </c>
      <c r="H222" t="s">
        <v>34</v>
      </c>
      <c r="I222" t="s">
        <v>62</v>
      </c>
      <c r="J222">
        <v>1.9</v>
      </c>
      <c r="K222">
        <v>0</v>
      </c>
      <c r="L222">
        <v>0</v>
      </c>
    </row>
    <row r="223" spans="1:12" x14ac:dyDescent="0.25">
      <c r="A223" t="s">
        <v>266</v>
      </c>
      <c r="B223" s="1">
        <v>45373.935416666667</v>
      </c>
      <c r="C223" t="s">
        <v>37</v>
      </c>
      <c r="D223" t="s">
        <v>38</v>
      </c>
      <c r="E223" t="s">
        <v>39</v>
      </c>
      <c r="F223" t="s">
        <v>29</v>
      </c>
      <c r="G223">
        <v>1084.42</v>
      </c>
      <c r="H223" t="s">
        <v>22</v>
      </c>
      <c r="J223">
        <v>3.2</v>
      </c>
      <c r="K223">
        <v>34.700000000000003</v>
      </c>
      <c r="L223">
        <v>1049.72</v>
      </c>
    </row>
    <row r="224" spans="1:12" x14ac:dyDescent="0.25">
      <c r="A224" t="s">
        <v>267</v>
      </c>
      <c r="B224" s="1">
        <v>45374.218055555553</v>
      </c>
      <c r="C224" t="s">
        <v>19</v>
      </c>
      <c r="D224" t="s">
        <v>20</v>
      </c>
      <c r="E224" t="s">
        <v>39</v>
      </c>
      <c r="F224" t="s">
        <v>29</v>
      </c>
      <c r="G224">
        <v>581.97</v>
      </c>
      <c r="H224" t="s">
        <v>17</v>
      </c>
      <c r="J224">
        <v>3.2</v>
      </c>
      <c r="K224">
        <v>0</v>
      </c>
      <c r="L224">
        <v>0</v>
      </c>
    </row>
    <row r="225" spans="1:12" x14ac:dyDescent="0.25">
      <c r="A225" t="s">
        <v>268</v>
      </c>
      <c r="B225" s="1">
        <v>45374.285416666666</v>
      </c>
      <c r="C225" t="s">
        <v>19</v>
      </c>
      <c r="D225" t="s">
        <v>20</v>
      </c>
      <c r="E225" t="s">
        <v>44</v>
      </c>
      <c r="F225" t="s">
        <v>21</v>
      </c>
      <c r="G225">
        <v>270.38</v>
      </c>
      <c r="H225" t="s">
        <v>34</v>
      </c>
      <c r="I225" t="s">
        <v>62</v>
      </c>
      <c r="J225">
        <v>2.1</v>
      </c>
      <c r="K225">
        <v>0</v>
      </c>
      <c r="L225">
        <v>0</v>
      </c>
    </row>
    <row r="226" spans="1:12" x14ac:dyDescent="0.25">
      <c r="A226" t="s">
        <v>269</v>
      </c>
      <c r="B226" s="1">
        <v>45374.977777777778</v>
      </c>
      <c r="C226" t="s">
        <v>13</v>
      </c>
      <c r="D226" t="s">
        <v>14</v>
      </c>
      <c r="E226" t="s">
        <v>15</v>
      </c>
      <c r="F226" t="s">
        <v>45</v>
      </c>
      <c r="G226">
        <v>58.25</v>
      </c>
      <c r="H226" t="s">
        <v>22</v>
      </c>
      <c r="J226">
        <v>2.5</v>
      </c>
      <c r="K226">
        <v>1.46</v>
      </c>
      <c r="L226">
        <v>56.79</v>
      </c>
    </row>
    <row r="227" spans="1:12" x14ac:dyDescent="0.25">
      <c r="A227" t="s">
        <v>270</v>
      </c>
      <c r="B227" s="1">
        <v>45375.053472222222</v>
      </c>
      <c r="C227" t="s">
        <v>37</v>
      </c>
      <c r="D227" t="s">
        <v>38</v>
      </c>
      <c r="E227" t="s">
        <v>15</v>
      </c>
      <c r="F227" t="s">
        <v>21</v>
      </c>
      <c r="G227">
        <v>253.09</v>
      </c>
      <c r="H227" t="s">
        <v>22</v>
      </c>
      <c r="J227">
        <v>2.5</v>
      </c>
      <c r="K227">
        <v>6.33</v>
      </c>
      <c r="L227">
        <v>246.76</v>
      </c>
    </row>
    <row r="228" spans="1:12" x14ac:dyDescent="0.25">
      <c r="A228" t="s">
        <v>271</v>
      </c>
      <c r="B228" s="1">
        <v>45375.134027777778</v>
      </c>
      <c r="C228" t="s">
        <v>27</v>
      </c>
      <c r="D228" t="s">
        <v>25</v>
      </c>
      <c r="E228" t="s">
        <v>33</v>
      </c>
      <c r="F228" t="s">
        <v>29</v>
      </c>
      <c r="G228">
        <v>4159.55</v>
      </c>
      <c r="H228" t="s">
        <v>17</v>
      </c>
      <c r="J228">
        <v>1.9</v>
      </c>
      <c r="K228">
        <v>0</v>
      </c>
      <c r="L228">
        <v>0</v>
      </c>
    </row>
    <row r="229" spans="1:12" x14ac:dyDescent="0.25">
      <c r="A229" t="s">
        <v>272</v>
      </c>
      <c r="B229" s="1">
        <v>45375.174305555556</v>
      </c>
      <c r="C229" t="s">
        <v>60</v>
      </c>
      <c r="D229" t="s">
        <v>25</v>
      </c>
      <c r="E229" t="s">
        <v>15</v>
      </c>
      <c r="F229" t="s">
        <v>21</v>
      </c>
      <c r="G229">
        <v>1554.5</v>
      </c>
      <c r="H229" t="s">
        <v>34</v>
      </c>
      <c r="I229" t="s">
        <v>62</v>
      </c>
      <c r="J229">
        <v>2.5</v>
      </c>
      <c r="K229">
        <v>0</v>
      </c>
      <c r="L229">
        <v>0</v>
      </c>
    </row>
    <row r="230" spans="1:12" x14ac:dyDescent="0.25">
      <c r="A230" t="s">
        <v>273</v>
      </c>
      <c r="B230" s="1">
        <v>45375.527083333334</v>
      </c>
      <c r="C230" t="s">
        <v>47</v>
      </c>
      <c r="D230" t="s">
        <v>25</v>
      </c>
      <c r="E230" t="s">
        <v>33</v>
      </c>
      <c r="F230" t="s">
        <v>21</v>
      </c>
      <c r="G230">
        <v>2541.5</v>
      </c>
      <c r="H230" t="s">
        <v>17</v>
      </c>
      <c r="J230">
        <v>1.9</v>
      </c>
      <c r="K230">
        <v>0</v>
      </c>
      <c r="L230">
        <v>0</v>
      </c>
    </row>
    <row r="231" spans="1:12" x14ac:dyDescent="0.25">
      <c r="A231" t="s">
        <v>274</v>
      </c>
      <c r="B231" s="1">
        <v>45375.640277777777</v>
      </c>
      <c r="C231" t="s">
        <v>13</v>
      </c>
      <c r="D231" t="s">
        <v>14</v>
      </c>
      <c r="E231" t="s">
        <v>33</v>
      </c>
      <c r="F231" t="s">
        <v>21</v>
      </c>
      <c r="G231">
        <v>843.15</v>
      </c>
      <c r="H231" t="s">
        <v>22</v>
      </c>
      <c r="J231">
        <v>1.9</v>
      </c>
      <c r="K231">
        <v>16.02</v>
      </c>
      <c r="L231">
        <v>827.13</v>
      </c>
    </row>
    <row r="232" spans="1:12" x14ac:dyDescent="0.25">
      <c r="A232" t="s">
        <v>275</v>
      </c>
      <c r="B232" s="1">
        <v>45376.338194444441</v>
      </c>
      <c r="C232" t="s">
        <v>27</v>
      </c>
      <c r="D232" t="s">
        <v>25</v>
      </c>
      <c r="E232" t="s">
        <v>15</v>
      </c>
      <c r="F232" t="s">
        <v>29</v>
      </c>
      <c r="G232">
        <v>4376.22</v>
      </c>
      <c r="H232" t="s">
        <v>17</v>
      </c>
      <c r="J232">
        <v>2.5</v>
      </c>
      <c r="K232">
        <v>0</v>
      </c>
      <c r="L232">
        <v>0</v>
      </c>
    </row>
    <row r="233" spans="1:12" x14ac:dyDescent="0.25">
      <c r="A233" t="s">
        <v>276</v>
      </c>
      <c r="B233" s="1">
        <v>45376.401388888888</v>
      </c>
      <c r="C233" t="s">
        <v>19</v>
      </c>
      <c r="D233" t="s">
        <v>20</v>
      </c>
      <c r="E233" t="s">
        <v>39</v>
      </c>
      <c r="F233" t="s">
        <v>16</v>
      </c>
      <c r="G233">
        <v>630.52</v>
      </c>
      <c r="H233" t="s">
        <v>22</v>
      </c>
      <c r="J233">
        <v>3.2</v>
      </c>
      <c r="K233">
        <v>20.18</v>
      </c>
      <c r="L233">
        <v>610.34</v>
      </c>
    </row>
    <row r="234" spans="1:12" x14ac:dyDescent="0.25">
      <c r="A234" t="s">
        <v>277</v>
      </c>
      <c r="B234" s="1">
        <v>45376.5</v>
      </c>
      <c r="C234" t="s">
        <v>58</v>
      </c>
      <c r="D234" t="s">
        <v>25</v>
      </c>
      <c r="E234" t="s">
        <v>39</v>
      </c>
      <c r="F234" t="s">
        <v>16</v>
      </c>
      <c r="G234">
        <v>1433.39</v>
      </c>
      <c r="H234" t="s">
        <v>17</v>
      </c>
      <c r="J234">
        <v>3.2</v>
      </c>
      <c r="K234">
        <v>0</v>
      </c>
      <c r="L234">
        <v>0</v>
      </c>
    </row>
    <row r="235" spans="1:12" x14ac:dyDescent="0.25">
      <c r="A235" t="s">
        <v>278</v>
      </c>
      <c r="B235" s="1">
        <v>45376.543749999997</v>
      </c>
      <c r="C235" t="s">
        <v>58</v>
      </c>
      <c r="D235" t="s">
        <v>25</v>
      </c>
      <c r="E235" t="s">
        <v>28</v>
      </c>
      <c r="F235" t="s">
        <v>29</v>
      </c>
      <c r="G235">
        <v>4513.53</v>
      </c>
      <c r="H235" t="s">
        <v>22</v>
      </c>
      <c r="J235">
        <v>2.9</v>
      </c>
      <c r="K235">
        <v>130.88999999999999</v>
      </c>
      <c r="L235">
        <v>4382.6400000000003</v>
      </c>
    </row>
    <row r="236" spans="1:12" x14ac:dyDescent="0.25">
      <c r="A236" t="s">
        <v>279</v>
      </c>
      <c r="B236" s="1">
        <v>45376.630555555559</v>
      </c>
      <c r="C236" t="s">
        <v>58</v>
      </c>
      <c r="D236" t="s">
        <v>25</v>
      </c>
      <c r="E236" t="s">
        <v>28</v>
      </c>
      <c r="F236" t="s">
        <v>21</v>
      </c>
      <c r="G236">
        <v>3058.15</v>
      </c>
      <c r="H236" t="s">
        <v>22</v>
      </c>
      <c r="J236">
        <v>2.9</v>
      </c>
      <c r="K236">
        <v>88.69</v>
      </c>
      <c r="L236">
        <v>2969.46</v>
      </c>
    </row>
    <row r="237" spans="1:12" x14ac:dyDescent="0.25">
      <c r="A237" t="s">
        <v>280</v>
      </c>
      <c r="B237" s="1">
        <v>45377.504166666666</v>
      </c>
      <c r="C237" t="s">
        <v>31</v>
      </c>
      <c r="D237" t="s">
        <v>32</v>
      </c>
      <c r="E237" t="s">
        <v>28</v>
      </c>
      <c r="F237" t="s">
        <v>16</v>
      </c>
      <c r="G237">
        <v>2746.68</v>
      </c>
      <c r="H237" t="s">
        <v>22</v>
      </c>
      <c r="J237">
        <v>2.9</v>
      </c>
      <c r="K237">
        <v>79.650000000000006</v>
      </c>
      <c r="L237">
        <v>2667.03</v>
      </c>
    </row>
    <row r="238" spans="1:12" x14ac:dyDescent="0.25">
      <c r="A238" t="s">
        <v>281</v>
      </c>
      <c r="B238" s="1">
        <v>45377.600694444445</v>
      </c>
      <c r="C238" t="s">
        <v>43</v>
      </c>
      <c r="D238" t="s">
        <v>25</v>
      </c>
      <c r="E238" t="s">
        <v>39</v>
      </c>
      <c r="F238" t="s">
        <v>16</v>
      </c>
      <c r="G238">
        <v>3733.29</v>
      </c>
      <c r="H238" t="s">
        <v>17</v>
      </c>
      <c r="J238">
        <v>3.2</v>
      </c>
      <c r="K238">
        <v>0</v>
      </c>
      <c r="L238">
        <v>0</v>
      </c>
    </row>
    <row r="239" spans="1:12" x14ac:dyDescent="0.25">
      <c r="A239" t="s">
        <v>282</v>
      </c>
      <c r="B239" s="1">
        <v>45377.818055555559</v>
      </c>
      <c r="C239" t="s">
        <v>31</v>
      </c>
      <c r="D239" t="s">
        <v>32</v>
      </c>
      <c r="E239" t="s">
        <v>44</v>
      </c>
      <c r="F239" t="s">
        <v>21</v>
      </c>
      <c r="G239">
        <v>549.41</v>
      </c>
      <c r="H239" t="s">
        <v>22</v>
      </c>
      <c r="J239">
        <v>2.1</v>
      </c>
      <c r="K239">
        <v>11.54</v>
      </c>
      <c r="L239">
        <v>537.87</v>
      </c>
    </row>
    <row r="240" spans="1:12" x14ac:dyDescent="0.25">
      <c r="A240" t="s">
        <v>283</v>
      </c>
      <c r="B240" s="1">
        <v>45377.838194444441</v>
      </c>
      <c r="C240" t="s">
        <v>24</v>
      </c>
      <c r="D240" t="s">
        <v>25</v>
      </c>
      <c r="E240" t="s">
        <v>39</v>
      </c>
      <c r="F240" t="s">
        <v>29</v>
      </c>
      <c r="G240">
        <v>3644.46</v>
      </c>
      <c r="H240" t="s">
        <v>34</v>
      </c>
      <c r="I240" t="s">
        <v>100</v>
      </c>
      <c r="J240">
        <v>3.2</v>
      </c>
      <c r="K240">
        <v>0</v>
      </c>
      <c r="L240">
        <v>0</v>
      </c>
    </row>
    <row r="241" spans="1:12" x14ac:dyDescent="0.25">
      <c r="A241" t="s">
        <v>284</v>
      </c>
      <c r="B241" s="1">
        <v>45377.86041666667</v>
      </c>
      <c r="C241" t="s">
        <v>60</v>
      </c>
      <c r="D241" t="s">
        <v>25</v>
      </c>
      <c r="E241" t="s">
        <v>33</v>
      </c>
      <c r="F241" t="s">
        <v>16</v>
      </c>
      <c r="G241">
        <v>4834.3900000000003</v>
      </c>
      <c r="H241" t="s">
        <v>22</v>
      </c>
      <c r="J241">
        <v>1.9</v>
      </c>
      <c r="K241">
        <v>91.85</v>
      </c>
      <c r="L241">
        <v>4742.54</v>
      </c>
    </row>
    <row r="242" spans="1:12" x14ac:dyDescent="0.25">
      <c r="A242" t="s">
        <v>285</v>
      </c>
      <c r="B242" s="1">
        <v>45377.988194444442</v>
      </c>
      <c r="C242" t="s">
        <v>37</v>
      </c>
      <c r="D242" t="s">
        <v>38</v>
      </c>
      <c r="E242" t="s">
        <v>15</v>
      </c>
      <c r="F242" t="s">
        <v>45</v>
      </c>
      <c r="G242">
        <v>2957.07</v>
      </c>
      <c r="H242" t="s">
        <v>22</v>
      </c>
      <c r="J242">
        <v>2.5</v>
      </c>
      <c r="K242">
        <v>73.930000000000007</v>
      </c>
      <c r="L242">
        <v>2883.14</v>
      </c>
    </row>
    <row r="243" spans="1:12" x14ac:dyDescent="0.25">
      <c r="A243" t="s">
        <v>286</v>
      </c>
      <c r="B243" s="1">
        <v>45378.099305555559</v>
      </c>
      <c r="C243" t="s">
        <v>24</v>
      </c>
      <c r="D243" t="s">
        <v>25</v>
      </c>
      <c r="E243" t="s">
        <v>39</v>
      </c>
      <c r="F243" t="s">
        <v>29</v>
      </c>
      <c r="G243">
        <v>2978.85</v>
      </c>
      <c r="H243" t="s">
        <v>34</v>
      </c>
      <c r="I243" t="s">
        <v>78</v>
      </c>
      <c r="J243">
        <v>3.2</v>
      </c>
      <c r="K243">
        <v>0</v>
      </c>
      <c r="L243">
        <v>0</v>
      </c>
    </row>
    <row r="244" spans="1:12" x14ac:dyDescent="0.25">
      <c r="A244" t="s">
        <v>287</v>
      </c>
      <c r="B244" s="1">
        <v>45378.105555555558</v>
      </c>
      <c r="C244" t="s">
        <v>31</v>
      </c>
      <c r="D244" t="s">
        <v>32</v>
      </c>
      <c r="E244" t="s">
        <v>33</v>
      </c>
      <c r="F244" t="s">
        <v>45</v>
      </c>
      <c r="G244">
        <v>977.58</v>
      </c>
      <c r="H244" t="s">
        <v>22</v>
      </c>
      <c r="J244">
        <v>1.9</v>
      </c>
      <c r="K244">
        <v>18.57</v>
      </c>
      <c r="L244">
        <v>959.01</v>
      </c>
    </row>
    <row r="245" spans="1:12" x14ac:dyDescent="0.25">
      <c r="A245" t="s">
        <v>288</v>
      </c>
      <c r="B245" s="1">
        <v>45378.178472222222</v>
      </c>
      <c r="C245" t="s">
        <v>47</v>
      </c>
      <c r="D245" t="s">
        <v>25</v>
      </c>
      <c r="E245" t="s">
        <v>39</v>
      </c>
      <c r="F245" t="s">
        <v>16</v>
      </c>
      <c r="G245">
        <v>738.21</v>
      </c>
      <c r="H245" t="s">
        <v>22</v>
      </c>
      <c r="J245">
        <v>3.2</v>
      </c>
      <c r="K245">
        <v>23.62</v>
      </c>
      <c r="L245">
        <v>714.59</v>
      </c>
    </row>
    <row r="246" spans="1:12" x14ac:dyDescent="0.25">
      <c r="A246" t="s">
        <v>289</v>
      </c>
      <c r="B246" s="1">
        <v>45378.783333333333</v>
      </c>
      <c r="C246" t="s">
        <v>27</v>
      </c>
      <c r="D246" t="s">
        <v>25</v>
      </c>
      <c r="E246" t="s">
        <v>15</v>
      </c>
      <c r="F246" t="s">
        <v>41</v>
      </c>
      <c r="G246">
        <v>655.74</v>
      </c>
      <c r="H246" t="s">
        <v>34</v>
      </c>
      <c r="I246" t="s">
        <v>55</v>
      </c>
      <c r="J246">
        <v>2.5</v>
      </c>
      <c r="K246">
        <v>0</v>
      </c>
      <c r="L246">
        <v>0</v>
      </c>
    </row>
    <row r="247" spans="1:12" x14ac:dyDescent="0.25">
      <c r="A247" t="s">
        <v>290</v>
      </c>
      <c r="B247" s="1">
        <v>45378.878472222219</v>
      </c>
      <c r="C247" t="s">
        <v>47</v>
      </c>
      <c r="D247" t="s">
        <v>25</v>
      </c>
      <c r="E247" t="s">
        <v>33</v>
      </c>
      <c r="F247" t="s">
        <v>45</v>
      </c>
      <c r="G247">
        <v>1682.59</v>
      </c>
      <c r="H247" t="s">
        <v>22</v>
      </c>
      <c r="J247">
        <v>1.9</v>
      </c>
      <c r="K247">
        <v>31.97</v>
      </c>
      <c r="L247">
        <v>1650.62</v>
      </c>
    </row>
    <row r="248" spans="1:12" x14ac:dyDescent="0.25">
      <c r="A248" t="s">
        <v>291</v>
      </c>
      <c r="B248" s="1">
        <v>45378.980555555558</v>
      </c>
      <c r="C248" t="s">
        <v>47</v>
      </c>
      <c r="D248" t="s">
        <v>25</v>
      </c>
      <c r="E248" t="s">
        <v>33</v>
      </c>
      <c r="F248" t="s">
        <v>45</v>
      </c>
      <c r="G248">
        <v>1069.8599999999999</v>
      </c>
      <c r="H248" t="s">
        <v>22</v>
      </c>
      <c r="J248">
        <v>1.9</v>
      </c>
      <c r="K248">
        <v>20.329999999999998</v>
      </c>
      <c r="L248">
        <v>1049.53</v>
      </c>
    </row>
    <row r="249" spans="1:12" x14ac:dyDescent="0.25">
      <c r="A249" t="s">
        <v>292</v>
      </c>
      <c r="B249" s="1">
        <v>45379.328472222223</v>
      </c>
      <c r="C249" t="s">
        <v>58</v>
      </c>
      <c r="D249" t="s">
        <v>25</v>
      </c>
      <c r="E249" t="s">
        <v>33</v>
      </c>
      <c r="F249" t="s">
        <v>29</v>
      </c>
      <c r="G249">
        <v>3975.13</v>
      </c>
      <c r="H249" t="s">
        <v>22</v>
      </c>
      <c r="J249">
        <v>1.9</v>
      </c>
      <c r="K249">
        <v>75.53</v>
      </c>
      <c r="L249">
        <v>3899.6</v>
      </c>
    </row>
    <row r="250" spans="1:12" x14ac:dyDescent="0.25">
      <c r="A250" t="s">
        <v>293</v>
      </c>
      <c r="B250" s="1">
        <v>45379.708333333336</v>
      </c>
      <c r="C250" t="s">
        <v>31</v>
      </c>
      <c r="D250" t="s">
        <v>32</v>
      </c>
      <c r="E250" t="s">
        <v>44</v>
      </c>
      <c r="F250" t="s">
        <v>45</v>
      </c>
      <c r="G250">
        <v>4257.97</v>
      </c>
      <c r="H250" t="s">
        <v>34</v>
      </c>
      <c r="I250" t="s">
        <v>62</v>
      </c>
      <c r="J250">
        <v>2.1</v>
      </c>
      <c r="K250">
        <v>0</v>
      </c>
      <c r="L250">
        <v>0</v>
      </c>
    </row>
    <row r="251" spans="1:12" x14ac:dyDescent="0.25">
      <c r="A251" t="s">
        <v>294</v>
      </c>
      <c r="B251" s="1">
        <v>45379.811805555553</v>
      </c>
      <c r="C251" t="s">
        <v>37</v>
      </c>
      <c r="D251" t="s">
        <v>38</v>
      </c>
      <c r="E251" t="s">
        <v>28</v>
      </c>
      <c r="F251" t="s">
        <v>16</v>
      </c>
      <c r="G251">
        <v>4223.9799999999996</v>
      </c>
      <c r="H251" t="s">
        <v>22</v>
      </c>
      <c r="J251">
        <v>2.9</v>
      </c>
      <c r="K251">
        <v>122.5</v>
      </c>
      <c r="L251">
        <v>4101.4799999999996</v>
      </c>
    </row>
    <row r="252" spans="1:12" x14ac:dyDescent="0.25">
      <c r="A252" t="s">
        <v>295</v>
      </c>
      <c r="B252" s="1">
        <v>45379.902083333334</v>
      </c>
      <c r="C252" t="s">
        <v>19</v>
      </c>
      <c r="D252" t="s">
        <v>20</v>
      </c>
      <c r="E252" t="s">
        <v>39</v>
      </c>
      <c r="F252" t="s">
        <v>45</v>
      </c>
      <c r="G252">
        <v>215.56</v>
      </c>
      <c r="H252" t="s">
        <v>22</v>
      </c>
      <c r="J252">
        <v>3.2</v>
      </c>
      <c r="K252">
        <v>6.9</v>
      </c>
      <c r="L252">
        <v>208.66</v>
      </c>
    </row>
    <row r="253" spans="1:12" x14ac:dyDescent="0.25">
      <c r="A253" t="s">
        <v>296</v>
      </c>
      <c r="B253" s="1">
        <v>45380.936111111114</v>
      </c>
      <c r="C253" t="s">
        <v>31</v>
      </c>
      <c r="D253" t="s">
        <v>32</v>
      </c>
      <c r="E253" t="s">
        <v>39</v>
      </c>
      <c r="F253" t="s">
        <v>21</v>
      </c>
      <c r="G253">
        <v>3550.61</v>
      </c>
      <c r="H253" t="s">
        <v>17</v>
      </c>
      <c r="J253">
        <v>3.2</v>
      </c>
      <c r="K253">
        <v>0</v>
      </c>
      <c r="L253">
        <v>0</v>
      </c>
    </row>
    <row r="254" spans="1:12" x14ac:dyDescent="0.25">
      <c r="A254" t="s">
        <v>297</v>
      </c>
      <c r="B254" s="1">
        <v>45381.26458333333</v>
      </c>
      <c r="C254" t="s">
        <v>37</v>
      </c>
      <c r="D254" t="s">
        <v>38</v>
      </c>
      <c r="E254" t="s">
        <v>15</v>
      </c>
      <c r="F254" t="s">
        <v>16</v>
      </c>
      <c r="G254">
        <v>3988.3</v>
      </c>
      <c r="H254" t="s">
        <v>22</v>
      </c>
      <c r="J254">
        <v>2.5</v>
      </c>
      <c r="K254">
        <v>99.71</v>
      </c>
      <c r="L254">
        <v>3888.59</v>
      </c>
    </row>
    <row r="255" spans="1:12" x14ac:dyDescent="0.25">
      <c r="A255" t="s">
        <v>298</v>
      </c>
      <c r="B255" s="1">
        <v>45381.854861111111</v>
      </c>
      <c r="C255" t="s">
        <v>43</v>
      </c>
      <c r="D255" t="s">
        <v>25</v>
      </c>
      <c r="E255" t="s">
        <v>28</v>
      </c>
      <c r="F255" t="s">
        <v>29</v>
      </c>
      <c r="G255">
        <v>4254.33</v>
      </c>
      <c r="H255" t="s">
        <v>17</v>
      </c>
      <c r="J255">
        <v>2.9</v>
      </c>
      <c r="K255">
        <v>0</v>
      </c>
      <c r="L255">
        <v>0</v>
      </c>
    </row>
    <row r="256" spans="1:12" x14ac:dyDescent="0.25">
      <c r="A256" t="s">
        <v>299</v>
      </c>
      <c r="B256" s="1">
        <v>45382.650694444441</v>
      </c>
      <c r="C256" t="s">
        <v>13</v>
      </c>
      <c r="D256" t="s">
        <v>14</v>
      </c>
      <c r="E256" t="s">
        <v>39</v>
      </c>
      <c r="F256" t="s">
        <v>21</v>
      </c>
      <c r="G256">
        <v>825.93</v>
      </c>
      <c r="H256" t="s">
        <v>22</v>
      </c>
      <c r="J256">
        <v>3.2</v>
      </c>
      <c r="K256">
        <v>26.43</v>
      </c>
      <c r="L256">
        <v>799.5</v>
      </c>
    </row>
    <row r="257" spans="1:12" x14ac:dyDescent="0.25">
      <c r="A257" t="s">
        <v>300</v>
      </c>
      <c r="B257" s="1">
        <v>45383.609027777777</v>
      </c>
      <c r="C257" t="s">
        <v>24</v>
      </c>
      <c r="D257" t="s">
        <v>25</v>
      </c>
      <c r="E257" t="s">
        <v>15</v>
      </c>
      <c r="F257" t="s">
        <v>41</v>
      </c>
      <c r="G257">
        <v>1257.9100000000001</v>
      </c>
      <c r="H257" t="s">
        <v>22</v>
      </c>
      <c r="J257">
        <v>2.5</v>
      </c>
      <c r="K257">
        <v>31.45</v>
      </c>
      <c r="L257">
        <v>1226.46</v>
      </c>
    </row>
    <row r="258" spans="1:12" x14ac:dyDescent="0.25">
      <c r="A258" t="s">
        <v>301</v>
      </c>
      <c r="B258" s="1">
        <v>45384.013888888891</v>
      </c>
      <c r="C258" t="s">
        <v>19</v>
      </c>
      <c r="D258" t="s">
        <v>20</v>
      </c>
      <c r="E258" t="s">
        <v>44</v>
      </c>
      <c r="F258" t="s">
        <v>41</v>
      </c>
      <c r="G258">
        <v>4479.87</v>
      </c>
      <c r="H258" t="s">
        <v>22</v>
      </c>
      <c r="J258">
        <v>2.1</v>
      </c>
      <c r="K258">
        <v>94.08</v>
      </c>
      <c r="L258">
        <v>4385.79</v>
      </c>
    </row>
    <row r="259" spans="1:12" x14ac:dyDescent="0.25">
      <c r="A259" t="s">
        <v>302</v>
      </c>
      <c r="B259" s="1">
        <v>45384.363888888889</v>
      </c>
      <c r="C259" t="s">
        <v>47</v>
      </c>
      <c r="D259" t="s">
        <v>25</v>
      </c>
      <c r="E259" t="s">
        <v>39</v>
      </c>
      <c r="F259" t="s">
        <v>21</v>
      </c>
      <c r="G259">
        <v>40.47</v>
      </c>
      <c r="H259" t="s">
        <v>22</v>
      </c>
      <c r="J259">
        <v>3.2</v>
      </c>
      <c r="K259">
        <v>1.3</v>
      </c>
      <c r="L259">
        <v>39.17</v>
      </c>
    </row>
    <row r="260" spans="1:12" x14ac:dyDescent="0.25">
      <c r="A260" t="s">
        <v>303</v>
      </c>
      <c r="B260" s="1">
        <v>45384.704861111109</v>
      </c>
      <c r="C260" t="s">
        <v>60</v>
      </c>
      <c r="D260" t="s">
        <v>25</v>
      </c>
      <c r="E260" t="s">
        <v>39</v>
      </c>
      <c r="F260" t="s">
        <v>41</v>
      </c>
      <c r="G260">
        <v>4837.05</v>
      </c>
      <c r="H260" t="s">
        <v>17</v>
      </c>
      <c r="J260">
        <v>3.2</v>
      </c>
      <c r="K260">
        <v>0</v>
      </c>
      <c r="L260">
        <v>0</v>
      </c>
    </row>
    <row r="261" spans="1:12" x14ac:dyDescent="0.25">
      <c r="A261" t="s">
        <v>304</v>
      </c>
      <c r="B261" s="1">
        <v>45384.789583333331</v>
      </c>
      <c r="C261" t="s">
        <v>13</v>
      </c>
      <c r="D261" t="s">
        <v>14</v>
      </c>
      <c r="E261" t="s">
        <v>44</v>
      </c>
      <c r="F261" t="s">
        <v>16</v>
      </c>
      <c r="G261">
        <v>2073.66</v>
      </c>
      <c r="H261" t="s">
        <v>34</v>
      </c>
      <c r="I261" t="s">
        <v>78</v>
      </c>
      <c r="J261">
        <v>2.1</v>
      </c>
      <c r="K261">
        <v>0</v>
      </c>
      <c r="L261">
        <v>0</v>
      </c>
    </row>
    <row r="262" spans="1:12" x14ac:dyDescent="0.25">
      <c r="A262" t="s">
        <v>305</v>
      </c>
      <c r="B262" s="1">
        <v>45385.501388888886</v>
      </c>
      <c r="C262" t="s">
        <v>31</v>
      </c>
      <c r="D262" t="s">
        <v>32</v>
      </c>
      <c r="E262" t="s">
        <v>15</v>
      </c>
      <c r="F262" t="s">
        <v>21</v>
      </c>
      <c r="G262">
        <v>1576.59</v>
      </c>
      <c r="H262" t="s">
        <v>34</v>
      </c>
      <c r="I262" t="s">
        <v>55</v>
      </c>
      <c r="J262">
        <v>2.5</v>
      </c>
      <c r="K262">
        <v>0</v>
      </c>
      <c r="L262">
        <v>0</v>
      </c>
    </row>
    <row r="263" spans="1:12" x14ac:dyDescent="0.25">
      <c r="A263" t="s">
        <v>306</v>
      </c>
      <c r="B263" s="1">
        <v>45386.027083333334</v>
      </c>
      <c r="C263" t="s">
        <v>37</v>
      </c>
      <c r="D263" t="s">
        <v>38</v>
      </c>
      <c r="E263" t="s">
        <v>33</v>
      </c>
      <c r="F263" t="s">
        <v>29</v>
      </c>
      <c r="G263">
        <v>1610.26</v>
      </c>
      <c r="H263" t="s">
        <v>22</v>
      </c>
      <c r="J263">
        <v>1.9</v>
      </c>
      <c r="K263">
        <v>30.59</v>
      </c>
      <c r="L263">
        <v>1579.67</v>
      </c>
    </row>
    <row r="264" spans="1:12" x14ac:dyDescent="0.25">
      <c r="A264" t="s">
        <v>307</v>
      </c>
      <c r="B264" s="1">
        <v>45387.109722222223</v>
      </c>
      <c r="C264" t="s">
        <v>31</v>
      </c>
      <c r="D264" t="s">
        <v>32</v>
      </c>
      <c r="E264" t="s">
        <v>44</v>
      </c>
      <c r="F264" t="s">
        <v>16</v>
      </c>
      <c r="G264">
        <v>608.23</v>
      </c>
      <c r="H264" t="s">
        <v>17</v>
      </c>
      <c r="J264">
        <v>2.1</v>
      </c>
      <c r="K264">
        <v>0</v>
      </c>
      <c r="L264">
        <v>0</v>
      </c>
    </row>
    <row r="265" spans="1:12" x14ac:dyDescent="0.25">
      <c r="A265" t="s">
        <v>308</v>
      </c>
      <c r="B265" s="1">
        <v>45387.272222222222</v>
      </c>
      <c r="C265" t="s">
        <v>43</v>
      </c>
      <c r="D265" t="s">
        <v>25</v>
      </c>
      <c r="E265" t="s">
        <v>33</v>
      </c>
      <c r="F265" t="s">
        <v>41</v>
      </c>
      <c r="G265">
        <v>208.36</v>
      </c>
      <c r="H265" t="s">
        <v>17</v>
      </c>
      <c r="J265">
        <v>1.9</v>
      </c>
      <c r="K265">
        <v>0</v>
      </c>
      <c r="L265">
        <v>0</v>
      </c>
    </row>
    <row r="266" spans="1:12" x14ac:dyDescent="0.25">
      <c r="A266" t="s">
        <v>309</v>
      </c>
      <c r="B266" s="1">
        <v>45387.584722222222</v>
      </c>
      <c r="C266" t="s">
        <v>47</v>
      </c>
      <c r="D266" t="s">
        <v>25</v>
      </c>
      <c r="E266" t="s">
        <v>15</v>
      </c>
      <c r="F266" t="s">
        <v>16</v>
      </c>
      <c r="G266">
        <v>1324.37</v>
      </c>
      <c r="H266" t="s">
        <v>22</v>
      </c>
      <c r="J266">
        <v>2.5</v>
      </c>
      <c r="K266">
        <v>33.11</v>
      </c>
      <c r="L266">
        <v>1291.26</v>
      </c>
    </row>
    <row r="267" spans="1:12" x14ac:dyDescent="0.25">
      <c r="A267" t="s">
        <v>310</v>
      </c>
      <c r="B267" s="1">
        <v>45387.655555555553</v>
      </c>
      <c r="C267" t="s">
        <v>43</v>
      </c>
      <c r="D267" t="s">
        <v>25</v>
      </c>
      <c r="E267" t="s">
        <v>39</v>
      </c>
      <c r="F267" t="s">
        <v>45</v>
      </c>
      <c r="G267">
        <v>1340.94</v>
      </c>
      <c r="H267" t="s">
        <v>22</v>
      </c>
      <c r="J267">
        <v>3.2</v>
      </c>
      <c r="K267">
        <v>42.91</v>
      </c>
      <c r="L267">
        <v>1298.03</v>
      </c>
    </row>
    <row r="268" spans="1:12" x14ac:dyDescent="0.25">
      <c r="A268" t="s">
        <v>311</v>
      </c>
      <c r="B268" s="1">
        <v>45388.417361111111</v>
      </c>
      <c r="C268" t="s">
        <v>27</v>
      </c>
      <c r="D268" t="s">
        <v>25</v>
      </c>
      <c r="E268" t="s">
        <v>28</v>
      </c>
      <c r="F268" t="s">
        <v>45</v>
      </c>
      <c r="G268">
        <v>120.43</v>
      </c>
      <c r="H268" t="s">
        <v>22</v>
      </c>
      <c r="J268">
        <v>2.9</v>
      </c>
      <c r="K268">
        <v>3.49</v>
      </c>
      <c r="L268">
        <v>116.94</v>
      </c>
    </row>
    <row r="269" spans="1:12" x14ac:dyDescent="0.25">
      <c r="A269" t="s">
        <v>312</v>
      </c>
      <c r="B269" s="1">
        <v>45388.580555555556</v>
      </c>
      <c r="C269" t="s">
        <v>13</v>
      </c>
      <c r="D269" t="s">
        <v>14</v>
      </c>
      <c r="E269" t="s">
        <v>15</v>
      </c>
      <c r="F269" t="s">
        <v>16</v>
      </c>
      <c r="G269">
        <v>1256.98</v>
      </c>
      <c r="H269" t="s">
        <v>34</v>
      </c>
      <c r="I269" t="s">
        <v>55</v>
      </c>
      <c r="J269">
        <v>2.5</v>
      </c>
      <c r="K269">
        <v>0</v>
      </c>
      <c r="L269">
        <v>0</v>
      </c>
    </row>
    <row r="270" spans="1:12" x14ac:dyDescent="0.25">
      <c r="A270" t="s">
        <v>313</v>
      </c>
      <c r="B270" s="1">
        <v>45389.272916666669</v>
      </c>
      <c r="C270" t="s">
        <v>24</v>
      </c>
      <c r="D270" t="s">
        <v>25</v>
      </c>
      <c r="E270" t="s">
        <v>33</v>
      </c>
      <c r="F270" t="s">
        <v>29</v>
      </c>
      <c r="G270">
        <v>2796.53</v>
      </c>
      <c r="H270" t="s">
        <v>17</v>
      </c>
      <c r="J270">
        <v>1.9</v>
      </c>
      <c r="K270">
        <v>0</v>
      </c>
      <c r="L270">
        <v>0</v>
      </c>
    </row>
    <row r="271" spans="1:12" x14ac:dyDescent="0.25">
      <c r="A271" t="s">
        <v>314</v>
      </c>
      <c r="B271" s="1">
        <v>45389.572222222225</v>
      </c>
      <c r="C271" t="s">
        <v>13</v>
      </c>
      <c r="D271" t="s">
        <v>14</v>
      </c>
      <c r="E271" t="s">
        <v>33</v>
      </c>
      <c r="F271" t="s">
        <v>21</v>
      </c>
      <c r="G271">
        <v>3306.38</v>
      </c>
      <c r="H271" t="s">
        <v>22</v>
      </c>
      <c r="J271">
        <v>1.9</v>
      </c>
      <c r="K271">
        <v>62.82</v>
      </c>
      <c r="L271">
        <v>3243.56</v>
      </c>
    </row>
    <row r="272" spans="1:12" x14ac:dyDescent="0.25">
      <c r="A272" t="s">
        <v>315</v>
      </c>
      <c r="B272" s="1">
        <v>45389.696527777778</v>
      </c>
      <c r="C272" t="s">
        <v>43</v>
      </c>
      <c r="D272" t="s">
        <v>25</v>
      </c>
      <c r="E272" t="s">
        <v>33</v>
      </c>
      <c r="F272" t="s">
        <v>29</v>
      </c>
      <c r="G272">
        <v>3069.07</v>
      </c>
      <c r="H272" t="s">
        <v>22</v>
      </c>
      <c r="J272">
        <v>1.9</v>
      </c>
      <c r="K272">
        <v>58.31</v>
      </c>
      <c r="L272">
        <v>3010.76</v>
      </c>
    </row>
    <row r="273" spans="1:12" x14ac:dyDescent="0.25">
      <c r="A273" t="s">
        <v>316</v>
      </c>
      <c r="B273" s="1">
        <v>45390.042361111111</v>
      </c>
      <c r="C273" t="s">
        <v>19</v>
      </c>
      <c r="D273" t="s">
        <v>20</v>
      </c>
      <c r="E273" t="s">
        <v>28</v>
      </c>
      <c r="F273" t="s">
        <v>41</v>
      </c>
      <c r="G273">
        <v>4693.1400000000003</v>
      </c>
      <c r="H273" t="s">
        <v>22</v>
      </c>
      <c r="J273">
        <v>2.9</v>
      </c>
      <c r="K273">
        <v>136.1</v>
      </c>
      <c r="L273">
        <v>4557.04</v>
      </c>
    </row>
    <row r="274" spans="1:12" x14ac:dyDescent="0.25">
      <c r="A274" t="s">
        <v>317</v>
      </c>
      <c r="B274" s="1">
        <v>45390.293055555558</v>
      </c>
      <c r="C274" t="s">
        <v>58</v>
      </c>
      <c r="D274" t="s">
        <v>25</v>
      </c>
      <c r="E274" t="s">
        <v>28</v>
      </c>
      <c r="F274" t="s">
        <v>21</v>
      </c>
      <c r="G274">
        <v>4751.49</v>
      </c>
      <c r="H274" t="s">
        <v>22</v>
      </c>
      <c r="J274">
        <v>2.9</v>
      </c>
      <c r="K274">
        <v>137.79</v>
      </c>
      <c r="L274">
        <v>4613.7</v>
      </c>
    </row>
    <row r="275" spans="1:12" x14ac:dyDescent="0.25">
      <c r="A275" t="s">
        <v>318</v>
      </c>
      <c r="B275" s="1">
        <v>45390.303472222222</v>
      </c>
      <c r="C275" t="s">
        <v>13</v>
      </c>
      <c r="D275" t="s">
        <v>14</v>
      </c>
      <c r="E275" t="s">
        <v>39</v>
      </c>
      <c r="F275" t="s">
        <v>29</v>
      </c>
      <c r="G275">
        <v>4708.01</v>
      </c>
      <c r="H275" t="s">
        <v>22</v>
      </c>
      <c r="J275">
        <v>3.2</v>
      </c>
      <c r="K275">
        <v>150.66</v>
      </c>
      <c r="L275">
        <v>4557.3500000000004</v>
      </c>
    </row>
    <row r="276" spans="1:12" x14ac:dyDescent="0.25">
      <c r="A276" t="s">
        <v>319</v>
      </c>
      <c r="B276" s="1">
        <v>45391.076388888891</v>
      </c>
      <c r="C276" t="s">
        <v>19</v>
      </c>
      <c r="D276" t="s">
        <v>20</v>
      </c>
      <c r="E276" t="s">
        <v>33</v>
      </c>
      <c r="F276" t="s">
        <v>45</v>
      </c>
      <c r="G276">
        <v>3495.26</v>
      </c>
      <c r="H276" t="s">
        <v>17</v>
      </c>
      <c r="J276">
        <v>1.9</v>
      </c>
      <c r="K276">
        <v>0</v>
      </c>
      <c r="L276">
        <v>0</v>
      </c>
    </row>
    <row r="277" spans="1:12" x14ac:dyDescent="0.25">
      <c r="A277" t="s">
        <v>320</v>
      </c>
      <c r="B277" s="1">
        <v>45391.394444444442</v>
      </c>
      <c r="C277" t="s">
        <v>27</v>
      </c>
      <c r="D277" t="s">
        <v>25</v>
      </c>
      <c r="E277" t="s">
        <v>28</v>
      </c>
      <c r="F277" t="s">
        <v>29</v>
      </c>
      <c r="G277">
        <v>4812.75</v>
      </c>
      <c r="H277" t="s">
        <v>17</v>
      </c>
      <c r="J277">
        <v>2.9</v>
      </c>
      <c r="K277">
        <v>0</v>
      </c>
      <c r="L277">
        <v>0</v>
      </c>
    </row>
    <row r="278" spans="1:12" x14ac:dyDescent="0.25">
      <c r="A278" t="s">
        <v>321</v>
      </c>
      <c r="B278" s="1">
        <v>45392.003472222219</v>
      </c>
      <c r="C278" t="s">
        <v>13</v>
      </c>
      <c r="D278" t="s">
        <v>14</v>
      </c>
      <c r="E278" t="s">
        <v>15</v>
      </c>
      <c r="F278" t="s">
        <v>41</v>
      </c>
      <c r="G278">
        <v>4879.4399999999996</v>
      </c>
      <c r="H278" t="s">
        <v>34</v>
      </c>
      <c r="I278" t="s">
        <v>35</v>
      </c>
      <c r="J278">
        <v>2.5</v>
      </c>
      <c r="K278">
        <v>0</v>
      </c>
      <c r="L278">
        <v>0</v>
      </c>
    </row>
    <row r="279" spans="1:12" x14ac:dyDescent="0.25">
      <c r="A279" t="s">
        <v>322</v>
      </c>
      <c r="B279" s="1">
        <v>45392.279861111114</v>
      </c>
      <c r="C279" t="s">
        <v>37</v>
      </c>
      <c r="D279" t="s">
        <v>38</v>
      </c>
      <c r="E279" t="s">
        <v>39</v>
      </c>
      <c r="F279" t="s">
        <v>45</v>
      </c>
      <c r="G279">
        <v>3973.79</v>
      </c>
      <c r="H279" t="s">
        <v>22</v>
      </c>
      <c r="J279">
        <v>3.2</v>
      </c>
      <c r="K279">
        <v>127.16</v>
      </c>
      <c r="L279">
        <v>3846.63</v>
      </c>
    </row>
    <row r="280" spans="1:12" x14ac:dyDescent="0.25">
      <c r="A280" t="s">
        <v>323</v>
      </c>
      <c r="B280" s="1">
        <v>45393.101388888892</v>
      </c>
      <c r="C280" t="s">
        <v>37</v>
      </c>
      <c r="D280" t="s">
        <v>38</v>
      </c>
      <c r="E280" t="s">
        <v>44</v>
      </c>
      <c r="F280" t="s">
        <v>16</v>
      </c>
      <c r="G280">
        <v>4383.1899999999996</v>
      </c>
      <c r="H280" t="s">
        <v>17</v>
      </c>
      <c r="J280">
        <v>2.1</v>
      </c>
      <c r="K280">
        <v>0</v>
      </c>
      <c r="L280">
        <v>0</v>
      </c>
    </row>
    <row r="281" spans="1:12" x14ac:dyDescent="0.25">
      <c r="A281" t="s">
        <v>324</v>
      </c>
      <c r="B281" s="1">
        <v>45393.49722222222</v>
      </c>
      <c r="C281" t="s">
        <v>60</v>
      </c>
      <c r="D281" t="s">
        <v>25</v>
      </c>
      <c r="E281" t="s">
        <v>44</v>
      </c>
      <c r="F281" t="s">
        <v>41</v>
      </c>
      <c r="G281">
        <v>1187.47</v>
      </c>
      <c r="H281" t="s">
        <v>34</v>
      </c>
      <c r="I281" t="s">
        <v>62</v>
      </c>
      <c r="J281">
        <v>2.1</v>
      </c>
      <c r="K281">
        <v>0</v>
      </c>
      <c r="L281">
        <v>0</v>
      </c>
    </row>
    <row r="282" spans="1:12" x14ac:dyDescent="0.25">
      <c r="A282" t="s">
        <v>325</v>
      </c>
      <c r="B282" s="1">
        <v>45393.515972222223</v>
      </c>
      <c r="C282" t="s">
        <v>31</v>
      </c>
      <c r="D282" t="s">
        <v>32</v>
      </c>
      <c r="E282" t="s">
        <v>33</v>
      </c>
      <c r="F282" t="s">
        <v>45</v>
      </c>
      <c r="G282">
        <v>1301.52</v>
      </c>
      <c r="H282" t="s">
        <v>22</v>
      </c>
      <c r="J282">
        <v>1.9</v>
      </c>
      <c r="K282">
        <v>24.73</v>
      </c>
      <c r="L282">
        <v>1276.79</v>
      </c>
    </row>
    <row r="283" spans="1:12" x14ac:dyDescent="0.25">
      <c r="A283" t="s">
        <v>326</v>
      </c>
      <c r="B283" s="1">
        <v>45393.642361111109</v>
      </c>
      <c r="C283" t="s">
        <v>19</v>
      </c>
      <c r="D283" t="s">
        <v>20</v>
      </c>
      <c r="E283" t="s">
        <v>44</v>
      </c>
      <c r="F283" t="s">
        <v>45</v>
      </c>
      <c r="G283">
        <v>3083.82</v>
      </c>
      <c r="H283" t="s">
        <v>17</v>
      </c>
      <c r="J283">
        <v>2.1</v>
      </c>
      <c r="K283">
        <v>0</v>
      </c>
      <c r="L283">
        <v>0</v>
      </c>
    </row>
    <row r="284" spans="1:12" x14ac:dyDescent="0.25">
      <c r="A284" t="s">
        <v>327</v>
      </c>
      <c r="B284" s="1">
        <v>45393.984027777777</v>
      </c>
      <c r="C284" t="s">
        <v>43</v>
      </c>
      <c r="D284" t="s">
        <v>25</v>
      </c>
      <c r="E284" t="s">
        <v>39</v>
      </c>
      <c r="F284" t="s">
        <v>21</v>
      </c>
      <c r="G284">
        <v>649.79</v>
      </c>
      <c r="H284" t="s">
        <v>22</v>
      </c>
      <c r="J284">
        <v>3.2</v>
      </c>
      <c r="K284">
        <v>20.79</v>
      </c>
      <c r="L284">
        <v>629</v>
      </c>
    </row>
    <row r="285" spans="1:12" x14ac:dyDescent="0.25">
      <c r="A285" t="s">
        <v>328</v>
      </c>
      <c r="B285" s="1">
        <v>45394.245138888888</v>
      </c>
      <c r="C285" t="s">
        <v>58</v>
      </c>
      <c r="D285" t="s">
        <v>25</v>
      </c>
      <c r="E285" t="s">
        <v>39</v>
      </c>
      <c r="F285" t="s">
        <v>45</v>
      </c>
      <c r="G285">
        <v>2458.02</v>
      </c>
      <c r="H285" t="s">
        <v>22</v>
      </c>
      <c r="J285">
        <v>3.2</v>
      </c>
      <c r="K285">
        <v>78.66</v>
      </c>
      <c r="L285">
        <v>2379.36</v>
      </c>
    </row>
    <row r="286" spans="1:12" x14ac:dyDescent="0.25">
      <c r="A286" t="s">
        <v>329</v>
      </c>
      <c r="B286" s="1">
        <v>45394.559027777781</v>
      </c>
      <c r="C286" t="s">
        <v>47</v>
      </c>
      <c r="D286" t="s">
        <v>25</v>
      </c>
      <c r="E286" t="s">
        <v>33</v>
      </c>
      <c r="F286" t="s">
        <v>45</v>
      </c>
      <c r="G286">
        <v>2271.61</v>
      </c>
      <c r="H286" t="s">
        <v>17</v>
      </c>
      <c r="J286">
        <v>1.9</v>
      </c>
      <c r="K286">
        <v>0</v>
      </c>
      <c r="L286">
        <v>0</v>
      </c>
    </row>
    <row r="287" spans="1:12" x14ac:dyDescent="0.25">
      <c r="A287" t="s">
        <v>330</v>
      </c>
      <c r="B287" s="1">
        <v>45394.809027777781</v>
      </c>
      <c r="C287" t="s">
        <v>27</v>
      </c>
      <c r="D287" t="s">
        <v>25</v>
      </c>
      <c r="E287" t="s">
        <v>15</v>
      </c>
      <c r="F287" t="s">
        <v>41</v>
      </c>
      <c r="G287">
        <v>727.92</v>
      </c>
      <c r="H287" t="s">
        <v>34</v>
      </c>
      <c r="I287" t="s">
        <v>35</v>
      </c>
      <c r="J287">
        <v>2.5</v>
      </c>
      <c r="K287">
        <v>0</v>
      </c>
      <c r="L287">
        <v>0</v>
      </c>
    </row>
    <row r="288" spans="1:12" x14ac:dyDescent="0.25">
      <c r="A288" t="s">
        <v>331</v>
      </c>
      <c r="B288" s="1">
        <v>45395.328472222223</v>
      </c>
      <c r="C288" t="s">
        <v>19</v>
      </c>
      <c r="D288" t="s">
        <v>20</v>
      </c>
      <c r="E288" t="s">
        <v>39</v>
      </c>
      <c r="F288" t="s">
        <v>29</v>
      </c>
      <c r="G288">
        <v>3896.9</v>
      </c>
      <c r="H288" t="s">
        <v>22</v>
      </c>
      <c r="J288">
        <v>3.2</v>
      </c>
      <c r="K288">
        <v>124.7</v>
      </c>
      <c r="L288">
        <v>3772.2</v>
      </c>
    </row>
    <row r="289" spans="1:12" x14ac:dyDescent="0.25">
      <c r="A289" t="s">
        <v>332</v>
      </c>
      <c r="B289" s="1">
        <v>45395.601388888892</v>
      </c>
      <c r="C289" t="s">
        <v>60</v>
      </c>
      <c r="D289" t="s">
        <v>25</v>
      </c>
      <c r="E289" t="s">
        <v>44</v>
      </c>
      <c r="F289" t="s">
        <v>16</v>
      </c>
      <c r="G289">
        <v>1713.19</v>
      </c>
      <c r="H289" t="s">
        <v>17</v>
      </c>
      <c r="J289">
        <v>2.1</v>
      </c>
      <c r="K289">
        <v>0</v>
      </c>
      <c r="L289">
        <v>0</v>
      </c>
    </row>
    <row r="290" spans="1:12" x14ac:dyDescent="0.25">
      <c r="A290" t="s">
        <v>333</v>
      </c>
      <c r="B290" s="1">
        <v>45395.720138888886</v>
      </c>
      <c r="C290" t="s">
        <v>13</v>
      </c>
      <c r="D290" t="s">
        <v>14</v>
      </c>
      <c r="E290" t="s">
        <v>39</v>
      </c>
      <c r="F290" t="s">
        <v>29</v>
      </c>
      <c r="G290">
        <v>555.04</v>
      </c>
      <c r="H290" t="s">
        <v>17</v>
      </c>
      <c r="J290">
        <v>3.2</v>
      </c>
      <c r="K290">
        <v>0</v>
      </c>
      <c r="L290">
        <v>0</v>
      </c>
    </row>
    <row r="291" spans="1:12" x14ac:dyDescent="0.25">
      <c r="A291" t="s">
        <v>334</v>
      </c>
      <c r="B291" s="1">
        <v>45396.09097222222</v>
      </c>
      <c r="C291" t="s">
        <v>43</v>
      </c>
      <c r="D291" t="s">
        <v>25</v>
      </c>
      <c r="E291" t="s">
        <v>33</v>
      </c>
      <c r="F291" t="s">
        <v>16</v>
      </c>
      <c r="G291">
        <v>3442.43</v>
      </c>
      <c r="H291" t="s">
        <v>34</v>
      </c>
      <c r="I291" t="s">
        <v>35</v>
      </c>
      <c r="J291">
        <v>1.9</v>
      </c>
      <c r="K291">
        <v>0</v>
      </c>
      <c r="L291">
        <v>0</v>
      </c>
    </row>
    <row r="292" spans="1:12" x14ac:dyDescent="0.25">
      <c r="A292" t="s">
        <v>335</v>
      </c>
      <c r="B292" s="1">
        <v>45396.472222222219</v>
      </c>
      <c r="C292" t="s">
        <v>58</v>
      </c>
      <c r="D292" t="s">
        <v>25</v>
      </c>
      <c r="E292" t="s">
        <v>28</v>
      </c>
      <c r="F292" t="s">
        <v>45</v>
      </c>
      <c r="G292">
        <v>4321.78</v>
      </c>
      <c r="H292" t="s">
        <v>22</v>
      </c>
      <c r="J292">
        <v>2.9</v>
      </c>
      <c r="K292">
        <v>125.33</v>
      </c>
      <c r="L292">
        <v>4196.45</v>
      </c>
    </row>
    <row r="293" spans="1:12" x14ac:dyDescent="0.25">
      <c r="A293" t="s">
        <v>336</v>
      </c>
      <c r="B293" s="1">
        <v>45397.066666666666</v>
      </c>
      <c r="C293" t="s">
        <v>37</v>
      </c>
      <c r="D293" t="s">
        <v>38</v>
      </c>
      <c r="E293" t="s">
        <v>33</v>
      </c>
      <c r="F293" t="s">
        <v>21</v>
      </c>
      <c r="G293">
        <v>2988.32</v>
      </c>
      <c r="H293" t="s">
        <v>22</v>
      </c>
      <c r="J293">
        <v>1.9</v>
      </c>
      <c r="K293">
        <v>56.78</v>
      </c>
      <c r="L293">
        <v>2931.54</v>
      </c>
    </row>
    <row r="294" spans="1:12" x14ac:dyDescent="0.25">
      <c r="A294" t="s">
        <v>337</v>
      </c>
      <c r="B294" s="1">
        <v>45397.194444444445</v>
      </c>
      <c r="C294" t="s">
        <v>47</v>
      </c>
      <c r="D294" t="s">
        <v>25</v>
      </c>
      <c r="E294" t="s">
        <v>33</v>
      </c>
      <c r="F294" t="s">
        <v>16</v>
      </c>
      <c r="G294">
        <v>2066.04</v>
      </c>
      <c r="H294" t="s">
        <v>22</v>
      </c>
      <c r="J294">
        <v>1.9</v>
      </c>
      <c r="K294">
        <v>39.25</v>
      </c>
      <c r="L294">
        <v>2026.79</v>
      </c>
    </row>
    <row r="295" spans="1:12" x14ac:dyDescent="0.25">
      <c r="A295" t="s">
        <v>338</v>
      </c>
      <c r="B295" s="1">
        <v>45397.6875</v>
      </c>
      <c r="C295" t="s">
        <v>37</v>
      </c>
      <c r="D295" t="s">
        <v>38</v>
      </c>
      <c r="E295" t="s">
        <v>15</v>
      </c>
      <c r="F295" t="s">
        <v>41</v>
      </c>
      <c r="G295">
        <v>2196.4499999999998</v>
      </c>
      <c r="H295" t="s">
        <v>34</v>
      </c>
      <c r="I295" t="s">
        <v>62</v>
      </c>
      <c r="J295">
        <v>2.5</v>
      </c>
      <c r="K295">
        <v>0</v>
      </c>
      <c r="L295">
        <v>0</v>
      </c>
    </row>
    <row r="296" spans="1:12" x14ac:dyDescent="0.25">
      <c r="A296" t="s">
        <v>339</v>
      </c>
      <c r="B296" s="1">
        <v>45397.959722222222</v>
      </c>
      <c r="C296" t="s">
        <v>43</v>
      </c>
      <c r="D296" t="s">
        <v>25</v>
      </c>
      <c r="E296" t="s">
        <v>15</v>
      </c>
      <c r="F296" t="s">
        <v>45</v>
      </c>
      <c r="G296">
        <v>588.02</v>
      </c>
      <c r="H296" t="s">
        <v>22</v>
      </c>
      <c r="J296">
        <v>2.5</v>
      </c>
      <c r="K296">
        <v>14.7</v>
      </c>
      <c r="L296">
        <v>573.32000000000005</v>
      </c>
    </row>
    <row r="297" spans="1:12" x14ac:dyDescent="0.25">
      <c r="A297" t="s">
        <v>340</v>
      </c>
      <c r="B297" s="1">
        <v>45398.59652777778</v>
      </c>
      <c r="C297" t="s">
        <v>43</v>
      </c>
      <c r="D297" t="s">
        <v>25</v>
      </c>
      <c r="E297" t="s">
        <v>39</v>
      </c>
      <c r="F297" t="s">
        <v>41</v>
      </c>
      <c r="G297">
        <v>461.2</v>
      </c>
      <c r="H297" t="s">
        <v>22</v>
      </c>
      <c r="J297">
        <v>3.2</v>
      </c>
      <c r="K297">
        <v>14.76</v>
      </c>
      <c r="L297">
        <v>446.44</v>
      </c>
    </row>
    <row r="298" spans="1:12" x14ac:dyDescent="0.25">
      <c r="A298" t="s">
        <v>341</v>
      </c>
      <c r="B298" s="1">
        <v>45398.842361111114</v>
      </c>
      <c r="C298" t="s">
        <v>47</v>
      </c>
      <c r="D298" t="s">
        <v>25</v>
      </c>
      <c r="E298" t="s">
        <v>28</v>
      </c>
      <c r="F298" t="s">
        <v>29</v>
      </c>
      <c r="G298">
        <v>1206.93</v>
      </c>
      <c r="H298" t="s">
        <v>17</v>
      </c>
      <c r="J298">
        <v>2.9</v>
      </c>
      <c r="K298">
        <v>0</v>
      </c>
      <c r="L298">
        <v>0</v>
      </c>
    </row>
    <row r="299" spans="1:12" x14ac:dyDescent="0.25">
      <c r="A299" t="s">
        <v>342</v>
      </c>
      <c r="B299" s="1">
        <v>45399.552777777775</v>
      </c>
      <c r="C299" t="s">
        <v>37</v>
      </c>
      <c r="D299" t="s">
        <v>38</v>
      </c>
      <c r="E299" t="s">
        <v>33</v>
      </c>
      <c r="F299" t="s">
        <v>16</v>
      </c>
      <c r="G299">
        <v>226.15</v>
      </c>
      <c r="H299" t="s">
        <v>22</v>
      </c>
      <c r="J299">
        <v>1.9</v>
      </c>
      <c r="K299">
        <v>4.3</v>
      </c>
      <c r="L299">
        <v>221.85</v>
      </c>
    </row>
    <row r="300" spans="1:12" x14ac:dyDescent="0.25">
      <c r="A300" t="s">
        <v>343</v>
      </c>
      <c r="B300" s="1">
        <v>45399.984027777777</v>
      </c>
      <c r="C300" t="s">
        <v>37</v>
      </c>
      <c r="D300" t="s">
        <v>38</v>
      </c>
      <c r="E300" t="s">
        <v>33</v>
      </c>
      <c r="F300" t="s">
        <v>16</v>
      </c>
      <c r="G300">
        <v>838.25</v>
      </c>
      <c r="H300" t="s">
        <v>22</v>
      </c>
      <c r="J300">
        <v>1.9</v>
      </c>
      <c r="K300">
        <v>15.93</v>
      </c>
      <c r="L300">
        <v>822.32</v>
      </c>
    </row>
    <row r="301" spans="1:12" x14ac:dyDescent="0.25">
      <c r="A301" t="s">
        <v>344</v>
      </c>
      <c r="B301" s="1">
        <v>45399.990972222222</v>
      </c>
      <c r="C301" t="s">
        <v>37</v>
      </c>
      <c r="D301" t="s">
        <v>38</v>
      </c>
      <c r="E301" t="s">
        <v>44</v>
      </c>
      <c r="F301" t="s">
        <v>16</v>
      </c>
      <c r="G301">
        <v>4529.08</v>
      </c>
      <c r="H301" t="s">
        <v>17</v>
      </c>
      <c r="J301">
        <v>2.1</v>
      </c>
      <c r="K301">
        <v>0</v>
      </c>
      <c r="L301">
        <v>0</v>
      </c>
    </row>
    <row r="302" spans="1:12" x14ac:dyDescent="0.25">
      <c r="A302" t="s">
        <v>345</v>
      </c>
      <c r="B302" s="1">
        <v>45400.493750000001</v>
      </c>
      <c r="C302" t="s">
        <v>47</v>
      </c>
      <c r="D302" t="s">
        <v>25</v>
      </c>
      <c r="E302" t="s">
        <v>39</v>
      </c>
      <c r="F302" t="s">
        <v>21</v>
      </c>
      <c r="G302">
        <v>4402.8</v>
      </c>
      <c r="H302" t="s">
        <v>22</v>
      </c>
      <c r="J302">
        <v>3.2</v>
      </c>
      <c r="K302">
        <v>140.88999999999999</v>
      </c>
      <c r="L302">
        <v>4261.91</v>
      </c>
    </row>
    <row r="303" spans="1:12" x14ac:dyDescent="0.25">
      <c r="A303" t="s">
        <v>346</v>
      </c>
      <c r="B303" s="1">
        <v>45400.741666666669</v>
      </c>
      <c r="C303" t="s">
        <v>24</v>
      </c>
      <c r="D303" t="s">
        <v>25</v>
      </c>
      <c r="E303" t="s">
        <v>39</v>
      </c>
      <c r="F303" t="s">
        <v>16</v>
      </c>
      <c r="G303">
        <v>4975.8</v>
      </c>
      <c r="H303" t="s">
        <v>22</v>
      </c>
      <c r="J303">
        <v>3.2</v>
      </c>
      <c r="K303">
        <v>159.22999999999999</v>
      </c>
      <c r="L303">
        <v>4816.57</v>
      </c>
    </row>
    <row r="304" spans="1:12" x14ac:dyDescent="0.25">
      <c r="A304" t="s">
        <v>347</v>
      </c>
      <c r="B304" s="1">
        <v>45400.854861111111</v>
      </c>
      <c r="C304" t="s">
        <v>58</v>
      </c>
      <c r="D304" t="s">
        <v>25</v>
      </c>
      <c r="E304" t="s">
        <v>15</v>
      </c>
      <c r="F304" t="s">
        <v>29</v>
      </c>
      <c r="G304">
        <v>1331.75</v>
      </c>
      <c r="H304" t="s">
        <v>22</v>
      </c>
      <c r="J304">
        <v>2.5</v>
      </c>
      <c r="K304">
        <v>33.29</v>
      </c>
      <c r="L304">
        <v>1298.46</v>
      </c>
    </row>
    <row r="305" spans="1:12" x14ac:dyDescent="0.25">
      <c r="A305" t="s">
        <v>348</v>
      </c>
      <c r="B305" s="1">
        <v>45400.959027777775</v>
      </c>
      <c r="C305" t="s">
        <v>19</v>
      </c>
      <c r="D305" t="s">
        <v>20</v>
      </c>
      <c r="E305" t="s">
        <v>33</v>
      </c>
      <c r="F305" t="s">
        <v>29</v>
      </c>
      <c r="G305">
        <v>624.58000000000004</v>
      </c>
      <c r="H305" t="s">
        <v>22</v>
      </c>
      <c r="J305">
        <v>1.9</v>
      </c>
      <c r="K305">
        <v>11.87</v>
      </c>
      <c r="L305">
        <v>612.71</v>
      </c>
    </row>
    <row r="306" spans="1:12" x14ac:dyDescent="0.25">
      <c r="A306" t="s">
        <v>349</v>
      </c>
      <c r="B306" s="1">
        <v>45401.676388888889</v>
      </c>
      <c r="C306" t="s">
        <v>58</v>
      </c>
      <c r="D306" t="s">
        <v>25</v>
      </c>
      <c r="E306" t="s">
        <v>28</v>
      </c>
      <c r="F306" t="s">
        <v>21</v>
      </c>
      <c r="G306">
        <v>626.84</v>
      </c>
      <c r="H306" t="s">
        <v>22</v>
      </c>
      <c r="J306">
        <v>2.9</v>
      </c>
      <c r="K306">
        <v>18.18</v>
      </c>
      <c r="L306">
        <v>608.66</v>
      </c>
    </row>
    <row r="307" spans="1:12" x14ac:dyDescent="0.25">
      <c r="A307" t="s">
        <v>350</v>
      </c>
      <c r="B307" s="1">
        <v>45402.354166666664</v>
      </c>
      <c r="C307" t="s">
        <v>31</v>
      </c>
      <c r="D307" t="s">
        <v>32</v>
      </c>
      <c r="E307" t="s">
        <v>15</v>
      </c>
      <c r="F307" t="s">
        <v>21</v>
      </c>
      <c r="G307">
        <v>1306.25</v>
      </c>
      <c r="H307" t="s">
        <v>22</v>
      </c>
      <c r="J307">
        <v>2.5</v>
      </c>
      <c r="K307">
        <v>32.659999999999997</v>
      </c>
      <c r="L307">
        <v>1273.5899999999999</v>
      </c>
    </row>
    <row r="308" spans="1:12" x14ac:dyDescent="0.25">
      <c r="A308" t="s">
        <v>351</v>
      </c>
      <c r="B308" s="1">
        <v>45402.42291666667</v>
      </c>
      <c r="C308" t="s">
        <v>31</v>
      </c>
      <c r="D308" t="s">
        <v>32</v>
      </c>
      <c r="E308" t="s">
        <v>44</v>
      </c>
      <c r="F308" t="s">
        <v>21</v>
      </c>
      <c r="G308">
        <v>1987.26</v>
      </c>
      <c r="H308" t="s">
        <v>22</v>
      </c>
      <c r="J308">
        <v>2.1</v>
      </c>
      <c r="K308">
        <v>41.73</v>
      </c>
      <c r="L308">
        <v>1945.53</v>
      </c>
    </row>
    <row r="309" spans="1:12" x14ac:dyDescent="0.25">
      <c r="A309" t="s">
        <v>352</v>
      </c>
      <c r="B309" s="1">
        <v>45403.17083333333</v>
      </c>
      <c r="C309" t="s">
        <v>27</v>
      </c>
      <c r="D309" t="s">
        <v>25</v>
      </c>
      <c r="E309" t="s">
        <v>44</v>
      </c>
      <c r="F309" t="s">
        <v>21</v>
      </c>
      <c r="G309">
        <v>2202.98</v>
      </c>
      <c r="H309" t="s">
        <v>22</v>
      </c>
      <c r="J309">
        <v>2.1</v>
      </c>
      <c r="K309">
        <v>46.26</v>
      </c>
      <c r="L309">
        <v>2156.7199999999998</v>
      </c>
    </row>
    <row r="310" spans="1:12" x14ac:dyDescent="0.25">
      <c r="A310" t="s">
        <v>353</v>
      </c>
      <c r="B310" s="1">
        <v>45403.43472222222</v>
      </c>
      <c r="C310" t="s">
        <v>47</v>
      </c>
      <c r="D310" t="s">
        <v>25</v>
      </c>
      <c r="E310" t="s">
        <v>15</v>
      </c>
      <c r="F310" t="s">
        <v>21</v>
      </c>
      <c r="G310">
        <v>2323.79</v>
      </c>
      <c r="H310" t="s">
        <v>22</v>
      </c>
      <c r="J310">
        <v>2.5</v>
      </c>
      <c r="K310">
        <v>58.09</v>
      </c>
      <c r="L310">
        <v>2265.6999999999998</v>
      </c>
    </row>
    <row r="311" spans="1:12" x14ac:dyDescent="0.25">
      <c r="A311" t="s">
        <v>354</v>
      </c>
      <c r="B311" s="1">
        <v>45403.779166666667</v>
      </c>
      <c r="C311" t="s">
        <v>43</v>
      </c>
      <c r="D311" t="s">
        <v>25</v>
      </c>
      <c r="E311" t="s">
        <v>15</v>
      </c>
      <c r="F311" t="s">
        <v>16</v>
      </c>
      <c r="G311">
        <v>2214.96</v>
      </c>
      <c r="H311" t="s">
        <v>17</v>
      </c>
      <c r="J311">
        <v>2.5</v>
      </c>
      <c r="K311">
        <v>0</v>
      </c>
      <c r="L311">
        <v>0</v>
      </c>
    </row>
    <row r="312" spans="1:12" x14ac:dyDescent="0.25">
      <c r="A312" t="s">
        <v>355</v>
      </c>
      <c r="B312" s="1">
        <v>45404.336805555555</v>
      </c>
      <c r="C312" t="s">
        <v>58</v>
      </c>
      <c r="D312" t="s">
        <v>25</v>
      </c>
      <c r="E312" t="s">
        <v>44</v>
      </c>
      <c r="F312" t="s">
        <v>45</v>
      </c>
      <c r="G312">
        <v>3825.05</v>
      </c>
      <c r="H312" t="s">
        <v>17</v>
      </c>
      <c r="J312">
        <v>2.1</v>
      </c>
      <c r="K312">
        <v>0</v>
      </c>
      <c r="L312">
        <v>0</v>
      </c>
    </row>
    <row r="313" spans="1:12" x14ac:dyDescent="0.25">
      <c r="A313" t="s">
        <v>356</v>
      </c>
      <c r="B313" s="1">
        <v>45404.376388888886</v>
      </c>
      <c r="C313" t="s">
        <v>47</v>
      </c>
      <c r="D313" t="s">
        <v>25</v>
      </c>
      <c r="E313" t="s">
        <v>44</v>
      </c>
      <c r="F313" t="s">
        <v>45</v>
      </c>
      <c r="G313">
        <v>1450.46</v>
      </c>
      <c r="H313" t="s">
        <v>34</v>
      </c>
      <c r="I313" t="s">
        <v>100</v>
      </c>
      <c r="J313">
        <v>2.1</v>
      </c>
      <c r="K313">
        <v>0</v>
      </c>
      <c r="L313">
        <v>0</v>
      </c>
    </row>
    <row r="314" spans="1:12" x14ac:dyDescent="0.25">
      <c r="A314" t="s">
        <v>357</v>
      </c>
      <c r="B314" s="1">
        <v>45406.013888888891</v>
      </c>
      <c r="C314" t="s">
        <v>31</v>
      </c>
      <c r="D314" t="s">
        <v>32</v>
      </c>
      <c r="E314" t="s">
        <v>39</v>
      </c>
      <c r="F314" t="s">
        <v>29</v>
      </c>
      <c r="G314">
        <v>696.62</v>
      </c>
      <c r="H314" t="s">
        <v>22</v>
      </c>
      <c r="J314">
        <v>3.2</v>
      </c>
      <c r="K314">
        <v>22.29</v>
      </c>
      <c r="L314">
        <v>674.33</v>
      </c>
    </row>
    <row r="315" spans="1:12" x14ac:dyDescent="0.25">
      <c r="A315" t="s">
        <v>358</v>
      </c>
      <c r="B315" s="1">
        <v>45406.140277777777</v>
      </c>
      <c r="C315" t="s">
        <v>13</v>
      </c>
      <c r="D315" t="s">
        <v>14</v>
      </c>
      <c r="E315" t="s">
        <v>39</v>
      </c>
      <c r="F315" t="s">
        <v>41</v>
      </c>
      <c r="G315">
        <v>3815.4</v>
      </c>
      <c r="H315" t="s">
        <v>17</v>
      </c>
      <c r="J315">
        <v>3.2</v>
      </c>
      <c r="K315">
        <v>0</v>
      </c>
      <c r="L315">
        <v>0</v>
      </c>
    </row>
    <row r="316" spans="1:12" x14ac:dyDescent="0.25">
      <c r="A316" t="s">
        <v>359</v>
      </c>
      <c r="B316" s="1">
        <v>45406.836111111108</v>
      </c>
      <c r="C316" t="s">
        <v>60</v>
      </c>
      <c r="D316" t="s">
        <v>25</v>
      </c>
      <c r="E316" t="s">
        <v>28</v>
      </c>
      <c r="F316" t="s">
        <v>29</v>
      </c>
      <c r="G316">
        <v>1004.81</v>
      </c>
      <c r="H316" t="s">
        <v>22</v>
      </c>
      <c r="J316">
        <v>2.9</v>
      </c>
      <c r="K316">
        <v>29.14</v>
      </c>
      <c r="L316">
        <v>975.67</v>
      </c>
    </row>
    <row r="317" spans="1:12" x14ac:dyDescent="0.25">
      <c r="A317" t="s">
        <v>360</v>
      </c>
      <c r="B317" s="1">
        <v>45407.181250000001</v>
      </c>
      <c r="C317" t="s">
        <v>58</v>
      </c>
      <c r="D317" t="s">
        <v>25</v>
      </c>
      <c r="E317" t="s">
        <v>44</v>
      </c>
      <c r="F317" t="s">
        <v>41</v>
      </c>
      <c r="G317">
        <v>3652.15</v>
      </c>
      <c r="H317" t="s">
        <v>17</v>
      </c>
      <c r="J317">
        <v>2.1</v>
      </c>
      <c r="K317">
        <v>0</v>
      </c>
      <c r="L317">
        <v>0</v>
      </c>
    </row>
    <row r="318" spans="1:12" x14ac:dyDescent="0.25">
      <c r="A318" t="s">
        <v>361</v>
      </c>
      <c r="B318" s="1">
        <v>45407.256249999999</v>
      </c>
      <c r="C318" t="s">
        <v>60</v>
      </c>
      <c r="D318" t="s">
        <v>25</v>
      </c>
      <c r="E318" t="s">
        <v>28</v>
      </c>
      <c r="F318" t="s">
        <v>29</v>
      </c>
      <c r="G318">
        <v>4919.84</v>
      </c>
      <c r="H318" t="s">
        <v>17</v>
      </c>
      <c r="J318">
        <v>2.9</v>
      </c>
      <c r="K318">
        <v>0</v>
      </c>
      <c r="L318">
        <v>0</v>
      </c>
    </row>
    <row r="319" spans="1:12" x14ac:dyDescent="0.25">
      <c r="A319" t="s">
        <v>362</v>
      </c>
      <c r="B319" s="1">
        <v>45408.20208333333</v>
      </c>
      <c r="C319" t="s">
        <v>58</v>
      </c>
      <c r="D319" t="s">
        <v>25</v>
      </c>
      <c r="E319" t="s">
        <v>15</v>
      </c>
      <c r="F319" t="s">
        <v>16</v>
      </c>
      <c r="G319">
        <v>4491.3500000000004</v>
      </c>
      <c r="H319" t="s">
        <v>17</v>
      </c>
      <c r="J319">
        <v>2.5</v>
      </c>
      <c r="K319">
        <v>0</v>
      </c>
      <c r="L319">
        <v>0</v>
      </c>
    </row>
    <row r="320" spans="1:12" x14ac:dyDescent="0.25">
      <c r="A320" t="s">
        <v>363</v>
      </c>
      <c r="B320" s="1">
        <v>45408.710416666669</v>
      </c>
      <c r="C320" t="s">
        <v>58</v>
      </c>
      <c r="D320" t="s">
        <v>25</v>
      </c>
      <c r="E320" t="s">
        <v>33</v>
      </c>
      <c r="F320" t="s">
        <v>16</v>
      </c>
      <c r="G320">
        <v>4828.4799999999996</v>
      </c>
      <c r="H320" t="s">
        <v>34</v>
      </c>
      <c r="I320" t="s">
        <v>100</v>
      </c>
      <c r="J320">
        <v>1.9</v>
      </c>
      <c r="K320">
        <v>0</v>
      </c>
      <c r="L320">
        <v>0</v>
      </c>
    </row>
    <row r="321" spans="1:12" x14ac:dyDescent="0.25">
      <c r="A321" t="s">
        <v>364</v>
      </c>
      <c r="B321" s="1">
        <v>45409.289583333331</v>
      </c>
      <c r="C321" t="s">
        <v>19</v>
      </c>
      <c r="D321" t="s">
        <v>20</v>
      </c>
      <c r="E321" t="s">
        <v>15</v>
      </c>
      <c r="F321" t="s">
        <v>21</v>
      </c>
      <c r="G321">
        <v>242.34</v>
      </c>
      <c r="H321" t="s">
        <v>22</v>
      </c>
      <c r="J321">
        <v>2.5</v>
      </c>
      <c r="K321">
        <v>6.06</v>
      </c>
      <c r="L321">
        <v>236.28</v>
      </c>
    </row>
    <row r="322" spans="1:12" x14ac:dyDescent="0.25">
      <c r="A322" t="s">
        <v>365</v>
      </c>
      <c r="B322" s="1">
        <v>45409.324305555558</v>
      </c>
      <c r="C322" t="s">
        <v>47</v>
      </c>
      <c r="D322" t="s">
        <v>25</v>
      </c>
      <c r="E322" t="s">
        <v>15</v>
      </c>
      <c r="F322" t="s">
        <v>29</v>
      </c>
      <c r="G322">
        <v>665.07</v>
      </c>
      <c r="H322" t="s">
        <v>22</v>
      </c>
      <c r="J322">
        <v>2.5</v>
      </c>
      <c r="K322">
        <v>16.63</v>
      </c>
      <c r="L322">
        <v>648.44000000000005</v>
      </c>
    </row>
    <row r="323" spans="1:12" x14ac:dyDescent="0.25">
      <c r="A323" t="s">
        <v>366</v>
      </c>
      <c r="B323" s="1">
        <v>45409.525000000001</v>
      </c>
      <c r="C323" t="s">
        <v>24</v>
      </c>
      <c r="D323" t="s">
        <v>25</v>
      </c>
      <c r="E323" t="s">
        <v>15</v>
      </c>
      <c r="F323" t="s">
        <v>45</v>
      </c>
      <c r="G323">
        <v>3276.49</v>
      </c>
      <c r="H323" t="s">
        <v>22</v>
      </c>
      <c r="J323">
        <v>2.5</v>
      </c>
      <c r="K323">
        <v>81.91</v>
      </c>
      <c r="L323">
        <v>3194.58</v>
      </c>
    </row>
    <row r="324" spans="1:12" x14ac:dyDescent="0.25">
      <c r="A324" t="s">
        <v>367</v>
      </c>
      <c r="B324" s="1">
        <v>45409.82708333333</v>
      </c>
      <c r="C324" t="s">
        <v>37</v>
      </c>
      <c r="D324" t="s">
        <v>38</v>
      </c>
      <c r="E324" t="s">
        <v>44</v>
      </c>
      <c r="F324" t="s">
        <v>29</v>
      </c>
      <c r="G324">
        <v>3108.25</v>
      </c>
      <c r="H324" t="s">
        <v>22</v>
      </c>
      <c r="J324">
        <v>2.1</v>
      </c>
      <c r="K324">
        <v>65.27</v>
      </c>
      <c r="L324">
        <v>3042.98</v>
      </c>
    </row>
    <row r="325" spans="1:12" x14ac:dyDescent="0.25">
      <c r="A325" t="s">
        <v>368</v>
      </c>
      <c r="B325" s="1">
        <v>45410.29791666667</v>
      </c>
      <c r="C325" t="s">
        <v>19</v>
      </c>
      <c r="D325" t="s">
        <v>20</v>
      </c>
      <c r="E325" t="s">
        <v>39</v>
      </c>
      <c r="F325" t="s">
        <v>21</v>
      </c>
      <c r="G325">
        <v>1966.46</v>
      </c>
      <c r="H325" t="s">
        <v>22</v>
      </c>
      <c r="J325">
        <v>3.2</v>
      </c>
      <c r="K325">
        <v>62.93</v>
      </c>
      <c r="L325">
        <v>1903.53</v>
      </c>
    </row>
    <row r="326" spans="1:12" x14ac:dyDescent="0.25">
      <c r="A326" t="s">
        <v>369</v>
      </c>
      <c r="B326" s="1">
        <v>45411.368750000001</v>
      </c>
      <c r="C326" t="s">
        <v>47</v>
      </c>
      <c r="D326" t="s">
        <v>25</v>
      </c>
      <c r="E326" t="s">
        <v>28</v>
      </c>
      <c r="F326" t="s">
        <v>45</v>
      </c>
      <c r="G326">
        <v>2004.99</v>
      </c>
      <c r="H326" t="s">
        <v>22</v>
      </c>
      <c r="J326">
        <v>2.9</v>
      </c>
      <c r="K326">
        <v>58.14</v>
      </c>
      <c r="L326">
        <v>1946.85</v>
      </c>
    </row>
    <row r="327" spans="1:12" x14ac:dyDescent="0.25">
      <c r="A327" t="s">
        <v>370</v>
      </c>
      <c r="B327" s="1">
        <v>45411.543055555558</v>
      </c>
      <c r="C327" t="s">
        <v>37</v>
      </c>
      <c r="D327" t="s">
        <v>38</v>
      </c>
      <c r="E327" t="s">
        <v>15</v>
      </c>
      <c r="F327" t="s">
        <v>16</v>
      </c>
      <c r="G327">
        <v>1936.53</v>
      </c>
      <c r="H327" t="s">
        <v>22</v>
      </c>
      <c r="J327">
        <v>2.5</v>
      </c>
      <c r="K327">
        <v>48.41</v>
      </c>
      <c r="L327">
        <v>1888.12</v>
      </c>
    </row>
    <row r="328" spans="1:12" x14ac:dyDescent="0.25">
      <c r="A328" t="s">
        <v>371</v>
      </c>
      <c r="B328" s="1">
        <v>45411.573611111111</v>
      </c>
      <c r="C328" t="s">
        <v>43</v>
      </c>
      <c r="D328" t="s">
        <v>25</v>
      </c>
      <c r="E328" t="s">
        <v>39</v>
      </c>
      <c r="F328" t="s">
        <v>45</v>
      </c>
      <c r="G328">
        <v>2972.31</v>
      </c>
      <c r="H328" t="s">
        <v>34</v>
      </c>
      <c r="I328" t="s">
        <v>62</v>
      </c>
      <c r="J328">
        <v>3.2</v>
      </c>
      <c r="K328">
        <v>0</v>
      </c>
      <c r="L328">
        <v>0</v>
      </c>
    </row>
    <row r="329" spans="1:12" x14ac:dyDescent="0.25">
      <c r="A329" t="s">
        <v>372</v>
      </c>
      <c r="B329" s="1">
        <v>45411.723611111112</v>
      </c>
      <c r="C329" t="s">
        <v>60</v>
      </c>
      <c r="D329" t="s">
        <v>25</v>
      </c>
      <c r="E329" t="s">
        <v>39</v>
      </c>
      <c r="F329" t="s">
        <v>41</v>
      </c>
      <c r="G329">
        <v>3797.06</v>
      </c>
      <c r="H329" t="s">
        <v>34</v>
      </c>
      <c r="I329" t="s">
        <v>62</v>
      </c>
      <c r="J329">
        <v>3.2</v>
      </c>
      <c r="K329">
        <v>0</v>
      </c>
      <c r="L329">
        <v>0</v>
      </c>
    </row>
    <row r="330" spans="1:12" x14ac:dyDescent="0.25">
      <c r="A330" t="s">
        <v>373</v>
      </c>
      <c r="B330" s="1">
        <v>45412.638194444444</v>
      </c>
      <c r="C330" t="s">
        <v>31</v>
      </c>
      <c r="D330" t="s">
        <v>32</v>
      </c>
      <c r="E330" t="s">
        <v>15</v>
      </c>
      <c r="F330" t="s">
        <v>41</v>
      </c>
      <c r="G330">
        <v>2515.4899999999998</v>
      </c>
      <c r="H330" t="s">
        <v>17</v>
      </c>
      <c r="J330">
        <v>2.5</v>
      </c>
      <c r="K330">
        <v>0</v>
      </c>
      <c r="L330">
        <v>0</v>
      </c>
    </row>
    <row r="331" spans="1:12" x14ac:dyDescent="0.25">
      <c r="A331" t="s">
        <v>374</v>
      </c>
      <c r="B331" s="1">
        <v>45412.678472222222</v>
      </c>
      <c r="C331" t="s">
        <v>60</v>
      </c>
      <c r="D331" t="s">
        <v>25</v>
      </c>
      <c r="E331" t="s">
        <v>39</v>
      </c>
      <c r="F331" t="s">
        <v>16</v>
      </c>
      <c r="G331">
        <v>4453.1099999999997</v>
      </c>
      <c r="H331" t="s">
        <v>22</v>
      </c>
      <c r="J331">
        <v>3.2</v>
      </c>
      <c r="K331">
        <v>142.5</v>
      </c>
      <c r="L331">
        <v>4310.6099999999997</v>
      </c>
    </row>
    <row r="332" spans="1:12" x14ac:dyDescent="0.25">
      <c r="A332" t="s">
        <v>375</v>
      </c>
      <c r="B332" s="1">
        <v>45413.379861111112</v>
      </c>
      <c r="C332" t="s">
        <v>60</v>
      </c>
      <c r="D332" t="s">
        <v>25</v>
      </c>
      <c r="E332" t="s">
        <v>44</v>
      </c>
      <c r="F332" t="s">
        <v>16</v>
      </c>
      <c r="G332">
        <v>3198.37</v>
      </c>
      <c r="H332" t="s">
        <v>17</v>
      </c>
      <c r="J332">
        <v>2.1</v>
      </c>
      <c r="K332">
        <v>0</v>
      </c>
      <c r="L332">
        <v>0</v>
      </c>
    </row>
    <row r="333" spans="1:12" x14ac:dyDescent="0.25">
      <c r="A333" t="s">
        <v>376</v>
      </c>
      <c r="B333" s="1">
        <v>45413.625694444447</v>
      </c>
      <c r="C333" t="s">
        <v>37</v>
      </c>
      <c r="D333" t="s">
        <v>38</v>
      </c>
      <c r="E333" t="s">
        <v>33</v>
      </c>
      <c r="F333" t="s">
        <v>45</v>
      </c>
      <c r="G333">
        <v>1850.87</v>
      </c>
      <c r="H333" t="s">
        <v>17</v>
      </c>
      <c r="J333">
        <v>1.9</v>
      </c>
      <c r="K333">
        <v>0</v>
      </c>
      <c r="L333">
        <v>0</v>
      </c>
    </row>
    <row r="334" spans="1:12" x14ac:dyDescent="0.25">
      <c r="A334" t="s">
        <v>377</v>
      </c>
      <c r="B334" s="1">
        <v>45413.763888888891</v>
      </c>
      <c r="C334" t="s">
        <v>37</v>
      </c>
      <c r="D334" t="s">
        <v>38</v>
      </c>
      <c r="E334" t="s">
        <v>33</v>
      </c>
      <c r="F334" t="s">
        <v>41</v>
      </c>
      <c r="G334">
        <v>3520.23</v>
      </c>
      <c r="H334" t="s">
        <v>22</v>
      </c>
      <c r="J334">
        <v>1.9</v>
      </c>
      <c r="K334">
        <v>66.88</v>
      </c>
      <c r="L334">
        <v>3453.35</v>
      </c>
    </row>
    <row r="335" spans="1:12" x14ac:dyDescent="0.25">
      <c r="A335" t="s">
        <v>378</v>
      </c>
      <c r="B335" s="1">
        <v>45413.938888888886</v>
      </c>
      <c r="C335" t="s">
        <v>47</v>
      </c>
      <c r="D335" t="s">
        <v>25</v>
      </c>
      <c r="E335" t="s">
        <v>15</v>
      </c>
      <c r="F335" t="s">
        <v>45</v>
      </c>
      <c r="G335">
        <v>2886</v>
      </c>
      <c r="H335" t="s">
        <v>22</v>
      </c>
      <c r="J335">
        <v>2.5</v>
      </c>
      <c r="K335">
        <v>72.150000000000006</v>
      </c>
      <c r="L335">
        <v>2813.85</v>
      </c>
    </row>
    <row r="336" spans="1:12" x14ac:dyDescent="0.25">
      <c r="A336" t="s">
        <v>379</v>
      </c>
      <c r="B336" s="1">
        <v>45414.1875</v>
      </c>
      <c r="C336" t="s">
        <v>31</v>
      </c>
      <c r="D336" t="s">
        <v>32</v>
      </c>
      <c r="E336" t="s">
        <v>33</v>
      </c>
      <c r="F336" t="s">
        <v>29</v>
      </c>
      <c r="G336">
        <v>2330.52</v>
      </c>
      <c r="H336" t="s">
        <v>22</v>
      </c>
      <c r="J336">
        <v>1.9</v>
      </c>
      <c r="K336">
        <v>44.28</v>
      </c>
      <c r="L336">
        <v>2286.2399999999998</v>
      </c>
    </row>
    <row r="337" spans="1:12" x14ac:dyDescent="0.25">
      <c r="A337" t="s">
        <v>380</v>
      </c>
      <c r="B337" s="1">
        <v>45414.503472222219</v>
      </c>
      <c r="C337" t="s">
        <v>60</v>
      </c>
      <c r="D337" t="s">
        <v>25</v>
      </c>
      <c r="E337" t="s">
        <v>44</v>
      </c>
      <c r="F337" t="s">
        <v>29</v>
      </c>
      <c r="G337">
        <v>1948.63</v>
      </c>
      <c r="H337" t="s">
        <v>34</v>
      </c>
      <c r="I337" t="s">
        <v>62</v>
      </c>
      <c r="J337">
        <v>2.1</v>
      </c>
      <c r="K337">
        <v>0</v>
      </c>
      <c r="L337">
        <v>0</v>
      </c>
    </row>
    <row r="338" spans="1:12" x14ac:dyDescent="0.25">
      <c r="A338" t="s">
        <v>381</v>
      </c>
      <c r="B338" s="1">
        <v>45415.277083333334</v>
      </c>
      <c r="C338" t="s">
        <v>13</v>
      </c>
      <c r="D338" t="s">
        <v>14</v>
      </c>
      <c r="E338" t="s">
        <v>39</v>
      </c>
      <c r="F338" t="s">
        <v>21</v>
      </c>
      <c r="G338">
        <v>1343.95</v>
      </c>
      <c r="H338" t="s">
        <v>34</v>
      </c>
      <c r="I338" t="s">
        <v>78</v>
      </c>
      <c r="J338">
        <v>3.2</v>
      </c>
      <c r="K338">
        <v>0</v>
      </c>
      <c r="L338">
        <v>0</v>
      </c>
    </row>
    <row r="339" spans="1:12" x14ac:dyDescent="0.25">
      <c r="A339" t="s">
        <v>382</v>
      </c>
      <c r="B339" s="1">
        <v>45415.304861111108</v>
      </c>
      <c r="C339" t="s">
        <v>27</v>
      </c>
      <c r="D339" t="s">
        <v>25</v>
      </c>
      <c r="E339" t="s">
        <v>15</v>
      </c>
      <c r="F339" t="s">
        <v>41</v>
      </c>
      <c r="G339">
        <v>2816.31</v>
      </c>
      <c r="H339" t="s">
        <v>34</v>
      </c>
      <c r="I339" t="s">
        <v>100</v>
      </c>
      <c r="J339">
        <v>2.5</v>
      </c>
      <c r="K339">
        <v>0</v>
      </c>
      <c r="L339">
        <v>0</v>
      </c>
    </row>
    <row r="340" spans="1:12" x14ac:dyDescent="0.25">
      <c r="A340" t="s">
        <v>383</v>
      </c>
      <c r="B340" s="1">
        <v>45415.406944444447</v>
      </c>
      <c r="C340" t="s">
        <v>58</v>
      </c>
      <c r="D340" t="s">
        <v>25</v>
      </c>
      <c r="E340" t="s">
        <v>33</v>
      </c>
      <c r="F340" t="s">
        <v>41</v>
      </c>
      <c r="G340">
        <v>3662.61</v>
      </c>
      <c r="H340" t="s">
        <v>22</v>
      </c>
      <c r="J340">
        <v>1.9</v>
      </c>
      <c r="K340">
        <v>69.59</v>
      </c>
      <c r="L340">
        <v>3593.02</v>
      </c>
    </row>
    <row r="341" spans="1:12" x14ac:dyDescent="0.25">
      <c r="A341" t="s">
        <v>384</v>
      </c>
      <c r="B341" s="1">
        <v>45416.047222222223</v>
      </c>
      <c r="C341" t="s">
        <v>19</v>
      </c>
      <c r="D341" t="s">
        <v>20</v>
      </c>
      <c r="E341" t="s">
        <v>33</v>
      </c>
      <c r="F341" t="s">
        <v>29</v>
      </c>
      <c r="G341">
        <v>682.27</v>
      </c>
      <c r="H341" t="s">
        <v>17</v>
      </c>
      <c r="J341">
        <v>1.9</v>
      </c>
      <c r="K341">
        <v>0</v>
      </c>
      <c r="L341">
        <v>0</v>
      </c>
    </row>
    <row r="342" spans="1:12" x14ac:dyDescent="0.25">
      <c r="A342" t="s">
        <v>385</v>
      </c>
      <c r="B342" s="1">
        <v>45416.070833333331</v>
      </c>
      <c r="C342" t="s">
        <v>13</v>
      </c>
      <c r="D342" t="s">
        <v>14</v>
      </c>
      <c r="E342" t="s">
        <v>44</v>
      </c>
      <c r="F342" t="s">
        <v>29</v>
      </c>
      <c r="G342">
        <v>271.93</v>
      </c>
      <c r="H342" t="s">
        <v>34</v>
      </c>
      <c r="I342" t="s">
        <v>62</v>
      </c>
      <c r="J342">
        <v>2.1</v>
      </c>
      <c r="K342">
        <v>0</v>
      </c>
      <c r="L342">
        <v>0</v>
      </c>
    </row>
    <row r="343" spans="1:12" x14ac:dyDescent="0.25">
      <c r="A343" t="s">
        <v>386</v>
      </c>
      <c r="B343" s="1">
        <v>45416.095138888886</v>
      </c>
      <c r="C343" t="s">
        <v>58</v>
      </c>
      <c r="D343" t="s">
        <v>25</v>
      </c>
      <c r="E343" t="s">
        <v>39</v>
      </c>
      <c r="F343" t="s">
        <v>45</v>
      </c>
      <c r="G343">
        <v>457.08</v>
      </c>
      <c r="H343" t="s">
        <v>34</v>
      </c>
      <c r="I343" t="s">
        <v>55</v>
      </c>
      <c r="J343">
        <v>3.2</v>
      </c>
      <c r="K343">
        <v>0</v>
      </c>
      <c r="L343">
        <v>0</v>
      </c>
    </row>
    <row r="344" spans="1:12" x14ac:dyDescent="0.25">
      <c r="A344" t="s">
        <v>387</v>
      </c>
      <c r="B344" s="1">
        <v>45416.660416666666</v>
      </c>
      <c r="C344" t="s">
        <v>58</v>
      </c>
      <c r="D344" t="s">
        <v>25</v>
      </c>
      <c r="E344" t="s">
        <v>44</v>
      </c>
      <c r="F344" t="s">
        <v>41</v>
      </c>
      <c r="G344">
        <v>493.68</v>
      </c>
      <c r="H344" t="s">
        <v>34</v>
      </c>
      <c r="I344" t="s">
        <v>62</v>
      </c>
      <c r="J344">
        <v>2.1</v>
      </c>
      <c r="K344">
        <v>0</v>
      </c>
      <c r="L344">
        <v>0</v>
      </c>
    </row>
    <row r="345" spans="1:12" x14ac:dyDescent="0.25">
      <c r="A345" t="s">
        <v>388</v>
      </c>
      <c r="B345" s="1">
        <v>45416.945138888892</v>
      </c>
      <c r="C345" t="s">
        <v>27</v>
      </c>
      <c r="D345" t="s">
        <v>25</v>
      </c>
      <c r="E345" t="s">
        <v>28</v>
      </c>
      <c r="F345" t="s">
        <v>29</v>
      </c>
      <c r="G345">
        <v>3166.98</v>
      </c>
      <c r="H345" t="s">
        <v>22</v>
      </c>
      <c r="J345">
        <v>2.9</v>
      </c>
      <c r="K345">
        <v>91.84</v>
      </c>
      <c r="L345">
        <v>3075.14</v>
      </c>
    </row>
    <row r="346" spans="1:12" x14ac:dyDescent="0.25">
      <c r="A346" t="s">
        <v>389</v>
      </c>
      <c r="B346" s="1">
        <v>45417.69027777778</v>
      </c>
      <c r="C346" t="s">
        <v>58</v>
      </c>
      <c r="D346" t="s">
        <v>25</v>
      </c>
      <c r="E346" t="s">
        <v>28</v>
      </c>
      <c r="F346" t="s">
        <v>45</v>
      </c>
      <c r="G346">
        <v>1943.12</v>
      </c>
      <c r="H346" t="s">
        <v>22</v>
      </c>
      <c r="J346">
        <v>2.9</v>
      </c>
      <c r="K346">
        <v>56.35</v>
      </c>
      <c r="L346">
        <v>1886.77</v>
      </c>
    </row>
    <row r="347" spans="1:12" x14ac:dyDescent="0.25">
      <c r="A347" t="s">
        <v>390</v>
      </c>
      <c r="B347" s="1">
        <v>45417.720138888886</v>
      </c>
      <c r="C347" t="s">
        <v>19</v>
      </c>
      <c r="D347" t="s">
        <v>20</v>
      </c>
      <c r="E347" t="s">
        <v>33</v>
      </c>
      <c r="F347" t="s">
        <v>29</v>
      </c>
      <c r="G347">
        <v>254.1</v>
      </c>
      <c r="H347" t="s">
        <v>22</v>
      </c>
      <c r="J347">
        <v>1.9</v>
      </c>
      <c r="K347">
        <v>4.83</v>
      </c>
      <c r="L347">
        <v>249.27</v>
      </c>
    </row>
    <row r="348" spans="1:12" x14ac:dyDescent="0.25">
      <c r="A348" t="s">
        <v>391</v>
      </c>
      <c r="B348" s="1">
        <v>45417.959722222222</v>
      </c>
      <c r="C348" t="s">
        <v>58</v>
      </c>
      <c r="D348" t="s">
        <v>25</v>
      </c>
      <c r="E348" t="s">
        <v>15</v>
      </c>
      <c r="F348" t="s">
        <v>29</v>
      </c>
      <c r="G348">
        <v>2703.4</v>
      </c>
      <c r="H348" t="s">
        <v>22</v>
      </c>
      <c r="J348">
        <v>2.5</v>
      </c>
      <c r="K348">
        <v>67.58</v>
      </c>
      <c r="L348">
        <v>2635.82</v>
      </c>
    </row>
    <row r="349" spans="1:12" x14ac:dyDescent="0.25">
      <c r="A349" t="s">
        <v>392</v>
      </c>
      <c r="B349" s="1">
        <v>45419.011111111111</v>
      </c>
      <c r="C349" t="s">
        <v>58</v>
      </c>
      <c r="D349" t="s">
        <v>25</v>
      </c>
      <c r="E349" t="s">
        <v>44</v>
      </c>
      <c r="F349" t="s">
        <v>16</v>
      </c>
      <c r="G349">
        <v>3771.25</v>
      </c>
      <c r="H349" t="s">
        <v>22</v>
      </c>
      <c r="J349">
        <v>2.1</v>
      </c>
      <c r="K349">
        <v>79.2</v>
      </c>
      <c r="L349">
        <v>3692.05</v>
      </c>
    </row>
    <row r="350" spans="1:12" x14ac:dyDescent="0.25">
      <c r="A350" t="s">
        <v>393</v>
      </c>
      <c r="B350" s="1">
        <v>45419.061805555553</v>
      </c>
      <c r="C350" t="s">
        <v>60</v>
      </c>
      <c r="D350" t="s">
        <v>25</v>
      </c>
      <c r="E350" t="s">
        <v>39</v>
      </c>
      <c r="F350" t="s">
        <v>29</v>
      </c>
      <c r="G350">
        <v>1377.15</v>
      </c>
      <c r="H350" t="s">
        <v>34</v>
      </c>
      <c r="I350" t="s">
        <v>100</v>
      </c>
      <c r="J350">
        <v>3.2</v>
      </c>
      <c r="K350">
        <v>0</v>
      </c>
      <c r="L350">
        <v>0</v>
      </c>
    </row>
    <row r="351" spans="1:12" x14ac:dyDescent="0.25">
      <c r="A351" t="s">
        <v>394</v>
      </c>
      <c r="B351" s="1">
        <v>45419.102777777778</v>
      </c>
      <c r="C351" t="s">
        <v>13</v>
      </c>
      <c r="D351" t="s">
        <v>14</v>
      </c>
      <c r="E351" t="s">
        <v>28</v>
      </c>
      <c r="F351" t="s">
        <v>41</v>
      </c>
      <c r="G351">
        <v>3264.2</v>
      </c>
      <c r="H351" t="s">
        <v>17</v>
      </c>
      <c r="J351">
        <v>2.9</v>
      </c>
      <c r="K351">
        <v>0</v>
      </c>
      <c r="L351">
        <v>0</v>
      </c>
    </row>
    <row r="352" spans="1:12" x14ac:dyDescent="0.25">
      <c r="A352" t="s">
        <v>395</v>
      </c>
      <c r="B352" s="1">
        <v>45419.149305555555</v>
      </c>
      <c r="C352" t="s">
        <v>58</v>
      </c>
      <c r="D352" t="s">
        <v>25</v>
      </c>
      <c r="E352" t="s">
        <v>33</v>
      </c>
      <c r="F352" t="s">
        <v>45</v>
      </c>
      <c r="G352">
        <v>3955.8</v>
      </c>
      <c r="H352" t="s">
        <v>22</v>
      </c>
      <c r="J352">
        <v>1.9</v>
      </c>
      <c r="K352">
        <v>75.16</v>
      </c>
      <c r="L352">
        <v>3880.64</v>
      </c>
    </row>
    <row r="353" spans="1:12" x14ac:dyDescent="0.25">
      <c r="A353" t="s">
        <v>396</v>
      </c>
      <c r="B353" s="1">
        <v>45419.258333333331</v>
      </c>
      <c r="C353" t="s">
        <v>13</v>
      </c>
      <c r="D353" t="s">
        <v>14</v>
      </c>
      <c r="E353" t="s">
        <v>15</v>
      </c>
      <c r="F353" t="s">
        <v>29</v>
      </c>
      <c r="G353">
        <v>2115.19</v>
      </c>
      <c r="H353" t="s">
        <v>22</v>
      </c>
      <c r="J353">
        <v>2.5</v>
      </c>
      <c r="K353">
        <v>52.88</v>
      </c>
      <c r="L353">
        <v>2062.31</v>
      </c>
    </row>
    <row r="354" spans="1:12" x14ac:dyDescent="0.25">
      <c r="A354" t="s">
        <v>397</v>
      </c>
      <c r="B354" s="1">
        <v>45419.484027777777</v>
      </c>
      <c r="C354" t="s">
        <v>43</v>
      </c>
      <c r="D354" t="s">
        <v>25</v>
      </c>
      <c r="E354" t="s">
        <v>28</v>
      </c>
      <c r="F354" t="s">
        <v>41</v>
      </c>
      <c r="G354">
        <v>2349.7199999999998</v>
      </c>
      <c r="H354" t="s">
        <v>22</v>
      </c>
      <c r="J354">
        <v>2.9</v>
      </c>
      <c r="K354">
        <v>68.14</v>
      </c>
      <c r="L354">
        <v>2281.58</v>
      </c>
    </row>
    <row r="355" spans="1:12" x14ac:dyDescent="0.25">
      <c r="A355" t="s">
        <v>398</v>
      </c>
      <c r="B355" s="1">
        <v>45419.685416666667</v>
      </c>
      <c r="C355" t="s">
        <v>47</v>
      </c>
      <c r="D355" t="s">
        <v>25</v>
      </c>
      <c r="E355" t="s">
        <v>33</v>
      </c>
      <c r="F355" t="s">
        <v>41</v>
      </c>
      <c r="G355">
        <v>2759.46</v>
      </c>
      <c r="H355" t="s">
        <v>22</v>
      </c>
      <c r="J355">
        <v>1.9</v>
      </c>
      <c r="K355">
        <v>52.43</v>
      </c>
      <c r="L355">
        <v>2707.03</v>
      </c>
    </row>
    <row r="356" spans="1:12" x14ac:dyDescent="0.25">
      <c r="A356" t="s">
        <v>399</v>
      </c>
      <c r="B356" s="1">
        <v>45420.045138888891</v>
      </c>
      <c r="C356" t="s">
        <v>58</v>
      </c>
      <c r="D356" t="s">
        <v>25</v>
      </c>
      <c r="E356" t="s">
        <v>39</v>
      </c>
      <c r="F356" t="s">
        <v>41</v>
      </c>
      <c r="G356">
        <v>27.69</v>
      </c>
      <c r="H356" t="s">
        <v>22</v>
      </c>
      <c r="J356">
        <v>3.2</v>
      </c>
      <c r="K356">
        <v>0.89</v>
      </c>
      <c r="L356">
        <v>26.8</v>
      </c>
    </row>
    <row r="357" spans="1:12" x14ac:dyDescent="0.25">
      <c r="A357" t="s">
        <v>400</v>
      </c>
      <c r="B357" s="1">
        <v>45420.536805555559</v>
      </c>
      <c r="C357" t="s">
        <v>60</v>
      </c>
      <c r="D357" t="s">
        <v>25</v>
      </c>
      <c r="E357" t="s">
        <v>28</v>
      </c>
      <c r="F357" t="s">
        <v>29</v>
      </c>
      <c r="G357">
        <v>1930.14</v>
      </c>
      <c r="H357" t="s">
        <v>34</v>
      </c>
      <c r="I357" t="s">
        <v>35</v>
      </c>
      <c r="J357">
        <v>2.9</v>
      </c>
      <c r="K357">
        <v>0</v>
      </c>
      <c r="L357">
        <v>0</v>
      </c>
    </row>
    <row r="358" spans="1:12" x14ac:dyDescent="0.25">
      <c r="A358" t="s">
        <v>401</v>
      </c>
      <c r="B358" s="1">
        <v>45420.711111111108</v>
      </c>
      <c r="C358" t="s">
        <v>19</v>
      </c>
      <c r="D358" t="s">
        <v>20</v>
      </c>
      <c r="E358" t="s">
        <v>44</v>
      </c>
      <c r="F358" t="s">
        <v>21</v>
      </c>
      <c r="G358">
        <v>2044.09</v>
      </c>
      <c r="H358" t="s">
        <v>34</v>
      </c>
      <c r="I358" t="s">
        <v>55</v>
      </c>
      <c r="J358">
        <v>2.1</v>
      </c>
      <c r="K358">
        <v>0</v>
      </c>
      <c r="L358">
        <v>0</v>
      </c>
    </row>
    <row r="359" spans="1:12" x14ac:dyDescent="0.25">
      <c r="A359" t="s">
        <v>402</v>
      </c>
      <c r="B359" s="1">
        <v>45422.210416666669</v>
      </c>
      <c r="C359" t="s">
        <v>47</v>
      </c>
      <c r="D359" t="s">
        <v>25</v>
      </c>
      <c r="E359" t="s">
        <v>44</v>
      </c>
      <c r="F359" t="s">
        <v>45</v>
      </c>
      <c r="G359">
        <v>1363.69</v>
      </c>
      <c r="H359" t="s">
        <v>34</v>
      </c>
      <c r="I359" t="s">
        <v>78</v>
      </c>
      <c r="J359">
        <v>2.1</v>
      </c>
      <c r="K359">
        <v>0</v>
      </c>
      <c r="L359">
        <v>0</v>
      </c>
    </row>
    <row r="360" spans="1:12" x14ac:dyDescent="0.25">
      <c r="A360" t="s">
        <v>403</v>
      </c>
      <c r="B360" s="1">
        <v>45422.875</v>
      </c>
      <c r="C360" t="s">
        <v>43</v>
      </c>
      <c r="D360" t="s">
        <v>25</v>
      </c>
      <c r="E360" t="s">
        <v>39</v>
      </c>
      <c r="F360" t="s">
        <v>45</v>
      </c>
      <c r="G360">
        <v>798.3</v>
      </c>
      <c r="H360" t="s">
        <v>34</v>
      </c>
      <c r="I360" t="s">
        <v>62</v>
      </c>
      <c r="J360">
        <v>3.2</v>
      </c>
      <c r="K360">
        <v>0</v>
      </c>
      <c r="L360">
        <v>0</v>
      </c>
    </row>
    <row r="361" spans="1:12" x14ac:dyDescent="0.25">
      <c r="A361" t="s">
        <v>404</v>
      </c>
      <c r="B361" s="1">
        <v>45423.286805555559</v>
      </c>
      <c r="C361" t="s">
        <v>27</v>
      </c>
      <c r="D361" t="s">
        <v>25</v>
      </c>
      <c r="E361" t="s">
        <v>33</v>
      </c>
      <c r="F361" t="s">
        <v>45</v>
      </c>
      <c r="G361">
        <v>2643.58</v>
      </c>
      <c r="H361" t="s">
        <v>22</v>
      </c>
      <c r="J361">
        <v>1.9</v>
      </c>
      <c r="K361">
        <v>50.23</v>
      </c>
      <c r="L361">
        <v>2593.35</v>
      </c>
    </row>
    <row r="362" spans="1:12" x14ac:dyDescent="0.25">
      <c r="A362" t="s">
        <v>405</v>
      </c>
      <c r="B362" s="1">
        <v>45424.234027777777</v>
      </c>
      <c r="C362" t="s">
        <v>60</v>
      </c>
      <c r="D362" t="s">
        <v>25</v>
      </c>
      <c r="E362" t="s">
        <v>44</v>
      </c>
      <c r="F362" t="s">
        <v>21</v>
      </c>
      <c r="G362">
        <v>2310.61</v>
      </c>
      <c r="H362" t="s">
        <v>22</v>
      </c>
      <c r="J362">
        <v>2.1</v>
      </c>
      <c r="K362">
        <v>48.52</v>
      </c>
      <c r="L362">
        <v>2262.09</v>
      </c>
    </row>
    <row r="363" spans="1:12" x14ac:dyDescent="0.25">
      <c r="A363" t="s">
        <v>406</v>
      </c>
      <c r="B363" s="1">
        <v>45424.362500000003</v>
      </c>
      <c r="C363" t="s">
        <v>13</v>
      </c>
      <c r="D363" t="s">
        <v>14</v>
      </c>
      <c r="E363" t="s">
        <v>44</v>
      </c>
      <c r="F363" t="s">
        <v>41</v>
      </c>
      <c r="G363">
        <v>4819.3</v>
      </c>
      <c r="H363" t="s">
        <v>34</v>
      </c>
      <c r="I363" t="s">
        <v>78</v>
      </c>
      <c r="J363">
        <v>2.1</v>
      </c>
      <c r="K363">
        <v>0</v>
      </c>
      <c r="L363">
        <v>0</v>
      </c>
    </row>
    <row r="364" spans="1:12" x14ac:dyDescent="0.25">
      <c r="A364" t="s">
        <v>407</v>
      </c>
      <c r="B364" s="1">
        <v>45425.209027777775</v>
      </c>
      <c r="C364" t="s">
        <v>58</v>
      </c>
      <c r="D364" t="s">
        <v>25</v>
      </c>
      <c r="E364" t="s">
        <v>15</v>
      </c>
      <c r="F364" t="s">
        <v>45</v>
      </c>
      <c r="G364">
        <v>3742.91</v>
      </c>
      <c r="H364" t="s">
        <v>22</v>
      </c>
      <c r="J364">
        <v>2.5</v>
      </c>
      <c r="K364">
        <v>93.57</v>
      </c>
      <c r="L364">
        <v>3649.34</v>
      </c>
    </row>
    <row r="365" spans="1:12" x14ac:dyDescent="0.25">
      <c r="A365" t="s">
        <v>408</v>
      </c>
      <c r="B365" s="1">
        <v>45425.279166666667</v>
      </c>
      <c r="C365" t="s">
        <v>37</v>
      </c>
      <c r="D365" t="s">
        <v>38</v>
      </c>
      <c r="E365" t="s">
        <v>44</v>
      </c>
      <c r="F365" t="s">
        <v>21</v>
      </c>
      <c r="G365">
        <v>1984.97</v>
      </c>
      <c r="H365" t="s">
        <v>22</v>
      </c>
      <c r="J365">
        <v>2.1</v>
      </c>
      <c r="K365">
        <v>41.68</v>
      </c>
      <c r="L365">
        <v>1943.29</v>
      </c>
    </row>
    <row r="366" spans="1:12" x14ac:dyDescent="0.25">
      <c r="A366" t="s">
        <v>409</v>
      </c>
      <c r="B366" s="1">
        <v>45425.480555555558</v>
      </c>
      <c r="C366" t="s">
        <v>43</v>
      </c>
      <c r="D366" t="s">
        <v>25</v>
      </c>
      <c r="E366" t="s">
        <v>15</v>
      </c>
      <c r="F366" t="s">
        <v>41</v>
      </c>
      <c r="G366">
        <v>4016.05</v>
      </c>
      <c r="H366" t="s">
        <v>34</v>
      </c>
      <c r="I366" t="s">
        <v>62</v>
      </c>
      <c r="J366">
        <v>2.5</v>
      </c>
      <c r="K366">
        <v>0</v>
      </c>
      <c r="L366">
        <v>0</v>
      </c>
    </row>
    <row r="367" spans="1:12" x14ac:dyDescent="0.25">
      <c r="A367" t="s">
        <v>410</v>
      </c>
      <c r="B367" s="1">
        <v>45425.749305555553</v>
      </c>
      <c r="C367" t="s">
        <v>19</v>
      </c>
      <c r="D367" t="s">
        <v>20</v>
      </c>
      <c r="E367" t="s">
        <v>33</v>
      </c>
      <c r="F367" t="s">
        <v>16</v>
      </c>
      <c r="G367">
        <v>1483.01</v>
      </c>
      <c r="H367" t="s">
        <v>22</v>
      </c>
      <c r="J367">
        <v>1.9</v>
      </c>
      <c r="K367">
        <v>28.18</v>
      </c>
      <c r="L367">
        <v>1454.83</v>
      </c>
    </row>
    <row r="368" spans="1:12" x14ac:dyDescent="0.25">
      <c r="A368" t="s">
        <v>411</v>
      </c>
      <c r="B368" s="1">
        <v>45425.762499999997</v>
      </c>
      <c r="C368" t="s">
        <v>43</v>
      </c>
      <c r="D368" t="s">
        <v>25</v>
      </c>
      <c r="E368" t="s">
        <v>28</v>
      </c>
      <c r="F368" t="s">
        <v>16</v>
      </c>
      <c r="G368">
        <v>277.85000000000002</v>
      </c>
      <c r="H368" t="s">
        <v>17</v>
      </c>
      <c r="J368">
        <v>2.9</v>
      </c>
      <c r="K368">
        <v>0</v>
      </c>
      <c r="L368">
        <v>0</v>
      </c>
    </row>
    <row r="369" spans="1:12" x14ac:dyDescent="0.25">
      <c r="A369" t="s">
        <v>412</v>
      </c>
      <c r="B369" s="1">
        <v>45425.864583333336</v>
      </c>
      <c r="C369" t="s">
        <v>47</v>
      </c>
      <c r="D369" t="s">
        <v>25</v>
      </c>
      <c r="E369" t="s">
        <v>44</v>
      </c>
      <c r="F369" t="s">
        <v>29</v>
      </c>
      <c r="G369">
        <v>2591.29</v>
      </c>
      <c r="H369" t="s">
        <v>22</v>
      </c>
      <c r="J369">
        <v>2.1</v>
      </c>
      <c r="K369">
        <v>54.42</v>
      </c>
      <c r="L369">
        <v>2536.87</v>
      </c>
    </row>
    <row r="370" spans="1:12" x14ac:dyDescent="0.25">
      <c r="A370" t="s">
        <v>413</v>
      </c>
      <c r="B370" s="1">
        <v>45426.100694444445</v>
      </c>
      <c r="C370" t="s">
        <v>13</v>
      </c>
      <c r="D370" t="s">
        <v>14</v>
      </c>
      <c r="E370" t="s">
        <v>15</v>
      </c>
      <c r="F370" t="s">
        <v>29</v>
      </c>
      <c r="G370">
        <v>3812.54</v>
      </c>
      <c r="H370" t="s">
        <v>34</v>
      </c>
      <c r="I370" t="s">
        <v>100</v>
      </c>
      <c r="J370">
        <v>2.5</v>
      </c>
      <c r="K370">
        <v>0</v>
      </c>
      <c r="L370">
        <v>0</v>
      </c>
    </row>
    <row r="371" spans="1:12" x14ac:dyDescent="0.25">
      <c r="A371" t="s">
        <v>414</v>
      </c>
      <c r="B371" s="1">
        <v>45426.251388888886</v>
      </c>
      <c r="C371" t="s">
        <v>60</v>
      </c>
      <c r="D371" t="s">
        <v>25</v>
      </c>
      <c r="E371" t="s">
        <v>15</v>
      </c>
      <c r="F371" t="s">
        <v>45</v>
      </c>
      <c r="G371">
        <v>1439.57</v>
      </c>
      <c r="H371" t="s">
        <v>17</v>
      </c>
      <c r="J371">
        <v>2.5</v>
      </c>
      <c r="K371">
        <v>0</v>
      </c>
      <c r="L371">
        <v>0</v>
      </c>
    </row>
    <row r="372" spans="1:12" x14ac:dyDescent="0.25">
      <c r="A372" t="s">
        <v>415</v>
      </c>
      <c r="B372" s="1">
        <v>45426.95416666667</v>
      </c>
      <c r="C372" t="s">
        <v>27</v>
      </c>
      <c r="D372" t="s">
        <v>25</v>
      </c>
      <c r="E372" t="s">
        <v>28</v>
      </c>
      <c r="F372" t="s">
        <v>16</v>
      </c>
      <c r="G372">
        <v>3093.84</v>
      </c>
      <c r="H372" t="s">
        <v>17</v>
      </c>
      <c r="J372">
        <v>2.9</v>
      </c>
      <c r="K372">
        <v>0</v>
      </c>
      <c r="L372">
        <v>0</v>
      </c>
    </row>
    <row r="373" spans="1:12" x14ac:dyDescent="0.25">
      <c r="A373" t="s">
        <v>416</v>
      </c>
      <c r="B373" s="1">
        <v>45427.047222222223</v>
      </c>
      <c r="C373" t="s">
        <v>58</v>
      </c>
      <c r="D373" t="s">
        <v>25</v>
      </c>
      <c r="E373" t="s">
        <v>33</v>
      </c>
      <c r="F373" t="s">
        <v>41</v>
      </c>
      <c r="G373">
        <v>3730.87</v>
      </c>
      <c r="H373" t="s">
        <v>34</v>
      </c>
      <c r="I373" t="s">
        <v>55</v>
      </c>
      <c r="J373">
        <v>1.9</v>
      </c>
      <c r="K373">
        <v>0</v>
      </c>
      <c r="L373">
        <v>0</v>
      </c>
    </row>
    <row r="374" spans="1:12" x14ac:dyDescent="0.25">
      <c r="A374" t="s">
        <v>417</v>
      </c>
      <c r="B374" s="1">
        <v>45428.220833333333</v>
      </c>
      <c r="C374" t="s">
        <v>47</v>
      </c>
      <c r="D374" t="s">
        <v>25</v>
      </c>
      <c r="E374" t="s">
        <v>44</v>
      </c>
      <c r="F374" t="s">
        <v>41</v>
      </c>
      <c r="G374">
        <v>3456.07</v>
      </c>
      <c r="H374" t="s">
        <v>22</v>
      </c>
      <c r="J374">
        <v>2.1</v>
      </c>
      <c r="K374">
        <v>72.58</v>
      </c>
      <c r="L374">
        <v>3383.49</v>
      </c>
    </row>
    <row r="375" spans="1:12" x14ac:dyDescent="0.25">
      <c r="A375" t="s">
        <v>418</v>
      </c>
      <c r="B375" s="1">
        <v>45429.197916666664</v>
      </c>
      <c r="C375" t="s">
        <v>43</v>
      </c>
      <c r="D375" t="s">
        <v>25</v>
      </c>
      <c r="E375" t="s">
        <v>28</v>
      </c>
      <c r="F375" t="s">
        <v>29</v>
      </c>
      <c r="G375">
        <v>460.08</v>
      </c>
      <c r="H375" t="s">
        <v>22</v>
      </c>
      <c r="J375">
        <v>2.9</v>
      </c>
      <c r="K375">
        <v>13.34</v>
      </c>
      <c r="L375">
        <v>446.74</v>
      </c>
    </row>
    <row r="376" spans="1:12" x14ac:dyDescent="0.25">
      <c r="A376" t="s">
        <v>419</v>
      </c>
      <c r="B376" s="1">
        <v>45429.776388888888</v>
      </c>
      <c r="C376" t="s">
        <v>58</v>
      </c>
      <c r="D376" t="s">
        <v>25</v>
      </c>
      <c r="E376" t="s">
        <v>28</v>
      </c>
      <c r="F376" t="s">
        <v>16</v>
      </c>
      <c r="G376">
        <v>4056.86</v>
      </c>
      <c r="H376" t="s">
        <v>17</v>
      </c>
      <c r="J376">
        <v>2.9</v>
      </c>
      <c r="K376">
        <v>0</v>
      </c>
      <c r="L376">
        <v>0</v>
      </c>
    </row>
    <row r="377" spans="1:12" x14ac:dyDescent="0.25">
      <c r="A377" t="s">
        <v>420</v>
      </c>
      <c r="B377" s="1">
        <v>45429.976388888892</v>
      </c>
      <c r="C377" t="s">
        <v>19</v>
      </c>
      <c r="D377" t="s">
        <v>20</v>
      </c>
      <c r="E377" t="s">
        <v>28</v>
      </c>
      <c r="F377" t="s">
        <v>29</v>
      </c>
      <c r="G377">
        <v>2214.17</v>
      </c>
      <c r="H377" t="s">
        <v>34</v>
      </c>
      <c r="I377" t="s">
        <v>55</v>
      </c>
      <c r="J377">
        <v>2.9</v>
      </c>
      <c r="K377">
        <v>0</v>
      </c>
      <c r="L377">
        <v>0</v>
      </c>
    </row>
    <row r="378" spans="1:12" x14ac:dyDescent="0.25">
      <c r="A378" t="s">
        <v>421</v>
      </c>
      <c r="B378" s="1">
        <v>45430.197916666664</v>
      </c>
      <c r="C378" t="s">
        <v>47</v>
      </c>
      <c r="D378" t="s">
        <v>25</v>
      </c>
      <c r="E378" t="s">
        <v>33</v>
      </c>
      <c r="F378" t="s">
        <v>29</v>
      </c>
      <c r="G378">
        <v>864.66</v>
      </c>
      <c r="H378" t="s">
        <v>22</v>
      </c>
      <c r="J378">
        <v>1.9</v>
      </c>
      <c r="K378">
        <v>16.43</v>
      </c>
      <c r="L378">
        <v>848.23</v>
      </c>
    </row>
    <row r="379" spans="1:12" x14ac:dyDescent="0.25">
      <c r="A379" t="s">
        <v>422</v>
      </c>
      <c r="B379" s="1">
        <v>45430.315972222219</v>
      </c>
      <c r="C379" t="s">
        <v>58</v>
      </c>
      <c r="D379" t="s">
        <v>25</v>
      </c>
      <c r="E379" t="s">
        <v>15</v>
      </c>
      <c r="F379" t="s">
        <v>29</v>
      </c>
      <c r="G379">
        <v>737.76</v>
      </c>
      <c r="H379" t="s">
        <v>22</v>
      </c>
      <c r="J379">
        <v>2.5</v>
      </c>
      <c r="K379">
        <v>18.440000000000001</v>
      </c>
      <c r="L379">
        <v>719.32</v>
      </c>
    </row>
    <row r="380" spans="1:12" x14ac:dyDescent="0.25">
      <c r="A380" t="s">
        <v>423</v>
      </c>
      <c r="B380" s="1">
        <v>45431.160416666666</v>
      </c>
      <c r="C380" t="s">
        <v>37</v>
      </c>
      <c r="D380" t="s">
        <v>38</v>
      </c>
      <c r="E380" t="s">
        <v>15</v>
      </c>
      <c r="F380" t="s">
        <v>16</v>
      </c>
      <c r="G380">
        <v>3719.11</v>
      </c>
      <c r="H380" t="s">
        <v>34</v>
      </c>
      <c r="I380" t="s">
        <v>62</v>
      </c>
      <c r="J380">
        <v>2.5</v>
      </c>
      <c r="K380">
        <v>0</v>
      </c>
      <c r="L380">
        <v>0</v>
      </c>
    </row>
    <row r="381" spans="1:12" x14ac:dyDescent="0.25">
      <c r="A381" t="s">
        <v>424</v>
      </c>
      <c r="B381" s="1">
        <v>45431.285416666666</v>
      </c>
      <c r="C381" t="s">
        <v>31</v>
      </c>
      <c r="D381" t="s">
        <v>32</v>
      </c>
      <c r="E381" t="s">
        <v>39</v>
      </c>
      <c r="F381" t="s">
        <v>29</v>
      </c>
      <c r="G381">
        <v>3658.28</v>
      </c>
      <c r="H381" t="s">
        <v>22</v>
      </c>
      <c r="J381">
        <v>3.2</v>
      </c>
      <c r="K381">
        <v>117.06</v>
      </c>
      <c r="L381">
        <v>3541.22</v>
      </c>
    </row>
    <row r="382" spans="1:12" x14ac:dyDescent="0.25">
      <c r="A382" t="s">
        <v>425</v>
      </c>
      <c r="B382" s="1">
        <v>45431.401388888888</v>
      </c>
      <c r="C382" t="s">
        <v>24</v>
      </c>
      <c r="D382" t="s">
        <v>25</v>
      </c>
      <c r="E382" t="s">
        <v>39</v>
      </c>
      <c r="F382" t="s">
        <v>29</v>
      </c>
      <c r="G382">
        <v>3440.61</v>
      </c>
      <c r="H382" t="s">
        <v>22</v>
      </c>
      <c r="J382">
        <v>3.2</v>
      </c>
      <c r="K382">
        <v>110.1</v>
      </c>
      <c r="L382">
        <v>3330.51</v>
      </c>
    </row>
    <row r="383" spans="1:12" x14ac:dyDescent="0.25">
      <c r="A383" t="s">
        <v>426</v>
      </c>
      <c r="B383" s="1">
        <v>45431.69027777778</v>
      </c>
      <c r="C383" t="s">
        <v>43</v>
      </c>
      <c r="D383" t="s">
        <v>25</v>
      </c>
      <c r="E383" t="s">
        <v>15</v>
      </c>
      <c r="F383" t="s">
        <v>41</v>
      </c>
      <c r="G383">
        <v>2994.2</v>
      </c>
      <c r="H383" t="s">
        <v>34</v>
      </c>
      <c r="I383" t="s">
        <v>62</v>
      </c>
      <c r="J383">
        <v>2.5</v>
      </c>
      <c r="K383">
        <v>0</v>
      </c>
      <c r="L383">
        <v>0</v>
      </c>
    </row>
    <row r="384" spans="1:12" x14ac:dyDescent="0.25">
      <c r="A384" t="s">
        <v>427</v>
      </c>
      <c r="B384" s="1">
        <v>45433.044444444444</v>
      </c>
      <c r="C384" t="s">
        <v>37</v>
      </c>
      <c r="D384" t="s">
        <v>38</v>
      </c>
      <c r="E384" t="s">
        <v>39</v>
      </c>
      <c r="F384" t="s">
        <v>16</v>
      </c>
      <c r="G384">
        <v>2436.27</v>
      </c>
      <c r="H384" t="s">
        <v>17</v>
      </c>
      <c r="J384">
        <v>3.2</v>
      </c>
      <c r="K384">
        <v>0</v>
      </c>
      <c r="L384">
        <v>0</v>
      </c>
    </row>
    <row r="385" spans="1:12" x14ac:dyDescent="0.25">
      <c r="A385" t="s">
        <v>428</v>
      </c>
      <c r="B385" s="1">
        <v>45433.554861111108</v>
      </c>
      <c r="C385" t="s">
        <v>43</v>
      </c>
      <c r="D385" t="s">
        <v>25</v>
      </c>
      <c r="E385" t="s">
        <v>28</v>
      </c>
      <c r="F385" t="s">
        <v>21</v>
      </c>
      <c r="G385">
        <v>1265.98</v>
      </c>
      <c r="H385" t="s">
        <v>22</v>
      </c>
      <c r="J385">
        <v>2.9</v>
      </c>
      <c r="K385">
        <v>36.71</v>
      </c>
      <c r="L385">
        <v>1229.27</v>
      </c>
    </row>
    <row r="386" spans="1:12" x14ac:dyDescent="0.25">
      <c r="A386" t="s">
        <v>429</v>
      </c>
      <c r="B386" s="1">
        <v>45433.572222222225</v>
      </c>
      <c r="C386" t="s">
        <v>37</v>
      </c>
      <c r="D386" t="s">
        <v>38</v>
      </c>
      <c r="E386" t="s">
        <v>39</v>
      </c>
      <c r="F386" t="s">
        <v>29</v>
      </c>
      <c r="G386">
        <v>3905.85</v>
      </c>
      <c r="H386" t="s">
        <v>22</v>
      </c>
      <c r="J386">
        <v>3.2</v>
      </c>
      <c r="K386">
        <v>124.99</v>
      </c>
      <c r="L386">
        <v>3780.86</v>
      </c>
    </row>
    <row r="387" spans="1:12" x14ac:dyDescent="0.25">
      <c r="A387" t="s">
        <v>430</v>
      </c>
      <c r="B387" s="1">
        <v>45435.206250000003</v>
      </c>
      <c r="C387" t="s">
        <v>13</v>
      </c>
      <c r="D387" t="s">
        <v>14</v>
      </c>
      <c r="E387" t="s">
        <v>44</v>
      </c>
      <c r="F387" t="s">
        <v>21</v>
      </c>
      <c r="G387">
        <v>3670.39</v>
      </c>
      <c r="H387" t="s">
        <v>22</v>
      </c>
      <c r="J387">
        <v>2.1</v>
      </c>
      <c r="K387">
        <v>77.08</v>
      </c>
      <c r="L387">
        <v>3593.31</v>
      </c>
    </row>
    <row r="388" spans="1:12" x14ac:dyDescent="0.25">
      <c r="A388" t="s">
        <v>431</v>
      </c>
      <c r="B388" s="1">
        <v>45435.62222222222</v>
      </c>
      <c r="C388" t="s">
        <v>27</v>
      </c>
      <c r="D388" t="s">
        <v>25</v>
      </c>
      <c r="E388" t="s">
        <v>28</v>
      </c>
      <c r="F388" t="s">
        <v>45</v>
      </c>
      <c r="G388">
        <v>3099.69</v>
      </c>
      <c r="H388" t="s">
        <v>22</v>
      </c>
      <c r="J388">
        <v>2.9</v>
      </c>
      <c r="K388">
        <v>89.89</v>
      </c>
      <c r="L388">
        <v>3009.8</v>
      </c>
    </row>
    <row r="389" spans="1:12" x14ac:dyDescent="0.25">
      <c r="A389" t="s">
        <v>432</v>
      </c>
      <c r="B389" s="1">
        <v>45435.662499999999</v>
      </c>
      <c r="C389" t="s">
        <v>31</v>
      </c>
      <c r="D389" t="s">
        <v>32</v>
      </c>
      <c r="E389" t="s">
        <v>44</v>
      </c>
      <c r="F389" t="s">
        <v>29</v>
      </c>
      <c r="G389">
        <v>1509.4</v>
      </c>
      <c r="H389" t="s">
        <v>34</v>
      </c>
      <c r="I389" t="s">
        <v>62</v>
      </c>
      <c r="J389">
        <v>2.1</v>
      </c>
      <c r="K389">
        <v>0</v>
      </c>
      <c r="L389">
        <v>0</v>
      </c>
    </row>
    <row r="390" spans="1:12" x14ac:dyDescent="0.25">
      <c r="A390" t="s">
        <v>433</v>
      </c>
      <c r="B390" s="1">
        <v>45436.010416666664</v>
      </c>
      <c r="C390" t="s">
        <v>58</v>
      </c>
      <c r="D390" t="s">
        <v>25</v>
      </c>
      <c r="E390" t="s">
        <v>33</v>
      </c>
      <c r="F390" t="s">
        <v>16</v>
      </c>
      <c r="G390">
        <v>3129.82</v>
      </c>
      <c r="H390" t="s">
        <v>34</v>
      </c>
      <c r="I390" t="s">
        <v>55</v>
      </c>
      <c r="J390">
        <v>1.9</v>
      </c>
      <c r="K390">
        <v>0</v>
      </c>
      <c r="L390">
        <v>0</v>
      </c>
    </row>
    <row r="391" spans="1:12" x14ac:dyDescent="0.25">
      <c r="A391" t="s">
        <v>434</v>
      </c>
      <c r="B391" s="1">
        <v>45436.159722222219</v>
      </c>
      <c r="C391" t="s">
        <v>31</v>
      </c>
      <c r="D391" t="s">
        <v>32</v>
      </c>
      <c r="E391" t="s">
        <v>15</v>
      </c>
      <c r="F391" t="s">
        <v>29</v>
      </c>
      <c r="G391">
        <v>3048.92</v>
      </c>
      <c r="H391" t="s">
        <v>22</v>
      </c>
      <c r="J391">
        <v>2.5</v>
      </c>
      <c r="K391">
        <v>76.22</v>
      </c>
      <c r="L391">
        <v>2972.7</v>
      </c>
    </row>
    <row r="392" spans="1:12" x14ac:dyDescent="0.25">
      <c r="A392" t="s">
        <v>435</v>
      </c>
      <c r="B392" s="1">
        <v>45436.484722222223</v>
      </c>
      <c r="C392" t="s">
        <v>19</v>
      </c>
      <c r="D392" t="s">
        <v>20</v>
      </c>
      <c r="E392" t="s">
        <v>44</v>
      </c>
      <c r="F392" t="s">
        <v>45</v>
      </c>
      <c r="G392">
        <v>523.63</v>
      </c>
      <c r="H392" t="s">
        <v>22</v>
      </c>
      <c r="J392">
        <v>2.1</v>
      </c>
      <c r="K392">
        <v>11</v>
      </c>
      <c r="L392">
        <v>512.63</v>
      </c>
    </row>
    <row r="393" spans="1:12" x14ac:dyDescent="0.25">
      <c r="A393" t="s">
        <v>436</v>
      </c>
      <c r="B393" s="1">
        <v>45436.6</v>
      </c>
      <c r="C393" t="s">
        <v>58</v>
      </c>
      <c r="D393" t="s">
        <v>25</v>
      </c>
      <c r="E393" t="s">
        <v>28</v>
      </c>
      <c r="F393" t="s">
        <v>16</v>
      </c>
      <c r="G393">
        <v>790.05</v>
      </c>
      <c r="H393" t="s">
        <v>22</v>
      </c>
      <c r="J393">
        <v>2.9</v>
      </c>
      <c r="K393">
        <v>22.91</v>
      </c>
      <c r="L393">
        <v>767.14</v>
      </c>
    </row>
    <row r="394" spans="1:12" x14ac:dyDescent="0.25">
      <c r="A394" t="s">
        <v>437</v>
      </c>
      <c r="B394" s="1">
        <v>45437.01666666667</v>
      </c>
      <c r="C394" t="s">
        <v>60</v>
      </c>
      <c r="D394" t="s">
        <v>25</v>
      </c>
      <c r="E394" t="s">
        <v>44</v>
      </c>
      <c r="F394" t="s">
        <v>45</v>
      </c>
      <c r="G394">
        <v>3901.35</v>
      </c>
      <c r="H394" t="s">
        <v>22</v>
      </c>
      <c r="J394">
        <v>2.1</v>
      </c>
      <c r="K394">
        <v>81.93</v>
      </c>
      <c r="L394">
        <v>3819.42</v>
      </c>
    </row>
    <row r="395" spans="1:12" x14ac:dyDescent="0.25">
      <c r="A395" t="s">
        <v>438</v>
      </c>
      <c r="B395" s="1">
        <v>45437.472222222219</v>
      </c>
      <c r="C395" t="s">
        <v>13</v>
      </c>
      <c r="D395" t="s">
        <v>14</v>
      </c>
      <c r="E395" t="s">
        <v>15</v>
      </c>
      <c r="F395" t="s">
        <v>16</v>
      </c>
      <c r="G395">
        <v>4449.2700000000004</v>
      </c>
      <c r="H395" t="s">
        <v>34</v>
      </c>
      <c r="I395" t="s">
        <v>100</v>
      </c>
      <c r="J395">
        <v>2.5</v>
      </c>
      <c r="K395">
        <v>0</v>
      </c>
      <c r="L395">
        <v>0</v>
      </c>
    </row>
    <row r="396" spans="1:12" x14ac:dyDescent="0.25">
      <c r="A396" t="s">
        <v>439</v>
      </c>
      <c r="B396" s="1">
        <v>45437.794444444444</v>
      </c>
      <c r="C396" t="s">
        <v>24</v>
      </c>
      <c r="D396" t="s">
        <v>25</v>
      </c>
      <c r="E396" t="s">
        <v>39</v>
      </c>
      <c r="F396" t="s">
        <v>16</v>
      </c>
      <c r="G396">
        <v>2258.7199999999998</v>
      </c>
      <c r="H396" t="s">
        <v>17</v>
      </c>
      <c r="J396">
        <v>3.2</v>
      </c>
      <c r="K396">
        <v>0</v>
      </c>
      <c r="L396">
        <v>0</v>
      </c>
    </row>
    <row r="397" spans="1:12" x14ac:dyDescent="0.25">
      <c r="A397" t="s">
        <v>440</v>
      </c>
      <c r="B397" s="1">
        <v>45437.865972222222</v>
      </c>
      <c r="C397" t="s">
        <v>13</v>
      </c>
      <c r="D397" t="s">
        <v>14</v>
      </c>
      <c r="E397" t="s">
        <v>39</v>
      </c>
      <c r="F397" t="s">
        <v>16</v>
      </c>
      <c r="G397">
        <v>948.12</v>
      </c>
      <c r="H397" t="s">
        <v>22</v>
      </c>
      <c r="J397">
        <v>3.2</v>
      </c>
      <c r="K397">
        <v>30.34</v>
      </c>
      <c r="L397">
        <v>917.78</v>
      </c>
    </row>
    <row r="398" spans="1:12" x14ac:dyDescent="0.25">
      <c r="A398" t="s">
        <v>441</v>
      </c>
      <c r="B398" s="1">
        <v>45438.611111111109</v>
      </c>
      <c r="C398" t="s">
        <v>27</v>
      </c>
      <c r="D398" t="s">
        <v>25</v>
      </c>
      <c r="E398" t="s">
        <v>44</v>
      </c>
      <c r="F398" t="s">
        <v>21</v>
      </c>
      <c r="G398">
        <v>2114.86</v>
      </c>
      <c r="H398" t="s">
        <v>17</v>
      </c>
      <c r="J398">
        <v>2.1</v>
      </c>
      <c r="K398">
        <v>0</v>
      </c>
      <c r="L398">
        <v>0</v>
      </c>
    </row>
    <row r="399" spans="1:12" x14ac:dyDescent="0.25">
      <c r="A399" t="s">
        <v>442</v>
      </c>
      <c r="B399" s="1">
        <v>45438.628472222219</v>
      </c>
      <c r="C399" t="s">
        <v>27</v>
      </c>
      <c r="D399" t="s">
        <v>25</v>
      </c>
      <c r="E399" t="s">
        <v>33</v>
      </c>
      <c r="F399" t="s">
        <v>41</v>
      </c>
      <c r="G399">
        <v>4258.71</v>
      </c>
      <c r="H399" t="s">
        <v>22</v>
      </c>
      <c r="J399">
        <v>1.9</v>
      </c>
      <c r="K399">
        <v>80.92</v>
      </c>
      <c r="L399">
        <v>4177.79</v>
      </c>
    </row>
    <row r="400" spans="1:12" x14ac:dyDescent="0.25">
      <c r="A400" t="s">
        <v>443</v>
      </c>
      <c r="B400" s="1">
        <v>45439.01458333333</v>
      </c>
      <c r="C400" t="s">
        <v>31</v>
      </c>
      <c r="D400" t="s">
        <v>32</v>
      </c>
      <c r="E400" t="s">
        <v>39</v>
      </c>
      <c r="F400" t="s">
        <v>16</v>
      </c>
      <c r="G400">
        <v>2361.2399999999998</v>
      </c>
      <c r="H400" t="s">
        <v>22</v>
      </c>
      <c r="J400">
        <v>3.2</v>
      </c>
      <c r="K400">
        <v>75.56</v>
      </c>
      <c r="L400">
        <v>2285.6799999999998</v>
      </c>
    </row>
    <row r="401" spans="1:12" x14ac:dyDescent="0.25">
      <c r="A401" t="s">
        <v>444</v>
      </c>
      <c r="B401" s="1">
        <v>45439.6</v>
      </c>
      <c r="C401" t="s">
        <v>37</v>
      </c>
      <c r="D401" t="s">
        <v>38</v>
      </c>
      <c r="E401" t="s">
        <v>33</v>
      </c>
      <c r="F401" t="s">
        <v>41</v>
      </c>
      <c r="G401">
        <v>495.85</v>
      </c>
      <c r="H401" t="s">
        <v>17</v>
      </c>
      <c r="J401">
        <v>1.9</v>
      </c>
      <c r="K401">
        <v>0</v>
      </c>
      <c r="L401">
        <v>0</v>
      </c>
    </row>
    <row r="402" spans="1:12" x14ac:dyDescent="0.25">
      <c r="A402" t="s">
        <v>445</v>
      </c>
      <c r="B402" s="1">
        <v>45439.804861111108</v>
      </c>
      <c r="C402" t="s">
        <v>37</v>
      </c>
      <c r="D402" t="s">
        <v>38</v>
      </c>
      <c r="E402" t="s">
        <v>28</v>
      </c>
      <c r="F402" t="s">
        <v>45</v>
      </c>
      <c r="G402">
        <v>2541.9899999999998</v>
      </c>
      <c r="H402" t="s">
        <v>22</v>
      </c>
      <c r="J402">
        <v>2.9</v>
      </c>
      <c r="K402">
        <v>73.72</v>
      </c>
      <c r="L402">
        <v>2468.27</v>
      </c>
    </row>
    <row r="403" spans="1:12" x14ac:dyDescent="0.25">
      <c r="A403" t="s">
        <v>446</v>
      </c>
      <c r="B403" s="1">
        <v>45439.966666666667</v>
      </c>
      <c r="C403" t="s">
        <v>43</v>
      </c>
      <c r="D403" t="s">
        <v>25</v>
      </c>
      <c r="E403" t="s">
        <v>39</v>
      </c>
      <c r="F403" t="s">
        <v>16</v>
      </c>
      <c r="G403">
        <v>1168.19</v>
      </c>
      <c r="H403" t="s">
        <v>22</v>
      </c>
      <c r="J403">
        <v>3.2</v>
      </c>
      <c r="K403">
        <v>37.380000000000003</v>
      </c>
      <c r="L403">
        <v>1130.81</v>
      </c>
    </row>
    <row r="404" spans="1:12" x14ac:dyDescent="0.25">
      <c r="A404" t="s">
        <v>447</v>
      </c>
      <c r="B404" s="1">
        <v>45440.506249999999</v>
      </c>
      <c r="C404" t="s">
        <v>27</v>
      </c>
      <c r="D404" t="s">
        <v>25</v>
      </c>
      <c r="E404" t="s">
        <v>39</v>
      </c>
      <c r="F404" t="s">
        <v>41</v>
      </c>
      <c r="G404">
        <v>2384.5100000000002</v>
      </c>
      <c r="H404" t="s">
        <v>22</v>
      </c>
      <c r="J404">
        <v>3.2</v>
      </c>
      <c r="K404">
        <v>76.3</v>
      </c>
      <c r="L404">
        <v>2308.21</v>
      </c>
    </row>
    <row r="405" spans="1:12" x14ac:dyDescent="0.25">
      <c r="A405" t="s">
        <v>448</v>
      </c>
      <c r="B405" s="1">
        <v>45440.602083333331</v>
      </c>
      <c r="C405" t="s">
        <v>31</v>
      </c>
      <c r="D405" t="s">
        <v>32</v>
      </c>
      <c r="E405" t="s">
        <v>15</v>
      </c>
      <c r="F405" t="s">
        <v>21</v>
      </c>
      <c r="G405">
        <v>751.55</v>
      </c>
      <c r="H405" t="s">
        <v>22</v>
      </c>
      <c r="J405">
        <v>2.5</v>
      </c>
      <c r="K405">
        <v>18.79</v>
      </c>
      <c r="L405">
        <v>732.76</v>
      </c>
    </row>
    <row r="406" spans="1:12" x14ac:dyDescent="0.25">
      <c r="A406" t="s">
        <v>449</v>
      </c>
      <c r="B406" s="1">
        <v>45440.615277777775</v>
      </c>
      <c r="C406" t="s">
        <v>13</v>
      </c>
      <c r="D406" t="s">
        <v>14</v>
      </c>
      <c r="E406" t="s">
        <v>33</v>
      </c>
      <c r="F406" t="s">
        <v>45</v>
      </c>
      <c r="G406">
        <v>1695.8</v>
      </c>
      <c r="H406" t="s">
        <v>22</v>
      </c>
      <c r="J406">
        <v>1.9</v>
      </c>
      <c r="K406">
        <v>32.22</v>
      </c>
      <c r="L406">
        <v>1663.58</v>
      </c>
    </row>
    <row r="407" spans="1:12" x14ac:dyDescent="0.25">
      <c r="A407" t="s">
        <v>450</v>
      </c>
      <c r="B407" s="1">
        <v>45441.25277777778</v>
      </c>
      <c r="C407" t="s">
        <v>60</v>
      </c>
      <c r="D407" t="s">
        <v>25</v>
      </c>
      <c r="E407" t="s">
        <v>44</v>
      </c>
      <c r="F407" t="s">
        <v>45</v>
      </c>
      <c r="G407">
        <v>3226.91</v>
      </c>
      <c r="H407" t="s">
        <v>34</v>
      </c>
      <c r="I407" t="s">
        <v>100</v>
      </c>
      <c r="J407">
        <v>2.1</v>
      </c>
      <c r="K407">
        <v>0</v>
      </c>
      <c r="L407">
        <v>0</v>
      </c>
    </row>
    <row r="408" spans="1:12" x14ac:dyDescent="0.25">
      <c r="A408" t="s">
        <v>451</v>
      </c>
      <c r="B408" s="1">
        <v>45441.558333333334</v>
      </c>
      <c r="C408" t="s">
        <v>31</v>
      </c>
      <c r="D408" t="s">
        <v>32</v>
      </c>
      <c r="E408" t="s">
        <v>33</v>
      </c>
      <c r="F408" t="s">
        <v>29</v>
      </c>
      <c r="G408">
        <v>2864.08</v>
      </c>
      <c r="H408" t="s">
        <v>22</v>
      </c>
      <c r="J408">
        <v>1.9</v>
      </c>
      <c r="K408">
        <v>54.42</v>
      </c>
      <c r="L408">
        <v>2809.66</v>
      </c>
    </row>
    <row r="409" spans="1:12" x14ac:dyDescent="0.25">
      <c r="A409" t="s">
        <v>452</v>
      </c>
      <c r="B409" s="1">
        <v>45441.600694444445</v>
      </c>
      <c r="C409" t="s">
        <v>47</v>
      </c>
      <c r="D409" t="s">
        <v>25</v>
      </c>
      <c r="E409" t="s">
        <v>39</v>
      </c>
      <c r="F409" t="s">
        <v>16</v>
      </c>
      <c r="G409">
        <v>840.77</v>
      </c>
      <c r="H409" t="s">
        <v>22</v>
      </c>
      <c r="J409">
        <v>3.2</v>
      </c>
      <c r="K409">
        <v>26.9</v>
      </c>
      <c r="L409">
        <v>813.87</v>
      </c>
    </row>
    <row r="410" spans="1:12" x14ac:dyDescent="0.25">
      <c r="A410" t="s">
        <v>453</v>
      </c>
      <c r="B410" s="1">
        <v>45441.988888888889</v>
      </c>
      <c r="C410" t="s">
        <v>43</v>
      </c>
      <c r="D410" t="s">
        <v>25</v>
      </c>
      <c r="E410" t="s">
        <v>33</v>
      </c>
      <c r="F410" t="s">
        <v>29</v>
      </c>
      <c r="G410">
        <v>1636.17</v>
      </c>
      <c r="H410" t="s">
        <v>22</v>
      </c>
      <c r="J410">
        <v>1.9</v>
      </c>
      <c r="K410">
        <v>31.09</v>
      </c>
      <c r="L410">
        <v>1605.08</v>
      </c>
    </row>
    <row r="411" spans="1:12" x14ac:dyDescent="0.25">
      <c r="A411" t="s">
        <v>454</v>
      </c>
      <c r="B411" s="1">
        <v>45442.145833333336</v>
      </c>
      <c r="C411" t="s">
        <v>27</v>
      </c>
      <c r="D411" t="s">
        <v>25</v>
      </c>
      <c r="E411" t="s">
        <v>39</v>
      </c>
      <c r="F411" t="s">
        <v>45</v>
      </c>
      <c r="G411">
        <v>3816.96</v>
      </c>
      <c r="H411" t="s">
        <v>22</v>
      </c>
      <c r="J411">
        <v>3.2</v>
      </c>
      <c r="K411">
        <v>122.14</v>
      </c>
      <c r="L411">
        <v>3694.82</v>
      </c>
    </row>
    <row r="412" spans="1:12" x14ac:dyDescent="0.25">
      <c r="A412" t="s">
        <v>455</v>
      </c>
      <c r="B412" s="1">
        <v>45442.571527777778</v>
      </c>
      <c r="C412" t="s">
        <v>13</v>
      </c>
      <c r="D412" t="s">
        <v>14</v>
      </c>
      <c r="E412" t="s">
        <v>44</v>
      </c>
      <c r="F412" t="s">
        <v>16</v>
      </c>
      <c r="G412">
        <v>1740.03</v>
      </c>
      <c r="H412" t="s">
        <v>34</v>
      </c>
      <c r="I412" t="s">
        <v>78</v>
      </c>
      <c r="J412">
        <v>2.1</v>
      </c>
      <c r="K412">
        <v>0</v>
      </c>
      <c r="L412">
        <v>0</v>
      </c>
    </row>
    <row r="413" spans="1:12" x14ac:dyDescent="0.25">
      <c r="A413" t="s">
        <v>456</v>
      </c>
      <c r="B413" s="1">
        <v>45443.356944444444</v>
      </c>
      <c r="C413" t="s">
        <v>37</v>
      </c>
      <c r="D413" t="s">
        <v>38</v>
      </c>
      <c r="E413" t="s">
        <v>15</v>
      </c>
      <c r="F413" t="s">
        <v>41</v>
      </c>
      <c r="G413">
        <v>3881.83</v>
      </c>
      <c r="H413" t="s">
        <v>17</v>
      </c>
      <c r="J413">
        <v>2.5</v>
      </c>
      <c r="K413">
        <v>0</v>
      </c>
      <c r="L413">
        <v>0</v>
      </c>
    </row>
    <row r="414" spans="1:12" x14ac:dyDescent="0.25">
      <c r="A414" t="s">
        <v>457</v>
      </c>
      <c r="B414" s="1">
        <v>45443.449305555558</v>
      </c>
      <c r="C414" t="s">
        <v>58</v>
      </c>
      <c r="D414" t="s">
        <v>25</v>
      </c>
      <c r="E414" t="s">
        <v>44</v>
      </c>
      <c r="F414" t="s">
        <v>29</v>
      </c>
      <c r="G414">
        <v>669.48</v>
      </c>
      <c r="H414" t="s">
        <v>17</v>
      </c>
      <c r="J414">
        <v>2.1</v>
      </c>
      <c r="K414">
        <v>0</v>
      </c>
      <c r="L414">
        <v>0</v>
      </c>
    </row>
    <row r="415" spans="1:12" x14ac:dyDescent="0.25">
      <c r="A415" t="s">
        <v>458</v>
      </c>
      <c r="B415" s="1">
        <v>45443.835416666669</v>
      </c>
      <c r="C415" t="s">
        <v>24</v>
      </c>
      <c r="D415" t="s">
        <v>25</v>
      </c>
      <c r="E415" t="s">
        <v>15</v>
      </c>
      <c r="F415" t="s">
        <v>16</v>
      </c>
      <c r="G415">
        <v>572.59</v>
      </c>
      <c r="H415" t="s">
        <v>34</v>
      </c>
      <c r="I415" t="s">
        <v>100</v>
      </c>
      <c r="J415">
        <v>2.5</v>
      </c>
      <c r="K415">
        <v>0</v>
      </c>
      <c r="L415">
        <v>0</v>
      </c>
    </row>
    <row r="416" spans="1:12" x14ac:dyDescent="0.25">
      <c r="A416" t="s">
        <v>459</v>
      </c>
      <c r="B416" s="1">
        <v>45444.061111111114</v>
      </c>
      <c r="C416" t="s">
        <v>47</v>
      </c>
      <c r="D416" t="s">
        <v>25</v>
      </c>
      <c r="E416" t="s">
        <v>39</v>
      </c>
      <c r="F416" t="s">
        <v>41</v>
      </c>
      <c r="G416">
        <v>2200.96</v>
      </c>
      <c r="H416" t="s">
        <v>22</v>
      </c>
      <c r="J416">
        <v>3.2</v>
      </c>
      <c r="K416">
        <v>70.430000000000007</v>
      </c>
      <c r="L416">
        <v>2130.5300000000002</v>
      </c>
    </row>
    <row r="417" spans="1:12" x14ac:dyDescent="0.25">
      <c r="A417" t="s">
        <v>460</v>
      </c>
      <c r="B417" s="1">
        <v>45444.775694444441</v>
      </c>
      <c r="C417" t="s">
        <v>43</v>
      </c>
      <c r="D417" t="s">
        <v>25</v>
      </c>
      <c r="E417" t="s">
        <v>44</v>
      </c>
      <c r="F417" t="s">
        <v>16</v>
      </c>
      <c r="G417">
        <v>2697.52</v>
      </c>
      <c r="H417" t="s">
        <v>22</v>
      </c>
      <c r="J417">
        <v>2.1</v>
      </c>
      <c r="K417">
        <v>56.65</v>
      </c>
      <c r="L417">
        <v>2640.87</v>
      </c>
    </row>
    <row r="418" spans="1:12" x14ac:dyDescent="0.25">
      <c r="A418" t="s">
        <v>461</v>
      </c>
      <c r="B418" s="1">
        <v>45444.879166666666</v>
      </c>
      <c r="C418" t="s">
        <v>43</v>
      </c>
      <c r="D418" t="s">
        <v>25</v>
      </c>
      <c r="E418" t="s">
        <v>28</v>
      </c>
      <c r="F418" t="s">
        <v>21</v>
      </c>
      <c r="G418">
        <v>4941.92</v>
      </c>
      <c r="H418" t="s">
        <v>22</v>
      </c>
      <c r="J418">
        <v>2.9</v>
      </c>
      <c r="K418">
        <v>143.32</v>
      </c>
      <c r="L418">
        <v>4798.6000000000004</v>
      </c>
    </row>
    <row r="419" spans="1:12" x14ac:dyDescent="0.25">
      <c r="A419" t="s">
        <v>462</v>
      </c>
      <c r="B419" s="1">
        <v>45445.239583333336</v>
      </c>
      <c r="C419" t="s">
        <v>27</v>
      </c>
      <c r="D419" t="s">
        <v>25</v>
      </c>
      <c r="E419" t="s">
        <v>39</v>
      </c>
      <c r="F419" t="s">
        <v>45</v>
      </c>
      <c r="G419">
        <v>1128.97</v>
      </c>
      <c r="H419" t="s">
        <v>22</v>
      </c>
      <c r="J419">
        <v>3.2</v>
      </c>
      <c r="K419">
        <v>36.130000000000003</v>
      </c>
      <c r="L419">
        <v>1092.8399999999999</v>
      </c>
    </row>
    <row r="420" spans="1:12" x14ac:dyDescent="0.25">
      <c r="A420" t="s">
        <v>463</v>
      </c>
      <c r="B420" s="1">
        <v>45445.357638888891</v>
      </c>
      <c r="C420" t="s">
        <v>19</v>
      </c>
      <c r="D420" t="s">
        <v>20</v>
      </c>
      <c r="E420" t="s">
        <v>28</v>
      </c>
      <c r="F420" t="s">
        <v>16</v>
      </c>
      <c r="G420">
        <v>503.88</v>
      </c>
      <c r="H420" t="s">
        <v>22</v>
      </c>
      <c r="J420">
        <v>2.9</v>
      </c>
      <c r="K420">
        <v>14.61</v>
      </c>
      <c r="L420">
        <v>489.27</v>
      </c>
    </row>
    <row r="421" spans="1:12" x14ac:dyDescent="0.25">
      <c r="A421" t="s">
        <v>464</v>
      </c>
      <c r="B421" s="1">
        <v>45445.404166666667</v>
      </c>
      <c r="C421" t="s">
        <v>19</v>
      </c>
      <c r="D421" t="s">
        <v>20</v>
      </c>
      <c r="E421" t="s">
        <v>44</v>
      </c>
      <c r="F421" t="s">
        <v>16</v>
      </c>
      <c r="G421">
        <v>2603.14</v>
      </c>
      <c r="H421" t="s">
        <v>22</v>
      </c>
      <c r="J421">
        <v>2.1</v>
      </c>
      <c r="K421">
        <v>54.67</v>
      </c>
      <c r="L421">
        <v>2548.4699999999998</v>
      </c>
    </row>
    <row r="422" spans="1:12" x14ac:dyDescent="0.25">
      <c r="A422" t="s">
        <v>465</v>
      </c>
      <c r="B422" s="1">
        <v>45445.443055555559</v>
      </c>
      <c r="C422" t="s">
        <v>24</v>
      </c>
      <c r="D422" t="s">
        <v>25</v>
      </c>
      <c r="E422" t="s">
        <v>15</v>
      </c>
      <c r="F422" t="s">
        <v>21</v>
      </c>
      <c r="G422">
        <v>896.41</v>
      </c>
      <c r="H422" t="s">
        <v>34</v>
      </c>
      <c r="I422" t="s">
        <v>62</v>
      </c>
      <c r="J422">
        <v>2.5</v>
      </c>
      <c r="K422">
        <v>0</v>
      </c>
      <c r="L422">
        <v>0</v>
      </c>
    </row>
    <row r="423" spans="1:12" x14ac:dyDescent="0.25">
      <c r="A423" t="s">
        <v>466</v>
      </c>
      <c r="B423" s="1">
        <v>45445.870138888888</v>
      </c>
      <c r="C423" t="s">
        <v>43</v>
      </c>
      <c r="D423" t="s">
        <v>25</v>
      </c>
      <c r="E423" t="s">
        <v>28</v>
      </c>
      <c r="F423" t="s">
        <v>21</v>
      </c>
      <c r="G423">
        <v>2091.61</v>
      </c>
      <c r="H423" t="s">
        <v>34</v>
      </c>
      <c r="I423" t="s">
        <v>35</v>
      </c>
      <c r="J423">
        <v>2.9</v>
      </c>
      <c r="K423">
        <v>0</v>
      </c>
      <c r="L423">
        <v>0</v>
      </c>
    </row>
    <row r="424" spans="1:12" x14ac:dyDescent="0.25">
      <c r="A424" t="s">
        <v>467</v>
      </c>
      <c r="B424" s="1">
        <v>45446.03125</v>
      </c>
      <c r="C424" t="s">
        <v>13</v>
      </c>
      <c r="D424" t="s">
        <v>14</v>
      </c>
      <c r="E424" t="s">
        <v>44</v>
      </c>
      <c r="F424" t="s">
        <v>21</v>
      </c>
      <c r="G424">
        <v>237.12</v>
      </c>
      <c r="H424" t="s">
        <v>22</v>
      </c>
      <c r="J424">
        <v>2.1</v>
      </c>
      <c r="K424">
        <v>4.9800000000000004</v>
      </c>
      <c r="L424">
        <v>232.14</v>
      </c>
    </row>
    <row r="425" spans="1:12" x14ac:dyDescent="0.25">
      <c r="A425" t="s">
        <v>468</v>
      </c>
      <c r="B425" s="1">
        <v>45446.124305555553</v>
      </c>
      <c r="C425" t="s">
        <v>24</v>
      </c>
      <c r="D425" t="s">
        <v>25</v>
      </c>
      <c r="E425" t="s">
        <v>39</v>
      </c>
      <c r="F425" t="s">
        <v>29</v>
      </c>
      <c r="G425">
        <v>4298.49</v>
      </c>
      <c r="H425" t="s">
        <v>22</v>
      </c>
      <c r="J425">
        <v>3.2</v>
      </c>
      <c r="K425">
        <v>137.55000000000001</v>
      </c>
      <c r="L425">
        <v>4160.9399999999996</v>
      </c>
    </row>
    <row r="426" spans="1:12" x14ac:dyDescent="0.25">
      <c r="A426" t="s">
        <v>469</v>
      </c>
      <c r="B426" s="1">
        <v>45446.195833333331</v>
      </c>
      <c r="C426" t="s">
        <v>13</v>
      </c>
      <c r="D426" t="s">
        <v>14</v>
      </c>
      <c r="E426" t="s">
        <v>44</v>
      </c>
      <c r="F426" t="s">
        <v>16</v>
      </c>
      <c r="G426">
        <v>1509.5</v>
      </c>
      <c r="H426" t="s">
        <v>22</v>
      </c>
      <c r="J426">
        <v>2.1</v>
      </c>
      <c r="K426">
        <v>31.7</v>
      </c>
      <c r="L426">
        <v>1477.8</v>
      </c>
    </row>
    <row r="427" spans="1:12" x14ac:dyDescent="0.25">
      <c r="A427" t="s">
        <v>470</v>
      </c>
      <c r="B427" s="1">
        <v>45446.272916666669</v>
      </c>
      <c r="C427" t="s">
        <v>47</v>
      </c>
      <c r="D427" t="s">
        <v>25</v>
      </c>
      <c r="E427" t="s">
        <v>44</v>
      </c>
      <c r="F427" t="s">
        <v>41</v>
      </c>
      <c r="G427">
        <v>1877.34</v>
      </c>
      <c r="H427" t="s">
        <v>22</v>
      </c>
      <c r="J427">
        <v>2.1</v>
      </c>
      <c r="K427">
        <v>39.42</v>
      </c>
      <c r="L427">
        <v>1837.92</v>
      </c>
    </row>
    <row r="428" spans="1:12" x14ac:dyDescent="0.25">
      <c r="A428" t="s">
        <v>471</v>
      </c>
      <c r="B428" s="1">
        <v>45447.629861111112</v>
      </c>
      <c r="C428" t="s">
        <v>31</v>
      </c>
      <c r="D428" t="s">
        <v>32</v>
      </c>
      <c r="E428" t="s">
        <v>44</v>
      </c>
      <c r="F428" t="s">
        <v>45</v>
      </c>
      <c r="G428">
        <v>686.96</v>
      </c>
      <c r="H428" t="s">
        <v>34</v>
      </c>
      <c r="I428" t="s">
        <v>62</v>
      </c>
      <c r="J428">
        <v>2.1</v>
      </c>
      <c r="K428">
        <v>0</v>
      </c>
      <c r="L428">
        <v>0</v>
      </c>
    </row>
    <row r="429" spans="1:12" x14ac:dyDescent="0.25">
      <c r="A429" t="s">
        <v>472</v>
      </c>
      <c r="B429" s="1">
        <v>45448.900694444441</v>
      </c>
      <c r="C429" t="s">
        <v>37</v>
      </c>
      <c r="D429" t="s">
        <v>38</v>
      </c>
      <c r="E429" t="s">
        <v>15</v>
      </c>
      <c r="F429" t="s">
        <v>45</v>
      </c>
      <c r="G429">
        <v>2659.3</v>
      </c>
      <c r="H429" t="s">
        <v>34</v>
      </c>
      <c r="I429" t="s">
        <v>100</v>
      </c>
      <c r="J429">
        <v>2.5</v>
      </c>
      <c r="K429">
        <v>0</v>
      </c>
      <c r="L429">
        <v>0</v>
      </c>
    </row>
    <row r="430" spans="1:12" x14ac:dyDescent="0.25">
      <c r="A430" t="s">
        <v>473</v>
      </c>
      <c r="B430" s="1">
        <v>45449.175694444442</v>
      </c>
      <c r="C430" t="s">
        <v>27</v>
      </c>
      <c r="D430" t="s">
        <v>25</v>
      </c>
      <c r="E430" t="s">
        <v>28</v>
      </c>
      <c r="F430" t="s">
        <v>16</v>
      </c>
      <c r="G430">
        <v>3457.18</v>
      </c>
      <c r="H430" t="s">
        <v>22</v>
      </c>
      <c r="J430">
        <v>2.9</v>
      </c>
      <c r="K430">
        <v>100.26</v>
      </c>
      <c r="L430">
        <v>3356.92</v>
      </c>
    </row>
    <row r="431" spans="1:12" x14ac:dyDescent="0.25">
      <c r="A431" t="s">
        <v>474</v>
      </c>
      <c r="B431" s="1">
        <v>45449.497916666667</v>
      </c>
      <c r="C431" t="s">
        <v>60</v>
      </c>
      <c r="D431" t="s">
        <v>25</v>
      </c>
      <c r="E431" t="s">
        <v>39</v>
      </c>
      <c r="F431" t="s">
        <v>29</v>
      </c>
      <c r="G431">
        <v>3413.51</v>
      </c>
      <c r="H431" t="s">
        <v>22</v>
      </c>
      <c r="J431">
        <v>3.2</v>
      </c>
      <c r="K431">
        <v>109.23</v>
      </c>
      <c r="L431">
        <v>3304.28</v>
      </c>
    </row>
    <row r="432" spans="1:12" x14ac:dyDescent="0.25">
      <c r="A432" t="s">
        <v>475</v>
      </c>
      <c r="B432" s="1">
        <v>45449.50277777778</v>
      </c>
      <c r="C432" t="s">
        <v>19</v>
      </c>
      <c r="D432" t="s">
        <v>20</v>
      </c>
      <c r="E432" t="s">
        <v>28</v>
      </c>
      <c r="F432" t="s">
        <v>45</v>
      </c>
      <c r="G432">
        <v>3859</v>
      </c>
      <c r="H432" t="s">
        <v>34</v>
      </c>
      <c r="I432" t="s">
        <v>62</v>
      </c>
      <c r="J432">
        <v>2.9</v>
      </c>
      <c r="K432">
        <v>0</v>
      </c>
      <c r="L432">
        <v>0</v>
      </c>
    </row>
    <row r="433" spans="1:12" x14ac:dyDescent="0.25">
      <c r="A433" t="s">
        <v>476</v>
      </c>
      <c r="B433" s="1">
        <v>45449.625694444447</v>
      </c>
      <c r="C433" t="s">
        <v>31</v>
      </c>
      <c r="D433" t="s">
        <v>32</v>
      </c>
      <c r="E433" t="s">
        <v>15</v>
      </c>
      <c r="F433" t="s">
        <v>45</v>
      </c>
      <c r="G433">
        <v>2291.58</v>
      </c>
      <c r="H433" t="s">
        <v>22</v>
      </c>
      <c r="J433">
        <v>2.5</v>
      </c>
      <c r="K433">
        <v>57.29</v>
      </c>
      <c r="L433">
        <v>2234.29</v>
      </c>
    </row>
    <row r="434" spans="1:12" x14ac:dyDescent="0.25">
      <c r="A434" t="s">
        <v>477</v>
      </c>
      <c r="B434" s="1">
        <v>45450.105555555558</v>
      </c>
      <c r="C434" t="s">
        <v>24</v>
      </c>
      <c r="D434" t="s">
        <v>25</v>
      </c>
      <c r="E434" t="s">
        <v>44</v>
      </c>
      <c r="F434" t="s">
        <v>45</v>
      </c>
      <c r="G434">
        <v>1640.48</v>
      </c>
      <c r="H434" t="s">
        <v>17</v>
      </c>
      <c r="J434">
        <v>2.1</v>
      </c>
      <c r="K434">
        <v>0</v>
      </c>
      <c r="L434">
        <v>0</v>
      </c>
    </row>
    <row r="435" spans="1:12" x14ac:dyDescent="0.25">
      <c r="A435" t="s">
        <v>478</v>
      </c>
      <c r="B435" s="1">
        <v>45450.217361111114</v>
      </c>
      <c r="C435" t="s">
        <v>37</v>
      </c>
      <c r="D435" t="s">
        <v>38</v>
      </c>
      <c r="E435" t="s">
        <v>15</v>
      </c>
      <c r="F435" t="s">
        <v>29</v>
      </c>
      <c r="G435">
        <v>1140.45</v>
      </c>
      <c r="H435" t="s">
        <v>22</v>
      </c>
      <c r="J435">
        <v>2.5</v>
      </c>
      <c r="K435">
        <v>28.51</v>
      </c>
      <c r="L435">
        <v>1111.94</v>
      </c>
    </row>
    <row r="436" spans="1:12" x14ac:dyDescent="0.25">
      <c r="A436" t="s">
        <v>479</v>
      </c>
      <c r="B436" s="1">
        <v>45450.935416666667</v>
      </c>
      <c r="C436" t="s">
        <v>24</v>
      </c>
      <c r="D436" t="s">
        <v>25</v>
      </c>
      <c r="E436" t="s">
        <v>28</v>
      </c>
      <c r="F436" t="s">
        <v>29</v>
      </c>
      <c r="G436">
        <v>440.2</v>
      </c>
      <c r="H436" t="s">
        <v>34</v>
      </c>
      <c r="I436" t="s">
        <v>78</v>
      </c>
      <c r="J436">
        <v>2.9</v>
      </c>
      <c r="K436">
        <v>0</v>
      </c>
      <c r="L436">
        <v>0</v>
      </c>
    </row>
    <row r="437" spans="1:12" x14ac:dyDescent="0.25">
      <c r="A437" t="s">
        <v>480</v>
      </c>
      <c r="B437" s="1">
        <v>45450.947916666664</v>
      </c>
      <c r="C437" t="s">
        <v>13</v>
      </c>
      <c r="D437" t="s">
        <v>14</v>
      </c>
      <c r="E437" t="s">
        <v>44</v>
      </c>
      <c r="F437" t="s">
        <v>16</v>
      </c>
      <c r="G437">
        <v>4978.47</v>
      </c>
      <c r="H437" t="s">
        <v>22</v>
      </c>
      <c r="J437">
        <v>2.1</v>
      </c>
      <c r="K437">
        <v>104.55</v>
      </c>
      <c r="L437">
        <v>4873.92</v>
      </c>
    </row>
    <row r="438" spans="1:12" x14ac:dyDescent="0.25">
      <c r="A438" t="s">
        <v>481</v>
      </c>
      <c r="B438" s="1">
        <v>45451.932638888888</v>
      </c>
      <c r="C438" t="s">
        <v>27</v>
      </c>
      <c r="D438" t="s">
        <v>25</v>
      </c>
      <c r="E438" t="s">
        <v>15</v>
      </c>
      <c r="F438" t="s">
        <v>45</v>
      </c>
      <c r="G438">
        <v>2620.37</v>
      </c>
      <c r="H438" t="s">
        <v>22</v>
      </c>
      <c r="J438">
        <v>2.5</v>
      </c>
      <c r="K438">
        <v>65.510000000000005</v>
      </c>
      <c r="L438">
        <v>2554.86</v>
      </c>
    </row>
    <row r="439" spans="1:12" x14ac:dyDescent="0.25">
      <c r="A439" t="s">
        <v>482</v>
      </c>
      <c r="B439" s="1">
        <v>45453.083333333336</v>
      </c>
      <c r="C439" t="s">
        <v>43</v>
      </c>
      <c r="D439" t="s">
        <v>25</v>
      </c>
      <c r="E439" t="s">
        <v>33</v>
      </c>
      <c r="F439" t="s">
        <v>45</v>
      </c>
      <c r="G439">
        <v>4980.5200000000004</v>
      </c>
      <c r="H439" t="s">
        <v>22</v>
      </c>
      <c r="J439">
        <v>1.9</v>
      </c>
      <c r="K439">
        <v>94.63</v>
      </c>
      <c r="L439">
        <v>4885.8900000000003</v>
      </c>
    </row>
    <row r="440" spans="1:12" x14ac:dyDescent="0.25">
      <c r="A440" t="s">
        <v>483</v>
      </c>
      <c r="B440" s="1">
        <v>45453.146527777775</v>
      </c>
      <c r="C440" t="s">
        <v>60</v>
      </c>
      <c r="D440" t="s">
        <v>25</v>
      </c>
      <c r="E440" t="s">
        <v>28</v>
      </c>
      <c r="F440" t="s">
        <v>16</v>
      </c>
      <c r="G440">
        <v>2067.5700000000002</v>
      </c>
      <c r="H440" t="s">
        <v>17</v>
      </c>
      <c r="J440">
        <v>2.9</v>
      </c>
      <c r="K440">
        <v>0</v>
      </c>
      <c r="L440">
        <v>0</v>
      </c>
    </row>
    <row r="441" spans="1:12" x14ac:dyDescent="0.25">
      <c r="A441" t="s">
        <v>484</v>
      </c>
      <c r="B441" s="1">
        <v>45453.157638888886</v>
      </c>
      <c r="C441" t="s">
        <v>13</v>
      </c>
      <c r="D441" t="s">
        <v>14</v>
      </c>
      <c r="E441" t="s">
        <v>44</v>
      </c>
      <c r="F441" t="s">
        <v>29</v>
      </c>
      <c r="G441">
        <v>1089.76</v>
      </c>
      <c r="H441" t="s">
        <v>34</v>
      </c>
      <c r="I441" t="s">
        <v>62</v>
      </c>
      <c r="J441">
        <v>2.1</v>
      </c>
      <c r="K441">
        <v>0</v>
      </c>
      <c r="L441">
        <v>0</v>
      </c>
    </row>
    <row r="442" spans="1:12" x14ac:dyDescent="0.25">
      <c r="A442" t="s">
        <v>485</v>
      </c>
      <c r="B442" s="1">
        <v>45453.722222222219</v>
      </c>
      <c r="C442" t="s">
        <v>37</v>
      </c>
      <c r="D442" t="s">
        <v>38</v>
      </c>
      <c r="E442" t="s">
        <v>15</v>
      </c>
      <c r="F442" t="s">
        <v>16</v>
      </c>
      <c r="G442">
        <v>4132.51</v>
      </c>
      <c r="H442" t="s">
        <v>22</v>
      </c>
      <c r="J442">
        <v>2.5</v>
      </c>
      <c r="K442">
        <v>103.31</v>
      </c>
      <c r="L442">
        <v>4029.2</v>
      </c>
    </row>
    <row r="443" spans="1:12" x14ac:dyDescent="0.25">
      <c r="A443" t="s">
        <v>486</v>
      </c>
      <c r="B443" s="1">
        <v>45453.910416666666</v>
      </c>
      <c r="C443" t="s">
        <v>47</v>
      </c>
      <c r="D443" t="s">
        <v>25</v>
      </c>
      <c r="E443" t="s">
        <v>39</v>
      </c>
      <c r="F443" t="s">
        <v>21</v>
      </c>
      <c r="G443">
        <v>488.21</v>
      </c>
      <c r="H443" t="s">
        <v>17</v>
      </c>
      <c r="J443">
        <v>3.2</v>
      </c>
      <c r="K443">
        <v>0</v>
      </c>
      <c r="L443">
        <v>0</v>
      </c>
    </row>
    <row r="444" spans="1:12" x14ac:dyDescent="0.25">
      <c r="A444" t="s">
        <v>487</v>
      </c>
      <c r="B444" s="1">
        <v>45453.916666666664</v>
      </c>
      <c r="C444" t="s">
        <v>60</v>
      </c>
      <c r="D444" t="s">
        <v>25</v>
      </c>
      <c r="E444" t="s">
        <v>44</v>
      </c>
      <c r="F444" t="s">
        <v>16</v>
      </c>
      <c r="G444">
        <v>2909.23</v>
      </c>
      <c r="H444" t="s">
        <v>22</v>
      </c>
      <c r="J444">
        <v>2.1</v>
      </c>
      <c r="K444">
        <v>61.09</v>
      </c>
      <c r="L444">
        <v>2848.14</v>
      </c>
    </row>
    <row r="445" spans="1:12" x14ac:dyDescent="0.25">
      <c r="A445" t="s">
        <v>488</v>
      </c>
      <c r="B445" s="1">
        <v>45454.107638888891</v>
      </c>
      <c r="C445" t="s">
        <v>13</v>
      </c>
      <c r="D445" t="s">
        <v>14</v>
      </c>
      <c r="E445" t="s">
        <v>28</v>
      </c>
      <c r="F445" t="s">
        <v>29</v>
      </c>
      <c r="G445">
        <v>1594.81</v>
      </c>
      <c r="H445" t="s">
        <v>22</v>
      </c>
      <c r="J445">
        <v>2.9</v>
      </c>
      <c r="K445">
        <v>46.25</v>
      </c>
      <c r="L445">
        <v>1548.56</v>
      </c>
    </row>
    <row r="446" spans="1:12" x14ac:dyDescent="0.25">
      <c r="A446" t="s">
        <v>489</v>
      </c>
      <c r="B446" s="1">
        <v>45454.595138888886</v>
      </c>
      <c r="C446" t="s">
        <v>24</v>
      </c>
      <c r="D446" t="s">
        <v>25</v>
      </c>
      <c r="E446" t="s">
        <v>28</v>
      </c>
      <c r="F446" t="s">
        <v>29</v>
      </c>
      <c r="G446">
        <v>689.2</v>
      </c>
      <c r="H446" t="s">
        <v>17</v>
      </c>
      <c r="J446">
        <v>2.9</v>
      </c>
      <c r="K446">
        <v>0</v>
      </c>
      <c r="L446">
        <v>0</v>
      </c>
    </row>
    <row r="447" spans="1:12" x14ac:dyDescent="0.25">
      <c r="A447" t="s">
        <v>490</v>
      </c>
      <c r="B447" s="1">
        <v>45454.755555555559</v>
      </c>
      <c r="C447" t="s">
        <v>43</v>
      </c>
      <c r="D447" t="s">
        <v>25</v>
      </c>
      <c r="E447" t="s">
        <v>39</v>
      </c>
      <c r="F447" t="s">
        <v>21</v>
      </c>
      <c r="G447">
        <v>930.64</v>
      </c>
      <c r="H447" t="s">
        <v>17</v>
      </c>
      <c r="J447">
        <v>3.2</v>
      </c>
      <c r="K447">
        <v>0</v>
      </c>
      <c r="L447">
        <v>0</v>
      </c>
    </row>
    <row r="448" spans="1:12" x14ac:dyDescent="0.25">
      <c r="A448" t="s">
        <v>491</v>
      </c>
      <c r="B448" s="1">
        <v>45455.55972222222</v>
      </c>
      <c r="C448" t="s">
        <v>47</v>
      </c>
      <c r="D448" t="s">
        <v>25</v>
      </c>
      <c r="E448" t="s">
        <v>15</v>
      </c>
      <c r="F448" t="s">
        <v>21</v>
      </c>
      <c r="G448">
        <v>768.27</v>
      </c>
      <c r="H448" t="s">
        <v>22</v>
      </c>
      <c r="J448">
        <v>2.5</v>
      </c>
      <c r="K448">
        <v>19.21</v>
      </c>
      <c r="L448">
        <v>749.06</v>
      </c>
    </row>
    <row r="449" spans="1:12" x14ac:dyDescent="0.25">
      <c r="A449" t="s">
        <v>492</v>
      </c>
      <c r="B449" s="1">
        <v>45455.604166666664</v>
      </c>
      <c r="C449" t="s">
        <v>27</v>
      </c>
      <c r="D449" t="s">
        <v>25</v>
      </c>
      <c r="E449" t="s">
        <v>39</v>
      </c>
      <c r="F449" t="s">
        <v>29</v>
      </c>
      <c r="G449">
        <v>3440.46</v>
      </c>
      <c r="H449" t="s">
        <v>22</v>
      </c>
      <c r="J449">
        <v>3.2</v>
      </c>
      <c r="K449">
        <v>110.09</v>
      </c>
      <c r="L449">
        <v>3330.37</v>
      </c>
    </row>
    <row r="450" spans="1:12" x14ac:dyDescent="0.25">
      <c r="A450" t="s">
        <v>493</v>
      </c>
      <c r="B450" s="1">
        <v>45455.73333333333</v>
      </c>
      <c r="C450" t="s">
        <v>27</v>
      </c>
      <c r="D450" t="s">
        <v>25</v>
      </c>
      <c r="E450" t="s">
        <v>39</v>
      </c>
      <c r="F450" t="s">
        <v>45</v>
      </c>
      <c r="G450">
        <v>3491.87</v>
      </c>
      <c r="H450" t="s">
        <v>22</v>
      </c>
      <c r="J450">
        <v>3.2</v>
      </c>
      <c r="K450">
        <v>111.74</v>
      </c>
      <c r="L450">
        <v>3380.13</v>
      </c>
    </row>
    <row r="451" spans="1:12" x14ac:dyDescent="0.25">
      <c r="A451" t="s">
        <v>494</v>
      </c>
      <c r="B451" s="1">
        <v>45455.93472222222</v>
      </c>
      <c r="C451" t="s">
        <v>58</v>
      </c>
      <c r="D451" t="s">
        <v>25</v>
      </c>
      <c r="E451" t="s">
        <v>44</v>
      </c>
      <c r="F451" t="s">
        <v>21</v>
      </c>
      <c r="G451">
        <v>1888.54</v>
      </c>
      <c r="H451" t="s">
        <v>17</v>
      </c>
      <c r="J451">
        <v>2.1</v>
      </c>
      <c r="K451">
        <v>0</v>
      </c>
      <c r="L451">
        <v>0</v>
      </c>
    </row>
    <row r="452" spans="1:12" x14ac:dyDescent="0.25">
      <c r="A452" t="s">
        <v>495</v>
      </c>
      <c r="B452" s="1">
        <v>45456.283333333333</v>
      </c>
      <c r="C452" t="s">
        <v>60</v>
      </c>
      <c r="D452" t="s">
        <v>25</v>
      </c>
      <c r="E452" t="s">
        <v>33</v>
      </c>
      <c r="F452" t="s">
        <v>29</v>
      </c>
      <c r="G452">
        <v>1684.16</v>
      </c>
      <c r="H452" t="s">
        <v>22</v>
      </c>
      <c r="J452">
        <v>1.9</v>
      </c>
      <c r="K452">
        <v>32</v>
      </c>
      <c r="L452">
        <v>1652.16</v>
      </c>
    </row>
    <row r="453" spans="1:12" x14ac:dyDescent="0.25">
      <c r="A453" t="s">
        <v>496</v>
      </c>
      <c r="B453" s="1">
        <v>45456.675000000003</v>
      </c>
      <c r="C453" t="s">
        <v>60</v>
      </c>
      <c r="D453" t="s">
        <v>25</v>
      </c>
      <c r="E453" t="s">
        <v>28</v>
      </c>
      <c r="F453" t="s">
        <v>29</v>
      </c>
      <c r="G453">
        <v>1139.07</v>
      </c>
      <c r="H453" t="s">
        <v>22</v>
      </c>
      <c r="J453">
        <v>2.9</v>
      </c>
      <c r="K453">
        <v>33.03</v>
      </c>
      <c r="L453">
        <v>1106.04</v>
      </c>
    </row>
    <row r="454" spans="1:12" x14ac:dyDescent="0.25">
      <c r="A454" t="s">
        <v>497</v>
      </c>
      <c r="B454" s="1">
        <v>45457.328472222223</v>
      </c>
      <c r="C454" t="s">
        <v>31</v>
      </c>
      <c r="D454" t="s">
        <v>32</v>
      </c>
      <c r="E454" t="s">
        <v>39</v>
      </c>
      <c r="F454" t="s">
        <v>16</v>
      </c>
      <c r="G454">
        <v>1226.8800000000001</v>
      </c>
      <c r="H454" t="s">
        <v>34</v>
      </c>
      <c r="I454" t="s">
        <v>100</v>
      </c>
      <c r="J454">
        <v>3.2</v>
      </c>
      <c r="K454">
        <v>0</v>
      </c>
      <c r="L454">
        <v>0</v>
      </c>
    </row>
    <row r="455" spans="1:12" x14ac:dyDescent="0.25">
      <c r="A455" t="s">
        <v>498</v>
      </c>
      <c r="B455" s="1">
        <v>45458.054166666669</v>
      </c>
      <c r="C455" t="s">
        <v>37</v>
      </c>
      <c r="D455" t="s">
        <v>38</v>
      </c>
      <c r="E455" t="s">
        <v>39</v>
      </c>
      <c r="F455" t="s">
        <v>16</v>
      </c>
      <c r="G455">
        <v>736.39</v>
      </c>
      <c r="H455" t="s">
        <v>17</v>
      </c>
      <c r="J455">
        <v>3.2</v>
      </c>
      <c r="K455">
        <v>0</v>
      </c>
      <c r="L455">
        <v>0</v>
      </c>
    </row>
    <row r="456" spans="1:12" x14ac:dyDescent="0.25">
      <c r="A456" t="s">
        <v>499</v>
      </c>
      <c r="B456" s="1">
        <v>45458.632638888892</v>
      </c>
      <c r="C456" t="s">
        <v>43</v>
      </c>
      <c r="D456" t="s">
        <v>25</v>
      </c>
      <c r="E456" t="s">
        <v>33</v>
      </c>
      <c r="F456" t="s">
        <v>41</v>
      </c>
      <c r="G456">
        <v>2980.2</v>
      </c>
      <c r="H456" t="s">
        <v>22</v>
      </c>
      <c r="J456">
        <v>1.9</v>
      </c>
      <c r="K456">
        <v>56.62</v>
      </c>
      <c r="L456">
        <v>2923.58</v>
      </c>
    </row>
    <row r="457" spans="1:12" x14ac:dyDescent="0.25">
      <c r="A457" t="s">
        <v>500</v>
      </c>
      <c r="B457" s="1">
        <v>45458.990277777775</v>
      </c>
      <c r="C457" t="s">
        <v>19</v>
      </c>
      <c r="D457" t="s">
        <v>20</v>
      </c>
      <c r="E457" t="s">
        <v>44</v>
      </c>
      <c r="F457" t="s">
        <v>29</v>
      </c>
      <c r="G457">
        <v>4317.76</v>
      </c>
      <c r="H457" t="s">
        <v>22</v>
      </c>
      <c r="J457">
        <v>2.1</v>
      </c>
      <c r="K457">
        <v>90.67</v>
      </c>
      <c r="L457">
        <v>4227.09</v>
      </c>
    </row>
    <row r="458" spans="1:12" x14ac:dyDescent="0.25">
      <c r="A458" t="s">
        <v>501</v>
      </c>
      <c r="B458" s="1">
        <v>45459.027777777781</v>
      </c>
      <c r="C458" t="s">
        <v>47</v>
      </c>
      <c r="D458" t="s">
        <v>25</v>
      </c>
      <c r="E458" t="s">
        <v>15</v>
      </c>
      <c r="F458" t="s">
        <v>16</v>
      </c>
      <c r="G458">
        <v>1148.4100000000001</v>
      </c>
      <c r="H458" t="s">
        <v>17</v>
      </c>
      <c r="J458">
        <v>2.5</v>
      </c>
      <c r="K458">
        <v>0</v>
      </c>
      <c r="L458">
        <v>0</v>
      </c>
    </row>
    <row r="459" spans="1:12" x14ac:dyDescent="0.25">
      <c r="A459" t="s">
        <v>502</v>
      </c>
      <c r="B459" s="1">
        <v>45459.567361111112</v>
      </c>
      <c r="C459" t="s">
        <v>24</v>
      </c>
      <c r="D459" t="s">
        <v>25</v>
      </c>
      <c r="E459" t="s">
        <v>33</v>
      </c>
      <c r="F459" t="s">
        <v>29</v>
      </c>
      <c r="G459">
        <v>4569.6400000000003</v>
      </c>
      <c r="H459" t="s">
        <v>22</v>
      </c>
      <c r="J459">
        <v>1.9</v>
      </c>
      <c r="K459">
        <v>86.82</v>
      </c>
      <c r="L459">
        <v>4482.82</v>
      </c>
    </row>
    <row r="460" spans="1:12" x14ac:dyDescent="0.25">
      <c r="A460" t="s">
        <v>503</v>
      </c>
      <c r="B460" s="1">
        <v>45459.692361111112</v>
      </c>
      <c r="C460" t="s">
        <v>24</v>
      </c>
      <c r="D460" t="s">
        <v>25</v>
      </c>
      <c r="E460" t="s">
        <v>39</v>
      </c>
      <c r="F460" t="s">
        <v>16</v>
      </c>
      <c r="G460">
        <v>498.96</v>
      </c>
      <c r="H460" t="s">
        <v>34</v>
      </c>
      <c r="I460" t="s">
        <v>55</v>
      </c>
      <c r="J460">
        <v>3.2</v>
      </c>
      <c r="K460">
        <v>0</v>
      </c>
      <c r="L460">
        <v>0</v>
      </c>
    </row>
    <row r="461" spans="1:12" x14ac:dyDescent="0.25">
      <c r="A461" t="s">
        <v>504</v>
      </c>
      <c r="B461" s="1">
        <v>45460.149305555555</v>
      </c>
      <c r="C461" t="s">
        <v>58</v>
      </c>
      <c r="D461" t="s">
        <v>25</v>
      </c>
      <c r="E461" t="s">
        <v>39</v>
      </c>
      <c r="F461" t="s">
        <v>21</v>
      </c>
      <c r="G461">
        <v>3621.43</v>
      </c>
      <c r="H461" t="s">
        <v>17</v>
      </c>
      <c r="J461">
        <v>3.2</v>
      </c>
      <c r="K461">
        <v>0</v>
      </c>
      <c r="L461">
        <v>0</v>
      </c>
    </row>
    <row r="462" spans="1:12" x14ac:dyDescent="0.25">
      <c r="A462" t="s">
        <v>505</v>
      </c>
      <c r="B462" s="1">
        <v>45461.291666666664</v>
      </c>
      <c r="C462" t="s">
        <v>60</v>
      </c>
      <c r="D462" t="s">
        <v>25</v>
      </c>
      <c r="E462" t="s">
        <v>28</v>
      </c>
      <c r="F462" t="s">
        <v>41</v>
      </c>
      <c r="G462">
        <v>4177.8100000000004</v>
      </c>
      <c r="H462" t="s">
        <v>34</v>
      </c>
      <c r="I462" t="s">
        <v>35</v>
      </c>
      <c r="J462">
        <v>2.9</v>
      </c>
      <c r="K462">
        <v>0</v>
      </c>
      <c r="L462">
        <v>0</v>
      </c>
    </row>
    <row r="463" spans="1:12" x14ac:dyDescent="0.25">
      <c r="A463" t="s">
        <v>506</v>
      </c>
      <c r="B463" s="1">
        <v>45461.488888888889</v>
      </c>
      <c r="C463" t="s">
        <v>43</v>
      </c>
      <c r="D463" t="s">
        <v>25</v>
      </c>
      <c r="E463" t="s">
        <v>39</v>
      </c>
      <c r="F463" t="s">
        <v>21</v>
      </c>
      <c r="G463">
        <v>1264.5</v>
      </c>
      <c r="H463" t="s">
        <v>22</v>
      </c>
      <c r="J463">
        <v>3.2</v>
      </c>
      <c r="K463">
        <v>40.46</v>
      </c>
      <c r="L463">
        <v>1224.04</v>
      </c>
    </row>
    <row r="464" spans="1:12" x14ac:dyDescent="0.25">
      <c r="A464" t="s">
        <v>507</v>
      </c>
      <c r="B464" s="1">
        <v>45462.109027777777</v>
      </c>
      <c r="C464" t="s">
        <v>27</v>
      </c>
      <c r="D464" t="s">
        <v>25</v>
      </c>
      <c r="E464" t="s">
        <v>39</v>
      </c>
      <c r="F464" t="s">
        <v>21</v>
      </c>
      <c r="G464">
        <v>4838.8100000000004</v>
      </c>
      <c r="H464" t="s">
        <v>34</v>
      </c>
      <c r="I464" t="s">
        <v>35</v>
      </c>
      <c r="J464">
        <v>3.2</v>
      </c>
      <c r="K464">
        <v>0</v>
      </c>
      <c r="L464">
        <v>0</v>
      </c>
    </row>
    <row r="465" spans="1:12" x14ac:dyDescent="0.25">
      <c r="A465" t="s">
        <v>508</v>
      </c>
      <c r="B465" s="1">
        <v>45462.642361111109</v>
      </c>
      <c r="C465" t="s">
        <v>27</v>
      </c>
      <c r="D465" t="s">
        <v>25</v>
      </c>
      <c r="E465" t="s">
        <v>28</v>
      </c>
      <c r="F465" t="s">
        <v>21</v>
      </c>
      <c r="G465">
        <v>3424.71</v>
      </c>
      <c r="H465" t="s">
        <v>22</v>
      </c>
      <c r="J465">
        <v>2.9</v>
      </c>
      <c r="K465">
        <v>99.32</v>
      </c>
      <c r="L465">
        <v>3325.39</v>
      </c>
    </row>
    <row r="466" spans="1:12" x14ac:dyDescent="0.25">
      <c r="A466" t="s">
        <v>509</v>
      </c>
      <c r="B466" s="1">
        <v>45463.395138888889</v>
      </c>
      <c r="C466" t="s">
        <v>13</v>
      </c>
      <c r="D466" t="s">
        <v>14</v>
      </c>
      <c r="E466" t="s">
        <v>33</v>
      </c>
      <c r="F466" t="s">
        <v>16</v>
      </c>
      <c r="G466">
        <v>4447.41</v>
      </c>
      <c r="H466" t="s">
        <v>22</v>
      </c>
      <c r="J466">
        <v>1.9</v>
      </c>
      <c r="K466">
        <v>84.5</v>
      </c>
      <c r="L466">
        <v>4362.91</v>
      </c>
    </row>
    <row r="467" spans="1:12" x14ac:dyDescent="0.25">
      <c r="A467" t="s">
        <v>510</v>
      </c>
      <c r="B467" s="1">
        <v>45465.145138888889</v>
      </c>
      <c r="C467" t="s">
        <v>31</v>
      </c>
      <c r="D467" t="s">
        <v>32</v>
      </c>
      <c r="E467" t="s">
        <v>44</v>
      </c>
      <c r="F467" t="s">
        <v>29</v>
      </c>
      <c r="G467">
        <v>4302.1000000000004</v>
      </c>
      <c r="H467" t="s">
        <v>34</v>
      </c>
      <c r="I467" t="s">
        <v>100</v>
      </c>
      <c r="J467">
        <v>2.1</v>
      </c>
      <c r="K467">
        <v>0</v>
      </c>
      <c r="L467">
        <v>0</v>
      </c>
    </row>
    <row r="468" spans="1:12" x14ac:dyDescent="0.25">
      <c r="A468" t="s">
        <v>511</v>
      </c>
      <c r="B468" s="1">
        <v>45465.73541666667</v>
      </c>
      <c r="C468" t="s">
        <v>60</v>
      </c>
      <c r="D468" t="s">
        <v>25</v>
      </c>
      <c r="E468" t="s">
        <v>44</v>
      </c>
      <c r="F468" t="s">
        <v>16</v>
      </c>
      <c r="G468">
        <v>4823.21</v>
      </c>
      <c r="H468" t="s">
        <v>22</v>
      </c>
      <c r="J468">
        <v>2.1</v>
      </c>
      <c r="K468">
        <v>101.29</v>
      </c>
      <c r="L468">
        <v>4721.92</v>
      </c>
    </row>
    <row r="469" spans="1:12" x14ac:dyDescent="0.25">
      <c r="A469" t="s">
        <v>512</v>
      </c>
      <c r="B469" s="1">
        <v>45466.224305555559</v>
      </c>
      <c r="C469" t="s">
        <v>47</v>
      </c>
      <c r="D469" t="s">
        <v>25</v>
      </c>
      <c r="E469" t="s">
        <v>39</v>
      </c>
      <c r="F469" t="s">
        <v>45</v>
      </c>
      <c r="G469">
        <v>2985.16</v>
      </c>
      <c r="H469" t="s">
        <v>22</v>
      </c>
      <c r="J469">
        <v>3.2</v>
      </c>
      <c r="K469">
        <v>95.53</v>
      </c>
      <c r="L469">
        <v>2889.63</v>
      </c>
    </row>
    <row r="470" spans="1:12" x14ac:dyDescent="0.25">
      <c r="A470" t="s">
        <v>513</v>
      </c>
      <c r="B470" s="1">
        <v>45466.495138888888</v>
      </c>
      <c r="C470" t="s">
        <v>47</v>
      </c>
      <c r="D470" t="s">
        <v>25</v>
      </c>
      <c r="E470" t="s">
        <v>33</v>
      </c>
      <c r="F470" t="s">
        <v>45</v>
      </c>
      <c r="G470">
        <v>1875.71</v>
      </c>
      <c r="H470" t="s">
        <v>22</v>
      </c>
      <c r="J470">
        <v>1.9</v>
      </c>
      <c r="K470">
        <v>35.64</v>
      </c>
      <c r="L470">
        <v>1840.07</v>
      </c>
    </row>
    <row r="471" spans="1:12" x14ac:dyDescent="0.25">
      <c r="A471" t="s">
        <v>514</v>
      </c>
      <c r="B471" s="1">
        <v>45466.79791666667</v>
      </c>
      <c r="C471" t="s">
        <v>37</v>
      </c>
      <c r="D471" t="s">
        <v>38</v>
      </c>
      <c r="E471" t="s">
        <v>39</v>
      </c>
      <c r="F471" t="s">
        <v>21</v>
      </c>
      <c r="G471">
        <v>4877.12</v>
      </c>
      <c r="H471" t="s">
        <v>22</v>
      </c>
      <c r="J471">
        <v>3.2</v>
      </c>
      <c r="K471">
        <v>156.07</v>
      </c>
      <c r="L471">
        <v>4721.05</v>
      </c>
    </row>
    <row r="472" spans="1:12" x14ac:dyDescent="0.25">
      <c r="A472" t="s">
        <v>515</v>
      </c>
      <c r="B472" s="1">
        <v>45467.861805555556</v>
      </c>
      <c r="C472" t="s">
        <v>37</v>
      </c>
      <c r="D472" t="s">
        <v>38</v>
      </c>
      <c r="E472" t="s">
        <v>15</v>
      </c>
      <c r="F472" t="s">
        <v>45</v>
      </c>
      <c r="G472">
        <v>3332.62</v>
      </c>
      <c r="H472" t="s">
        <v>17</v>
      </c>
      <c r="J472">
        <v>2.5</v>
      </c>
      <c r="K472">
        <v>0</v>
      </c>
      <c r="L472">
        <v>0</v>
      </c>
    </row>
    <row r="473" spans="1:12" x14ac:dyDescent="0.25">
      <c r="A473" t="s">
        <v>516</v>
      </c>
      <c r="B473" s="1">
        <v>45468.018055555556</v>
      </c>
      <c r="C473" t="s">
        <v>31</v>
      </c>
      <c r="D473" t="s">
        <v>32</v>
      </c>
      <c r="E473" t="s">
        <v>39</v>
      </c>
      <c r="F473" t="s">
        <v>45</v>
      </c>
      <c r="G473">
        <v>1002.8</v>
      </c>
      <c r="H473" t="s">
        <v>17</v>
      </c>
      <c r="J473">
        <v>3.2</v>
      </c>
      <c r="K473">
        <v>0</v>
      </c>
      <c r="L473">
        <v>0</v>
      </c>
    </row>
    <row r="474" spans="1:12" x14ac:dyDescent="0.25">
      <c r="A474" t="s">
        <v>517</v>
      </c>
      <c r="B474" s="1">
        <v>45468.109027777777</v>
      </c>
      <c r="C474" t="s">
        <v>60</v>
      </c>
      <c r="D474" t="s">
        <v>25</v>
      </c>
      <c r="E474" t="s">
        <v>33</v>
      </c>
      <c r="F474" t="s">
        <v>45</v>
      </c>
      <c r="G474">
        <v>2026.95</v>
      </c>
      <c r="H474" t="s">
        <v>22</v>
      </c>
      <c r="J474">
        <v>1.9</v>
      </c>
      <c r="K474">
        <v>38.51</v>
      </c>
      <c r="L474">
        <v>1988.44</v>
      </c>
    </row>
    <row r="475" spans="1:12" x14ac:dyDescent="0.25">
      <c r="A475" t="s">
        <v>518</v>
      </c>
      <c r="B475" s="1">
        <v>45468.323611111111</v>
      </c>
      <c r="C475" t="s">
        <v>31</v>
      </c>
      <c r="D475" t="s">
        <v>32</v>
      </c>
      <c r="E475" t="s">
        <v>33</v>
      </c>
      <c r="F475" t="s">
        <v>21</v>
      </c>
      <c r="G475">
        <v>675.71</v>
      </c>
      <c r="H475" t="s">
        <v>22</v>
      </c>
      <c r="J475">
        <v>1.9</v>
      </c>
      <c r="K475">
        <v>12.84</v>
      </c>
      <c r="L475">
        <v>662.87</v>
      </c>
    </row>
    <row r="476" spans="1:12" x14ac:dyDescent="0.25">
      <c r="A476" t="s">
        <v>519</v>
      </c>
      <c r="B476" s="1">
        <v>45468.395833333336</v>
      </c>
      <c r="C476" t="s">
        <v>13</v>
      </c>
      <c r="D476" t="s">
        <v>14</v>
      </c>
      <c r="E476" t="s">
        <v>28</v>
      </c>
      <c r="F476" t="s">
        <v>16</v>
      </c>
      <c r="G476">
        <v>4735.32</v>
      </c>
      <c r="H476" t="s">
        <v>34</v>
      </c>
      <c r="I476" t="s">
        <v>62</v>
      </c>
      <c r="J476">
        <v>2.9</v>
      </c>
      <c r="K476">
        <v>0</v>
      </c>
      <c r="L476">
        <v>0</v>
      </c>
    </row>
    <row r="477" spans="1:12" x14ac:dyDescent="0.25">
      <c r="A477" t="s">
        <v>520</v>
      </c>
      <c r="B477" s="1">
        <v>45469.904861111114</v>
      </c>
      <c r="C477" t="s">
        <v>58</v>
      </c>
      <c r="D477" t="s">
        <v>25</v>
      </c>
      <c r="E477" t="s">
        <v>44</v>
      </c>
      <c r="F477" t="s">
        <v>45</v>
      </c>
      <c r="G477">
        <v>4461.3900000000003</v>
      </c>
      <c r="H477" t="s">
        <v>17</v>
      </c>
      <c r="J477">
        <v>2.1</v>
      </c>
      <c r="K477">
        <v>0</v>
      </c>
      <c r="L477">
        <v>0</v>
      </c>
    </row>
    <row r="478" spans="1:12" x14ac:dyDescent="0.25">
      <c r="A478" t="s">
        <v>521</v>
      </c>
      <c r="B478" s="1">
        <v>45471.368055555555</v>
      </c>
      <c r="C478" t="s">
        <v>31</v>
      </c>
      <c r="D478" t="s">
        <v>32</v>
      </c>
      <c r="E478" t="s">
        <v>28</v>
      </c>
      <c r="F478" t="s">
        <v>41</v>
      </c>
      <c r="G478">
        <v>1935.83</v>
      </c>
      <c r="H478" t="s">
        <v>34</v>
      </c>
      <c r="I478" t="s">
        <v>35</v>
      </c>
      <c r="J478">
        <v>2.9</v>
      </c>
      <c r="K478">
        <v>0</v>
      </c>
      <c r="L478">
        <v>0</v>
      </c>
    </row>
    <row r="479" spans="1:12" x14ac:dyDescent="0.25">
      <c r="A479" t="s">
        <v>522</v>
      </c>
      <c r="B479" s="1">
        <v>45471.394444444442</v>
      </c>
      <c r="C479" t="s">
        <v>13</v>
      </c>
      <c r="D479" t="s">
        <v>14</v>
      </c>
      <c r="E479" t="s">
        <v>28</v>
      </c>
      <c r="F479" t="s">
        <v>29</v>
      </c>
      <c r="G479">
        <v>3641.99</v>
      </c>
      <c r="H479" t="s">
        <v>34</v>
      </c>
      <c r="I479" t="s">
        <v>55</v>
      </c>
      <c r="J479">
        <v>2.9</v>
      </c>
      <c r="K479">
        <v>0</v>
      </c>
      <c r="L479">
        <v>0</v>
      </c>
    </row>
    <row r="480" spans="1:12" x14ac:dyDescent="0.25">
      <c r="A480" t="s">
        <v>523</v>
      </c>
      <c r="B480" s="1">
        <v>45471.785416666666</v>
      </c>
      <c r="C480" t="s">
        <v>19</v>
      </c>
      <c r="D480" t="s">
        <v>20</v>
      </c>
      <c r="E480" t="s">
        <v>28</v>
      </c>
      <c r="F480" t="s">
        <v>16</v>
      </c>
      <c r="G480">
        <v>678.08</v>
      </c>
      <c r="H480" t="s">
        <v>34</v>
      </c>
      <c r="I480" t="s">
        <v>35</v>
      </c>
      <c r="J480">
        <v>2.9</v>
      </c>
      <c r="K480">
        <v>0</v>
      </c>
      <c r="L480">
        <v>0</v>
      </c>
    </row>
    <row r="481" spans="1:12" x14ac:dyDescent="0.25">
      <c r="A481" t="s">
        <v>524</v>
      </c>
      <c r="B481" s="1">
        <v>45471.827777777777</v>
      </c>
      <c r="C481" t="s">
        <v>43</v>
      </c>
      <c r="D481" t="s">
        <v>25</v>
      </c>
      <c r="E481" t="s">
        <v>33</v>
      </c>
      <c r="F481" t="s">
        <v>29</v>
      </c>
      <c r="G481">
        <v>2207.91</v>
      </c>
      <c r="H481" t="s">
        <v>22</v>
      </c>
      <c r="J481">
        <v>1.9</v>
      </c>
      <c r="K481">
        <v>41.95</v>
      </c>
      <c r="L481">
        <v>2165.96</v>
      </c>
    </row>
    <row r="482" spans="1:12" x14ac:dyDescent="0.25">
      <c r="A482" t="s">
        <v>525</v>
      </c>
      <c r="B482" s="1">
        <v>45472.387499999997</v>
      </c>
      <c r="C482" t="s">
        <v>27</v>
      </c>
      <c r="D482" t="s">
        <v>25</v>
      </c>
      <c r="E482" t="s">
        <v>28</v>
      </c>
      <c r="F482" t="s">
        <v>45</v>
      </c>
      <c r="G482">
        <v>3749.63</v>
      </c>
      <c r="H482" t="s">
        <v>17</v>
      </c>
      <c r="J482">
        <v>2.9</v>
      </c>
      <c r="K482">
        <v>0</v>
      </c>
      <c r="L482">
        <v>0</v>
      </c>
    </row>
    <row r="483" spans="1:12" x14ac:dyDescent="0.25">
      <c r="A483" t="s">
        <v>526</v>
      </c>
      <c r="B483" s="1">
        <v>45472.568055555559</v>
      </c>
      <c r="C483" t="s">
        <v>13</v>
      </c>
      <c r="D483" t="s">
        <v>14</v>
      </c>
      <c r="E483" t="s">
        <v>39</v>
      </c>
      <c r="F483" t="s">
        <v>16</v>
      </c>
      <c r="G483">
        <v>3479.1</v>
      </c>
      <c r="H483" t="s">
        <v>22</v>
      </c>
      <c r="J483">
        <v>3.2</v>
      </c>
      <c r="K483">
        <v>111.33</v>
      </c>
      <c r="L483">
        <v>3367.77</v>
      </c>
    </row>
    <row r="484" spans="1:12" x14ac:dyDescent="0.25">
      <c r="A484" t="s">
        <v>527</v>
      </c>
      <c r="B484" s="1">
        <v>45472.729166666664</v>
      </c>
      <c r="C484" t="s">
        <v>19</v>
      </c>
      <c r="D484" t="s">
        <v>20</v>
      </c>
      <c r="E484" t="s">
        <v>33</v>
      </c>
      <c r="F484" t="s">
        <v>16</v>
      </c>
      <c r="G484">
        <v>3374.47</v>
      </c>
      <c r="H484" t="s">
        <v>17</v>
      </c>
      <c r="J484">
        <v>1.9</v>
      </c>
      <c r="K484">
        <v>0</v>
      </c>
      <c r="L484">
        <v>0</v>
      </c>
    </row>
    <row r="485" spans="1:12" x14ac:dyDescent="0.25">
      <c r="A485" t="s">
        <v>528</v>
      </c>
      <c r="B485" s="1">
        <v>45472.892361111109</v>
      </c>
      <c r="C485" t="s">
        <v>58</v>
      </c>
      <c r="D485" t="s">
        <v>25</v>
      </c>
      <c r="E485" t="s">
        <v>33</v>
      </c>
      <c r="F485" t="s">
        <v>29</v>
      </c>
      <c r="G485">
        <v>2593.54</v>
      </c>
      <c r="H485" t="s">
        <v>22</v>
      </c>
      <c r="J485">
        <v>1.9</v>
      </c>
      <c r="K485">
        <v>49.28</v>
      </c>
      <c r="L485">
        <v>2544.2600000000002</v>
      </c>
    </row>
    <row r="486" spans="1:12" x14ac:dyDescent="0.25">
      <c r="A486" t="s">
        <v>529</v>
      </c>
      <c r="B486" s="1">
        <v>45473.089583333334</v>
      </c>
      <c r="C486" t="s">
        <v>47</v>
      </c>
      <c r="D486" t="s">
        <v>25</v>
      </c>
      <c r="E486" t="s">
        <v>28</v>
      </c>
      <c r="F486" t="s">
        <v>21</v>
      </c>
      <c r="G486">
        <v>4918.26</v>
      </c>
      <c r="H486" t="s">
        <v>17</v>
      </c>
      <c r="J486">
        <v>2.9</v>
      </c>
      <c r="K486">
        <v>0</v>
      </c>
      <c r="L486">
        <v>0</v>
      </c>
    </row>
  </sheetData>
  <pageMargins left="0.7" right="0.7" top="0.75" bottom="0.75" header="0.3" footer="0.3"/>
  <pageSetup paperSize="9" scale="36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959F-4372-4BF4-905C-7E7FBF9EABC6}">
  <sheetPr>
    <tabColor theme="7" tint="0.39997558519241921"/>
  </sheetPr>
  <dimension ref="A1:L516"/>
  <sheetViews>
    <sheetView view="pageBreakPreview" zoomScale="60" zoomScaleNormal="100" workbookViewId="0">
      <selection activeCell="Q2" sqref="Q2"/>
    </sheetView>
  </sheetViews>
  <sheetFormatPr defaultRowHeight="15" x14ac:dyDescent="0.25"/>
  <cols>
    <col min="1" max="1" width="24" bestFit="1" customWidth="1"/>
    <col min="2" max="2" width="20.85546875" bestFit="1" customWidth="1"/>
    <col min="3" max="3" width="11.28515625" bestFit="1" customWidth="1"/>
    <col min="4" max="4" width="16.5703125" bestFit="1" customWidth="1"/>
    <col min="5" max="5" width="22.7109375" bestFit="1" customWidth="1"/>
    <col min="6" max="6" width="26.85546875" bestFit="1" customWidth="1"/>
    <col min="7" max="7" width="15.42578125" bestFit="1" customWidth="1"/>
    <col min="8" max="8" width="13.7109375" bestFit="1" customWidth="1"/>
    <col min="9" max="9" width="25.42578125" bestFit="1" customWidth="1"/>
    <col min="10" max="10" width="13" bestFit="1" customWidth="1"/>
    <col min="11" max="11" width="20.85546875" customWidth="1"/>
    <col min="12" max="12" width="20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530</v>
      </c>
      <c r="B2" s="1">
        <v>45474.097222222219</v>
      </c>
      <c r="C2" t="s">
        <v>60</v>
      </c>
      <c r="D2" t="s">
        <v>25</v>
      </c>
      <c r="E2" t="s">
        <v>33</v>
      </c>
      <c r="F2" t="s">
        <v>29</v>
      </c>
      <c r="G2">
        <v>2921.32</v>
      </c>
      <c r="H2" t="s">
        <v>22</v>
      </c>
      <c r="J2">
        <v>1.9</v>
      </c>
      <c r="K2">
        <v>55.51</v>
      </c>
      <c r="L2">
        <v>2865.81</v>
      </c>
    </row>
    <row r="3" spans="1:12" x14ac:dyDescent="0.25">
      <c r="A3" t="s">
        <v>531</v>
      </c>
      <c r="B3" s="1">
        <v>45474.881944444445</v>
      </c>
      <c r="C3" t="s">
        <v>27</v>
      </c>
      <c r="D3" t="s">
        <v>25</v>
      </c>
      <c r="E3" t="s">
        <v>33</v>
      </c>
      <c r="F3" t="s">
        <v>41</v>
      </c>
      <c r="G3">
        <v>4036.01</v>
      </c>
      <c r="H3" t="s">
        <v>22</v>
      </c>
      <c r="J3">
        <v>1.9</v>
      </c>
      <c r="K3">
        <v>76.680000000000007</v>
      </c>
      <c r="L3">
        <v>3959.33</v>
      </c>
    </row>
    <row r="4" spans="1:12" x14ac:dyDescent="0.25">
      <c r="A4" t="s">
        <v>532</v>
      </c>
      <c r="B4" s="1">
        <v>45475.61041666667</v>
      </c>
      <c r="C4" t="s">
        <v>47</v>
      </c>
      <c r="D4" t="s">
        <v>25</v>
      </c>
      <c r="E4" t="s">
        <v>28</v>
      </c>
      <c r="F4" t="s">
        <v>21</v>
      </c>
      <c r="G4">
        <v>4076.67</v>
      </c>
      <c r="H4" t="s">
        <v>22</v>
      </c>
      <c r="J4">
        <v>2.9</v>
      </c>
      <c r="K4">
        <v>118.22</v>
      </c>
      <c r="L4">
        <v>3958.45</v>
      </c>
    </row>
    <row r="5" spans="1:12" x14ac:dyDescent="0.25">
      <c r="A5" t="s">
        <v>533</v>
      </c>
      <c r="B5" s="1">
        <v>45475.879166666666</v>
      </c>
      <c r="C5" t="s">
        <v>37</v>
      </c>
      <c r="D5" t="s">
        <v>38</v>
      </c>
      <c r="E5" t="s">
        <v>33</v>
      </c>
      <c r="F5" t="s">
        <v>29</v>
      </c>
      <c r="G5">
        <v>2453.2199999999998</v>
      </c>
      <c r="H5" t="s">
        <v>34</v>
      </c>
      <c r="I5" t="s">
        <v>55</v>
      </c>
      <c r="J5">
        <v>1.9</v>
      </c>
      <c r="K5">
        <v>0</v>
      </c>
      <c r="L5">
        <v>0</v>
      </c>
    </row>
    <row r="6" spans="1:12" x14ac:dyDescent="0.25">
      <c r="A6" t="s">
        <v>534</v>
      </c>
      <c r="B6" s="1">
        <v>45475.93472222222</v>
      </c>
      <c r="C6" t="s">
        <v>47</v>
      </c>
      <c r="D6" t="s">
        <v>25</v>
      </c>
      <c r="E6" t="s">
        <v>44</v>
      </c>
      <c r="F6" t="s">
        <v>41</v>
      </c>
      <c r="G6">
        <v>2745.21</v>
      </c>
      <c r="H6" t="s">
        <v>22</v>
      </c>
      <c r="J6">
        <v>2.1</v>
      </c>
      <c r="K6">
        <v>57.65</v>
      </c>
      <c r="L6">
        <v>2687.56</v>
      </c>
    </row>
    <row r="7" spans="1:12" x14ac:dyDescent="0.25">
      <c r="A7" t="s">
        <v>535</v>
      </c>
      <c r="B7" s="1">
        <v>45476.54791666667</v>
      </c>
      <c r="C7" t="s">
        <v>47</v>
      </c>
      <c r="D7" t="s">
        <v>25</v>
      </c>
      <c r="E7" t="s">
        <v>44</v>
      </c>
      <c r="F7" t="s">
        <v>29</v>
      </c>
      <c r="G7">
        <v>67.900000000000006</v>
      </c>
      <c r="H7" t="s">
        <v>22</v>
      </c>
      <c r="J7">
        <v>2.1</v>
      </c>
      <c r="K7">
        <v>1.43</v>
      </c>
      <c r="L7">
        <v>66.47</v>
      </c>
    </row>
    <row r="8" spans="1:12" x14ac:dyDescent="0.25">
      <c r="A8" t="s">
        <v>536</v>
      </c>
      <c r="B8" s="1">
        <v>45477.692361111112</v>
      </c>
      <c r="C8" t="s">
        <v>31</v>
      </c>
      <c r="D8" t="s">
        <v>32</v>
      </c>
      <c r="E8" t="s">
        <v>15</v>
      </c>
      <c r="F8" t="s">
        <v>45</v>
      </c>
      <c r="G8">
        <v>1115.53</v>
      </c>
      <c r="H8" t="s">
        <v>17</v>
      </c>
      <c r="J8">
        <v>2.5</v>
      </c>
      <c r="K8">
        <v>0</v>
      </c>
      <c r="L8">
        <v>0</v>
      </c>
    </row>
    <row r="9" spans="1:12" x14ac:dyDescent="0.25">
      <c r="A9" t="s">
        <v>537</v>
      </c>
      <c r="B9" s="1">
        <v>45477.822916666664</v>
      </c>
      <c r="C9" t="s">
        <v>31</v>
      </c>
      <c r="D9" t="s">
        <v>32</v>
      </c>
      <c r="E9" t="s">
        <v>44</v>
      </c>
      <c r="F9" t="s">
        <v>16</v>
      </c>
      <c r="G9">
        <v>4057.75</v>
      </c>
      <c r="H9" t="s">
        <v>22</v>
      </c>
      <c r="J9">
        <v>2.1</v>
      </c>
      <c r="K9">
        <v>85.21</v>
      </c>
      <c r="L9">
        <v>3972.54</v>
      </c>
    </row>
    <row r="10" spans="1:12" x14ac:dyDescent="0.25">
      <c r="A10" t="s">
        <v>538</v>
      </c>
      <c r="B10" s="1">
        <v>45478.077777777777</v>
      </c>
      <c r="C10" t="s">
        <v>24</v>
      </c>
      <c r="D10" t="s">
        <v>25</v>
      </c>
      <c r="E10" t="s">
        <v>15</v>
      </c>
      <c r="F10" t="s">
        <v>21</v>
      </c>
      <c r="G10">
        <v>2805.15</v>
      </c>
      <c r="H10" t="s">
        <v>17</v>
      </c>
      <c r="J10">
        <v>2.5</v>
      </c>
      <c r="K10">
        <v>0</v>
      </c>
      <c r="L10">
        <v>0</v>
      </c>
    </row>
    <row r="11" spans="1:12" x14ac:dyDescent="0.25">
      <c r="A11" t="s">
        <v>539</v>
      </c>
      <c r="B11" s="1">
        <v>45478.165972222225</v>
      </c>
      <c r="C11" t="s">
        <v>19</v>
      </c>
      <c r="D11" t="s">
        <v>20</v>
      </c>
      <c r="E11" t="s">
        <v>44</v>
      </c>
      <c r="F11" t="s">
        <v>45</v>
      </c>
      <c r="G11">
        <v>4986.3500000000004</v>
      </c>
      <c r="H11" t="s">
        <v>22</v>
      </c>
      <c r="J11">
        <v>2.1</v>
      </c>
      <c r="K11">
        <v>104.71</v>
      </c>
      <c r="L11">
        <v>4881.6400000000003</v>
      </c>
    </row>
    <row r="12" spans="1:12" x14ac:dyDescent="0.25">
      <c r="A12" t="s">
        <v>540</v>
      </c>
      <c r="B12" s="1">
        <v>45478.589583333334</v>
      </c>
      <c r="C12" t="s">
        <v>24</v>
      </c>
      <c r="D12" t="s">
        <v>25</v>
      </c>
      <c r="E12" t="s">
        <v>44</v>
      </c>
      <c r="F12" t="s">
        <v>21</v>
      </c>
      <c r="G12">
        <v>4222.17</v>
      </c>
      <c r="H12" t="s">
        <v>34</v>
      </c>
      <c r="I12" t="s">
        <v>62</v>
      </c>
      <c r="J12">
        <v>2.1</v>
      </c>
      <c r="K12">
        <v>0</v>
      </c>
      <c r="L12">
        <v>0</v>
      </c>
    </row>
    <row r="13" spans="1:12" x14ac:dyDescent="0.25">
      <c r="A13" t="s">
        <v>541</v>
      </c>
      <c r="B13" s="1">
        <v>45479.059027777781</v>
      </c>
      <c r="C13" t="s">
        <v>60</v>
      </c>
      <c r="D13" t="s">
        <v>25</v>
      </c>
      <c r="E13" t="s">
        <v>33</v>
      </c>
      <c r="F13" t="s">
        <v>45</v>
      </c>
      <c r="G13">
        <v>981.33</v>
      </c>
      <c r="H13" t="s">
        <v>17</v>
      </c>
      <c r="J13">
        <v>1.9</v>
      </c>
      <c r="K13">
        <v>0</v>
      </c>
      <c r="L13">
        <v>0</v>
      </c>
    </row>
    <row r="14" spans="1:12" x14ac:dyDescent="0.25">
      <c r="A14" t="s">
        <v>542</v>
      </c>
      <c r="B14" s="1">
        <v>45479.118055555555</v>
      </c>
      <c r="C14" t="s">
        <v>58</v>
      </c>
      <c r="D14" t="s">
        <v>25</v>
      </c>
      <c r="E14" t="s">
        <v>28</v>
      </c>
      <c r="F14" t="s">
        <v>21</v>
      </c>
      <c r="G14">
        <v>2687.5</v>
      </c>
      <c r="H14" t="s">
        <v>34</v>
      </c>
      <c r="I14" t="s">
        <v>62</v>
      </c>
      <c r="J14">
        <v>2.9</v>
      </c>
      <c r="K14">
        <v>0</v>
      </c>
      <c r="L14">
        <v>0</v>
      </c>
    </row>
    <row r="15" spans="1:12" x14ac:dyDescent="0.25">
      <c r="A15" t="s">
        <v>543</v>
      </c>
      <c r="B15" s="1">
        <v>45479.229861111111</v>
      </c>
      <c r="C15" t="s">
        <v>58</v>
      </c>
      <c r="D15" t="s">
        <v>25</v>
      </c>
      <c r="E15" t="s">
        <v>44</v>
      </c>
      <c r="F15" t="s">
        <v>16</v>
      </c>
      <c r="G15">
        <v>3506.56</v>
      </c>
      <c r="H15" t="s">
        <v>22</v>
      </c>
      <c r="J15">
        <v>2.1</v>
      </c>
      <c r="K15">
        <v>73.64</v>
      </c>
      <c r="L15">
        <v>3432.92</v>
      </c>
    </row>
    <row r="16" spans="1:12" x14ac:dyDescent="0.25">
      <c r="A16" t="s">
        <v>544</v>
      </c>
      <c r="B16" s="1">
        <v>45479.466666666667</v>
      </c>
      <c r="C16" t="s">
        <v>37</v>
      </c>
      <c r="D16" t="s">
        <v>38</v>
      </c>
      <c r="E16" t="s">
        <v>39</v>
      </c>
      <c r="F16" t="s">
        <v>45</v>
      </c>
      <c r="G16">
        <v>3280.5</v>
      </c>
      <c r="H16" t="s">
        <v>22</v>
      </c>
      <c r="J16">
        <v>3.2</v>
      </c>
      <c r="K16">
        <v>104.98</v>
      </c>
      <c r="L16">
        <v>3175.52</v>
      </c>
    </row>
    <row r="17" spans="1:12" x14ac:dyDescent="0.25">
      <c r="A17" t="s">
        <v>545</v>
      </c>
      <c r="B17" s="1">
        <v>45479.738194444442</v>
      </c>
      <c r="C17" t="s">
        <v>27</v>
      </c>
      <c r="D17" t="s">
        <v>25</v>
      </c>
      <c r="E17" t="s">
        <v>15</v>
      </c>
      <c r="F17" t="s">
        <v>41</v>
      </c>
      <c r="G17">
        <v>93.28</v>
      </c>
      <c r="H17" t="s">
        <v>22</v>
      </c>
      <c r="J17">
        <v>2.5</v>
      </c>
      <c r="K17">
        <v>2.33</v>
      </c>
      <c r="L17">
        <v>90.95</v>
      </c>
    </row>
    <row r="18" spans="1:12" x14ac:dyDescent="0.25">
      <c r="A18" t="s">
        <v>546</v>
      </c>
      <c r="B18" s="1">
        <v>45480.771527777775</v>
      </c>
      <c r="C18" t="s">
        <v>24</v>
      </c>
      <c r="D18" t="s">
        <v>25</v>
      </c>
      <c r="E18" t="s">
        <v>33</v>
      </c>
      <c r="F18" t="s">
        <v>29</v>
      </c>
      <c r="G18">
        <v>761.33</v>
      </c>
      <c r="H18" t="s">
        <v>34</v>
      </c>
      <c r="I18" t="s">
        <v>78</v>
      </c>
      <c r="J18">
        <v>1.9</v>
      </c>
      <c r="K18">
        <v>0</v>
      </c>
      <c r="L18">
        <v>0</v>
      </c>
    </row>
    <row r="19" spans="1:12" x14ac:dyDescent="0.25">
      <c r="A19" t="s">
        <v>547</v>
      </c>
      <c r="B19" s="1">
        <v>45480.9</v>
      </c>
      <c r="C19" t="s">
        <v>43</v>
      </c>
      <c r="D19" t="s">
        <v>25</v>
      </c>
      <c r="E19" t="s">
        <v>15</v>
      </c>
      <c r="F19" t="s">
        <v>21</v>
      </c>
      <c r="G19">
        <v>3892.84</v>
      </c>
      <c r="H19" t="s">
        <v>17</v>
      </c>
      <c r="J19">
        <v>2.5</v>
      </c>
      <c r="K19">
        <v>0</v>
      </c>
      <c r="L19">
        <v>0</v>
      </c>
    </row>
    <row r="20" spans="1:12" x14ac:dyDescent="0.25">
      <c r="A20" t="s">
        <v>548</v>
      </c>
      <c r="B20" s="1">
        <v>45481.106944444444</v>
      </c>
      <c r="C20" t="s">
        <v>24</v>
      </c>
      <c r="D20" t="s">
        <v>25</v>
      </c>
      <c r="E20" t="s">
        <v>28</v>
      </c>
      <c r="F20" t="s">
        <v>21</v>
      </c>
      <c r="G20">
        <v>1892.07</v>
      </c>
      <c r="H20" t="s">
        <v>17</v>
      </c>
      <c r="J20">
        <v>2.9</v>
      </c>
      <c r="K20">
        <v>0</v>
      </c>
      <c r="L20">
        <v>0</v>
      </c>
    </row>
    <row r="21" spans="1:12" x14ac:dyDescent="0.25">
      <c r="A21" t="s">
        <v>549</v>
      </c>
      <c r="B21" s="1">
        <v>45481.732638888891</v>
      </c>
      <c r="C21" t="s">
        <v>43</v>
      </c>
      <c r="D21" t="s">
        <v>25</v>
      </c>
      <c r="E21" t="s">
        <v>39</v>
      </c>
      <c r="F21" t="s">
        <v>21</v>
      </c>
      <c r="G21">
        <v>2892.48</v>
      </c>
      <c r="H21" t="s">
        <v>34</v>
      </c>
      <c r="I21" t="s">
        <v>35</v>
      </c>
      <c r="J21">
        <v>3.2</v>
      </c>
      <c r="K21">
        <v>0</v>
      </c>
      <c r="L21">
        <v>0</v>
      </c>
    </row>
    <row r="22" spans="1:12" x14ac:dyDescent="0.25">
      <c r="A22" t="s">
        <v>550</v>
      </c>
      <c r="B22" s="1">
        <v>45482.39166666667</v>
      </c>
      <c r="C22" t="s">
        <v>58</v>
      </c>
      <c r="D22" t="s">
        <v>25</v>
      </c>
      <c r="E22" t="s">
        <v>39</v>
      </c>
      <c r="F22" t="s">
        <v>45</v>
      </c>
      <c r="G22">
        <v>271.3</v>
      </c>
      <c r="H22" t="s">
        <v>22</v>
      </c>
      <c r="J22">
        <v>3.2</v>
      </c>
      <c r="K22">
        <v>8.68</v>
      </c>
      <c r="L22">
        <v>262.62</v>
      </c>
    </row>
    <row r="23" spans="1:12" x14ac:dyDescent="0.25">
      <c r="A23" t="s">
        <v>551</v>
      </c>
      <c r="B23" s="1">
        <v>45482.40902777778</v>
      </c>
      <c r="C23" t="s">
        <v>60</v>
      </c>
      <c r="D23" t="s">
        <v>25</v>
      </c>
      <c r="E23" t="s">
        <v>44</v>
      </c>
      <c r="F23" t="s">
        <v>21</v>
      </c>
      <c r="G23">
        <v>1429.07</v>
      </c>
      <c r="H23" t="s">
        <v>22</v>
      </c>
      <c r="J23">
        <v>2.1</v>
      </c>
      <c r="K23">
        <v>30.01</v>
      </c>
      <c r="L23">
        <v>1399.06</v>
      </c>
    </row>
    <row r="24" spans="1:12" x14ac:dyDescent="0.25">
      <c r="A24" t="s">
        <v>552</v>
      </c>
      <c r="B24" s="1">
        <v>45483.387499999997</v>
      </c>
      <c r="C24" t="s">
        <v>43</v>
      </c>
      <c r="D24" t="s">
        <v>25</v>
      </c>
      <c r="E24" t="s">
        <v>28</v>
      </c>
      <c r="F24" t="s">
        <v>29</v>
      </c>
      <c r="G24">
        <v>719.28</v>
      </c>
      <c r="H24" t="s">
        <v>17</v>
      </c>
      <c r="J24">
        <v>2.9</v>
      </c>
      <c r="K24">
        <v>0</v>
      </c>
      <c r="L24">
        <v>0</v>
      </c>
    </row>
    <row r="25" spans="1:12" x14ac:dyDescent="0.25">
      <c r="A25" t="s">
        <v>553</v>
      </c>
      <c r="B25" s="1">
        <v>45483.520138888889</v>
      </c>
      <c r="C25" t="s">
        <v>19</v>
      </c>
      <c r="D25" t="s">
        <v>20</v>
      </c>
      <c r="E25" t="s">
        <v>44</v>
      </c>
      <c r="F25" t="s">
        <v>29</v>
      </c>
      <c r="G25">
        <v>1506.87</v>
      </c>
      <c r="H25" t="s">
        <v>22</v>
      </c>
      <c r="J25">
        <v>2.1</v>
      </c>
      <c r="K25">
        <v>31.64</v>
      </c>
      <c r="L25">
        <v>1475.23</v>
      </c>
    </row>
    <row r="26" spans="1:12" x14ac:dyDescent="0.25">
      <c r="A26" t="s">
        <v>554</v>
      </c>
      <c r="B26" s="1">
        <v>45483.790972222225</v>
      </c>
      <c r="C26" t="s">
        <v>31</v>
      </c>
      <c r="D26" t="s">
        <v>32</v>
      </c>
      <c r="E26" t="s">
        <v>39</v>
      </c>
      <c r="F26" t="s">
        <v>29</v>
      </c>
      <c r="G26">
        <v>154.08000000000001</v>
      </c>
      <c r="H26" t="s">
        <v>34</v>
      </c>
      <c r="I26" t="s">
        <v>55</v>
      </c>
      <c r="J26">
        <v>3.2</v>
      </c>
      <c r="K26">
        <v>0</v>
      </c>
      <c r="L26">
        <v>0</v>
      </c>
    </row>
    <row r="27" spans="1:12" x14ac:dyDescent="0.25">
      <c r="A27" t="s">
        <v>555</v>
      </c>
      <c r="B27" s="1">
        <v>45484.424305555556</v>
      </c>
      <c r="C27" t="s">
        <v>43</v>
      </c>
      <c r="D27" t="s">
        <v>25</v>
      </c>
      <c r="E27" t="s">
        <v>33</v>
      </c>
      <c r="F27" t="s">
        <v>21</v>
      </c>
      <c r="G27">
        <v>2735.9</v>
      </c>
      <c r="H27" t="s">
        <v>22</v>
      </c>
      <c r="J27">
        <v>1.9</v>
      </c>
      <c r="K27">
        <v>51.98</v>
      </c>
      <c r="L27">
        <v>2683.92</v>
      </c>
    </row>
    <row r="28" spans="1:12" x14ac:dyDescent="0.25">
      <c r="A28" t="s">
        <v>556</v>
      </c>
      <c r="B28" s="1">
        <v>45484.85</v>
      </c>
      <c r="C28" t="s">
        <v>37</v>
      </c>
      <c r="D28" t="s">
        <v>38</v>
      </c>
      <c r="E28" t="s">
        <v>33</v>
      </c>
      <c r="F28" t="s">
        <v>41</v>
      </c>
      <c r="G28">
        <v>2588.15</v>
      </c>
      <c r="H28" t="s">
        <v>34</v>
      </c>
      <c r="I28" t="s">
        <v>35</v>
      </c>
      <c r="J28">
        <v>1.9</v>
      </c>
      <c r="K28">
        <v>0</v>
      </c>
      <c r="L28">
        <v>0</v>
      </c>
    </row>
    <row r="29" spans="1:12" x14ac:dyDescent="0.25">
      <c r="A29" t="s">
        <v>557</v>
      </c>
      <c r="B29" s="1">
        <v>45485.060416666667</v>
      </c>
      <c r="C29" t="s">
        <v>47</v>
      </c>
      <c r="D29" t="s">
        <v>25</v>
      </c>
      <c r="E29" t="s">
        <v>33</v>
      </c>
      <c r="F29" t="s">
        <v>21</v>
      </c>
      <c r="G29">
        <v>659.03</v>
      </c>
      <c r="H29" t="s">
        <v>17</v>
      </c>
      <c r="J29">
        <v>1.9</v>
      </c>
      <c r="K29">
        <v>0</v>
      </c>
      <c r="L29">
        <v>0</v>
      </c>
    </row>
    <row r="30" spans="1:12" x14ac:dyDescent="0.25">
      <c r="A30" t="s">
        <v>558</v>
      </c>
      <c r="B30" s="1">
        <v>45485.406944444447</v>
      </c>
      <c r="C30" t="s">
        <v>47</v>
      </c>
      <c r="D30" t="s">
        <v>25</v>
      </c>
      <c r="E30" t="s">
        <v>44</v>
      </c>
      <c r="F30" t="s">
        <v>29</v>
      </c>
      <c r="G30">
        <v>3646.87</v>
      </c>
      <c r="H30" t="s">
        <v>17</v>
      </c>
      <c r="J30">
        <v>2.1</v>
      </c>
      <c r="K30">
        <v>0</v>
      </c>
      <c r="L30">
        <v>0</v>
      </c>
    </row>
    <row r="31" spans="1:12" x14ac:dyDescent="0.25">
      <c r="A31" t="s">
        <v>559</v>
      </c>
      <c r="B31" s="1">
        <v>45486.116666666669</v>
      </c>
      <c r="C31" t="s">
        <v>58</v>
      </c>
      <c r="D31" t="s">
        <v>25</v>
      </c>
      <c r="E31" t="s">
        <v>33</v>
      </c>
      <c r="F31" t="s">
        <v>41</v>
      </c>
      <c r="G31">
        <v>1471.24</v>
      </c>
      <c r="H31" t="s">
        <v>22</v>
      </c>
      <c r="J31">
        <v>1.9</v>
      </c>
      <c r="K31">
        <v>27.95</v>
      </c>
      <c r="L31">
        <v>1443.29</v>
      </c>
    </row>
    <row r="32" spans="1:12" x14ac:dyDescent="0.25">
      <c r="A32" t="s">
        <v>560</v>
      </c>
      <c r="B32" s="1">
        <v>45486.697916666664</v>
      </c>
      <c r="C32" t="s">
        <v>31</v>
      </c>
      <c r="D32" t="s">
        <v>32</v>
      </c>
      <c r="E32" t="s">
        <v>39</v>
      </c>
      <c r="F32" t="s">
        <v>16</v>
      </c>
      <c r="G32">
        <v>4335.2</v>
      </c>
      <c r="H32" t="s">
        <v>17</v>
      </c>
      <c r="J32">
        <v>3.2</v>
      </c>
      <c r="K32">
        <v>0</v>
      </c>
      <c r="L32">
        <v>0</v>
      </c>
    </row>
    <row r="33" spans="1:12" x14ac:dyDescent="0.25">
      <c r="A33" t="s">
        <v>561</v>
      </c>
      <c r="B33" s="1">
        <v>45486.90625</v>
      </c>
      <c r="C33" t="s">
        <v>58</v>
      </c>
      <c r="D33" t="s">
        <v>25</v>
      </c>
      <c r="E33" t="s">
        <v>15</v>
      </c>
      <c r="F33" t="s">
        <v>21</v>
      </c>
      <c r="G33">
        <v>734.3</v>
      </c>
      <c r="H33" t="s">
        <v>34</v>
      </c>
      <c r="I33" t="s">
        <v>78</v>
      </c>
      <c r="J33">
        <v>2.5</v>
      </c>
      <c r="K33">
        <v>0</v>
      </c>
      <c r="L33">
        <v>0</v>
      </c>
    </row>
    <row r="34" spans="1:12" x14ac:dyDescent="0.25">
      <c r="A34" t="s">
        <v>562</v>
      </c>
      <c r="B34" s="1">
        <v>45487.51458333333</v>
      </c>
      <c r="C34" t="s">
        <v>60</v>
      </c>
      <c r="D34" t="s">
        <v>25</v>
      </c>
      <c r="E34" t="s">
        <v>39</v>
      </c>
      <c r="F34" t="s">
        <v>21</v>
      </c>
      <c r="G34">
        <v>897.87</v>
      </c>
      <c r="H34" t="s">
        <v>22</v>
      </c>
      <c r="J34">
        <v>3.2</v>
      </c>
      <c r="K34">
        <v>28.73</v>
      </c>
      <c r="L34">
        <v>869.14</v>
      </c>
    </row>
    <row r="35" spans="1:12" x14ac:dyDescent="0.25">
      <c r="A35" t="s">
        <v>563</v>
      </c>
      <c r="B35" s="1">
        <v>45487.56527777778</v>
      </c>
      <c r="C35" t="s">
        <v>24</v>
      </c>
      <c r="D35" t="s">
        <v>25</v>
      </c>
      <c r="E35" t="s">
        <v>44</v>
      </c>
      <c r="F35" t="s">
        <v>16</v>
      </c>
      <c r="G35">
        <v>703.95</v>
      </c>
      <c r="H35" t="s">
        <v>17</v>
      </c>
      <c r="J35">
        <v>2.1</v>
      </c>
      <c r="K35">
        <v>0</v>
      </c>
      <c r="L35">
        <v>0</v>
      </c>
    </row>
    <row r="36" spans="1:12" x14ac:dyDescent="0.25">
      <c r="A36" t="s">
        <v>564</v>
      </c>
      <c r="B36" s="1">
        <v>45487.621527777781</v>
      </c>
      <c r="C36" t="s">
        <v>58</v>
      </c>
      <c r="D36" t="s">
        <v>25</v>
      </c>
      <c r="E36" t="s">
        <v>15</v>
      </c>
      <c r="F36" t="s">
        <v>41</v>
      </c>
      <c r="G36">
        <v>3416.82</v>
      </c>
      <c r="H36" t="s">
        <v>17</v>
      </c>
      <c r="J36">
        <v>2.5</v>
      </c>
      <c r="K36">
        <v>0</v>
      </c>
      <c r="L36">
        <v>0</v>
      </c>
    </row>
    <row r="37" spans="1:12" x14ac:dyDescent="0.25">
      <c r="A37" t="s">
        <v>565</v>
      </c>
      <c r="B37" s="1">
        <v>45488.045138888891</v>
      </c>
      <c r="C37" t="s">
        <v>58</v>
      </c>
      <c r="D37" t="s">
        <v>25</v>
      </c>
      <c r="E37" t="s">
        <v>15</v>
      </c>
      <c r="F37" t="s">
        <v>29</v>
      </c>
      <c r="G37">
        <v>3526.34</v>
      </c>
      <c r="H37" t="s">
        <v>17</v>
      </c>
      <c r="J37">
        <v>2.5</v>
      </c>
      <c r="K37">
        <v>0</v>
      </c>
      <c r="L37">
        <v>0</v>
      </c>
    </row>
    <row r="38" spans="1:12" x14ac:dyDescent="0.25">
      <c r="A38" t="s">
        <v>566</v>
      </c>
      <c r="B38" s="1">
        <v>45489.17083333333</v>
      </c>
      <c r="C38" t="s">
        <v>60</v>
      </c>
      <c r="D38" t="s">
        <v>25</v>
      </c>
      <c r="E38" t="s">
        <v>44</v>
      </c>
      <c r="F38" t="s">
        <v>45</v>
      </c>
      <c r="G38">
        <v>4299.3599999999997</v>
      </c>
      <c r="H38" t="s">
        <v>17</v>
      </c>
      <c r="J38">
        <v>2.1</v>
      </c>
      <c r="K38">
        <v>0</v>
      </c>
      <c r="L38">
        <v>0</v>
      </c>
    </row>
    <row r="39" spans="1:12" x14ac:dyDescent="0.25">
      <c r="A39" t="s">
        <v>567</v>
      </c>
      <c r="B39" s="1">
        <v>45489.395138888889</v>
      </c>
      <c r="C39" t="s">
        <v>19</v>
      </c>
      <c r="D39" t="s">
        <v>20</v>
      </c>
      <c r="E39" t="s">
        <v>39</v>
      </c>
      <c r="F39" t="s">
        <v>16</v>
      </c>
      <c r="G39">
        <v>1137.1099999999999</v>
      </c>
      <c r="H39" t="s">
        <v>34</v>
      </c>
      <c r="I39" t="s">
        <v>62</v>
      </c>
      <c r="J39">
        <v>3.2</v>
      </c>
      <c r="K39">
        <v>0</v>
      </c>
      <c r="L39">
        <v>0</v>
      </c>
    </row>
    <row r="40" spans="1:12" x14ac:dyDescent="0.25">
      <c r="A40" t="s">
        <v>568</v>
      </c>
      <c r="B40" s="1">
        <v>45490.463888888888</v>
      </c>
      <c r="C40" t="s">
        <v>43</v>
      </c>
      <c r="D40" t="s">
        <v>25</v>
      </c>
      <c r="E40" t="s">
        <v>44</v>
      </c>
      <c r="F40" t="s">
        <v>21</v>
      </c>
      <c r="G40">
        <v>4878.0200000000004</v>
      </c>
      <c r="H40" t="s">
        <v>22</v>
      </c>
      <c r="J40">
        <v>2.1</v>
      </c>
      <c r="K40">
        <v>102.44</v>
      </c>
      <c r="L40">
        <v>4775.58</v>
      </c>
    </row>
    <row r="41" spans="1:12" x14ac:dyDescent="0.25">
      <c r="A41" t="s">
        <v>569</v>
      </c>
      <c r="B41" s="1">
        <v>45490.576388888891</v>
      </c>
      <c r="C41" t="s">
        <v>37</v>
      </c>
      <c r="D41" t="s">
        <v>38</v>
      </c>
      <c r="E41" t="s">
        <v>33</v>
      </c>
      <c r="F41" t="s">
        <v>41</v>
      </c>
      <c r="G41">
        <v>74.7</v>
      </c>
      <c r="H41" t="s">
        <v>22</v>
      </c>
      <c r="J41">
        <v>1.9</v>
      </c>
      <c r="K41">
        <v>1.42</v>
      </c>
      <c r="L41">
        <v>73.28</v>
      </c>
    </row>
    <row r="42" spans="1:12" x14ac:dyDescent="0.25">
      <c r="A42" t="s">
        <v>570</v>
      </c>
      <c r="B42" s="1">
        <v>45490.725694444445</v>
      </c>
      <c r="C42" t="s">
        <v>13</v>
      </c>
      <c r="D42" t="s">
        <v>14</v>
      </c>
      <c r="E42" t="s">
        <v>39</v>
      </c>
      <c r="F42" t="s">
        <v>21</v>
      </c>
      <c r="G42">
        <v>2603.2399999999998</v>
      </c>
      <c r="H42" t="s">
        <v>22</v>
      </c>
      <c r="J42">
        <v>3.2</v>
      </c>
      <c r="K42">
        <v>83.3</v>
      </c>
      <c r="L42">
        <v>2519.94</v>
      </c>
    </row>
    <row r="43" spans="1:12" x14ac:dyDescent="0.25">
      <c r="A43" t="s">
        <v>571</v>
      </c>
      <c r="B43" s="1">
        <v>45491.445833333331</v>
      </c>
      <c r="C43" t="s">
        <v>58</v>
      </c>
      <c r="D43" t="s">
        <v>25</v>
      </c>
      <c r="E43" t="s">
        <v>44</v>
      </c>
      <c r="F43" t="s">
        <v>16</v>
      </c>
      <c r="G43">
        <v>4598.51</v>
      </c>
      <c r="H43" t="s">
        <v>17</v>
      </c>
      <c r="J43">
        <v>2.1</v>
      </c>
      <c r="K43">
        <v>0</v>
      </c>
      <c r="L43">
        <v>0</v>
      </c>
    </row>
    <row r="44" spans="1:12" x14ac:dyDescent="0.25">
      <c r="A44" t="s">
        <v>572</v>
      </c>
      <c r="B44" s="1">
        <v>45491.626388888886</v>
      </c>
      <c r="C44" t="s">
        <v>58</v>
      </c>
      <c r="D44" t="s">
        <v>25</v>
      </c>
      <c r="E44" t="s">
        <v>39</v>
      </c>
      <c r="F44" t="s">
        <v>21</v>
      </c>
      <c r="G44">
        <v>3739.11</v>
      </c>
      <c r="H44" t="s">
        <v>22</v>
      </c>
      <c r="J44">
        <v>3.2</v>
      </c>
      <c r="K44">
        <v>119.65</v>
      </c>
      <c r="L44">
        <v>3619.46</v>
      </c>
    </row>
    <row r="45" spans="1:12" x14ac:dyDescent="0.25">
      <c r="A45" t="s">
        <v>573</v>
      </c>
      <c r="B45" s="1">
        <v>45491.990277777775</v>
      </c>
      <c r="C45" t="s">
        <v>27</v>
      </c>
      <c r="D45" t="s">
        <v>25</v>
      </c>
      <c r="E45" t="s">
        <v>33</v>
      </c>
      <c r="F45" t="s">
        <v>45</v>
      </c>
      <c r="G45">
        <v>1426.8</v>
      </c>
      <c r="H45" t="s">
        <v>22</v>
      </c>
      <c r="J45">
        <v>1.9</v>
      </c>
      <c r="K45">
        <v>27.11</v>
      </c>
      <c r="L45">
        <v>1399.69</v>
      </c>
    </row>
    <row r="46" spans="1:12" x14ac:dyDescent="0.25">
      <c r="A46" t="s">
        <v>574</v>
      </c>
      <c r="B46" s="1">
        <v>45492.331250000003</v>
      </c>
      <c r="C46" t="s">
        <v>19</v>
      </c>
      <c r="D46" t="s">
        <v>20</v>
      </c>
      <c r="E46" t="s">
        <v>39</v>
      </c>
      <c r="F46" t="s">
        <v>29</v>
      </c>
      <c r="G46">
        <v>2328.86</v>
      </c>
      <c r="H46" t="s">
        <v>17</v>
      </c>
      <c r="J46">
        <v>3.2</v>
      </c>
      <c r="K46">
        <v>0</v>
      </c>
      <c r="L46">
        <v>0</v>
      </c>
    </row>
    <row r="47" spans="1:12" x14ac:dyDescent="0.25">
      <c r="A47" t="s">
        <v>575</v>
      </c>
      <c r="B47" s="1">
        <v>45492.354861111111</v>
      </c>
      <c r="C47" t="s">
        <v>19</v>
      </c>
      <c r="D47" t="s">
        <v>20</v>
      </c>
      <c r="E47" t="s">
        <v>15</v>
      </c>
      <c r="F47" t="s">
        <v>45</v>
      </c>
      <c r="G47">
        <v>3385.67</v>
      </c>
      <c r="H47" t="s">
        <v>22</v>
      </c>
      <c r="J47">
        <v>2.5</v>
      </c>
      <c r="K47">
        <v>84.64</v>
      </c>
      <c r="L47">
        <v>3301.03</v>
      </c>
    </row>
    <row r="48" spans="1:12" x14ac:dyDescent="0.25">
      <c r="A48" t="s">
        <v>576</v>
      </c>
      <c r="B48" s="1">
        <v>45492.720833333333</v>
      </c>
      <c r="C48" t="s">
        <v>27</v>
      </c>
      <c r="D48" t="s">
        <v>25</v>
      </c>
      <c r="E48" t="s">
        <v>39</v>
      </c>
      <c r="F48" t="s">
        <v>21</v>
      </c>
      <c r="G48">
        <v>4787.38</v>
      </c>
      <c r="H48" t="s">
        <v>22</v>
      </c>
      <c r="J48">
        <v>3.2</v>
      </c>
      <c r="K48">
        <v>153.19999999999999</v>
      </c>
      <c r="L48">
        <v>4634.18</v>
      </c>
    </row>
    <row r="49" spans="1:12" x14ac:dyDescent="0.25">
      <c r="A49" t="s">
        <v>577</v>
      </c>
      <c r="B49" s="1">
        <v>45493.270138888889</v>
      </c>
      <c r="C49" t="s">
        <v>24</v>
      </c>
      <c r="D49" t="s">
        <v>25</v>
      </c>
      <c r="E49" t="s">
        <v>39</v>
      </c>
      <c r="F49" t="s">
        <v>41</v>
      </c>
      <c r="G49">
        <v>3788.18</v>
      </c>
      <c r="H49" t="s">
        <v>22</v>
      </c>
      <c r="J49">
        <v>3.2</v>
      </c>
      <c r="K49">
        <v>121.22</v>
      </c>
      <c r="L49">
        <v>3666.96</v>
      </c>
    </row>
    <row r="50" spans="1:12" x14ac:dyDescent="0.25">
      <c r="A50" t="s">
        <v>578</v>
      </c>
      <c r="B50" s="1">
        <v>45493.775000000001</v>
      </c>
      <c r="C50" t="s">
        <v>60</v>
      </c>
      <c r="D50" t="s">
        <v>25</v>
      </c>
      <c r="E50" t="s">
        <v>28</v>
      </c>
      <c r="F50" t="s">
        <v>16</v>
      </c>
      <c r="G50">
        <v>687.14</v>
      </c>
      <c r="H50" t="s">
        <v>34</v>
      </c>
      <c r="I50" t="s">
        <v>35</v>
      </c>
      <c r="J50">
        <v>2.9</v>
      </c>
      <c r="K50">
        <v>0</v>
      </c>
      <c r="L50">
        <v>0</v>
      </c>
    </row>
    <row r="51" spans="1:12" x14ac:dyDescent="0.25">
      <c r="A51" t="s">
        <v>579</v>
      </c>
      <c r="B51" s="1">
        <v>45494.606249999997</v>
      </c>
      <c r="C51" t="s">
        <v>31</v>
      </c>
      <c r="D51" t="s">
        <v>32</v>
      </c>
      <c r="E51" t="s">
        <v>28</v>
      </c>
      <c r="F51" t="s">
        <v>29</v>
      </c>
      <c r="G51">
        <v>1980.11</v>
      </c>
      <c r="H51" t="s">
        <v>17</v>
      </c>
      <c r="J51">
        <v>2.9</v>
      </c>
      <c r="K51">
        <v>0</v>
      </c>
      <c r="L51">
        <v>0</v>
      </c>
    </row>
    <row r="52" spans="1:12" x14ac:dyDescent="0.25">
      <c r="A52" t="s">
        <v>580</v>
      </c>
      <c r="B52" s="1">
        <v>45495.031944444447</v>
      </c>
      <c r="C52" t="s">
        <v>60</v>
      </c>
      <c r="D52" t="s">
        <v>25</v>
      </c>
      <c r="E52" t="s">
        <v>39</v>
      </c>
      <c r="F52" t="s">
        <v>45</v>
      </c>
      <c r="G52">
        <v>91.35</v>
      </c>
      <c r="H52" t="s">
        <v>22</v>
      </c>
      <c r="J52">
        <v>3.2</v>
      </c>
      <c r="K52">
        <v>2.92</v>
      </c>
      <c r="L52">
        <v>88.43</v>
      </c>
    </row>
    <row r="53" spans="1:12" x14ac:dyDescent="0.25">
      <c r="A53" t="s">
        <v>581</v>
      </c>
      <c r="B53" s="1">
        <v>45495.315972222219</v>
      </c>
      <c r="C53" t="s">
        <v>37</v>
      </c>
      <c r="D53" t="s">
        <v>38</v>
      </c>
      <c r="E53" t="s">
        <v>39</v>
      </c>
      <c r="F53" t="s">
        <v>16</v>
      </c>
      <c r="G53">
        <v>2336.59</v>
      </c>
      <c r="H53" t="s">
        <v>22</v>
      </c>
      <c r="J53">
        <v>3.2</v>
      </c>
      <c r="K53">
        <v>74.77</v>
      </c>
      <c r="L53">
        <v>2261.8200000000002</v>
      </c>
    </row>
    <row r="54" spans="1:12" x14ac:dyDescent="0.25">
      <c r="A54" t="s">
        <v>582</v>
      </c>
      <c r="B54" s="1">
        <v>45495.324999999997</v>
      </c>
      <c r="C54" t="s">
        <v>19</v>
      </c>
      <c r="D54" t="s">
        <v>20</v>
      </c>
      <c r="E54" t="s">
        <v>44</v>
      </c>
      <c r="F54" t="s">
        <v>41</v>
      </c>
      <c r="G54">
        <v>2633.42</v>
      </c>
      <c r="H54" t="s">
        <v>34</v>
      </c>
      <c r="I54" t="s">
        <v>55</v>
      </c>
      <c r="J54">
        <v>2.1</v>
      </c>
      <c r="K54">
        <v>0</v>
      </c>
      <c r="L54">
        <v>0</v>
      </c>
    </row>
    <row r="55" spans="1:12" x14ac:dyDescent="0.25">
      <c r="A55" t="s">
        <v>583</v>
      </c>
      <c r="B55" s="1">
        <v>45495.480555555558</v>
      </c>
      <c r="C55" t="s">
        <v>60</v>
      </c>
      <c r="D55" t="s">
        <v>25</v>
      </c>
      <c r="E55" t="s">
        <v>44</v>
      </c>
      <c r="F55" t="s">
        <v>45</v>
      </c>
      <c r="G55">
        <v>3423.97</v>
      </c>
      <c r="H55" t="s">
        <v>17</v>
      </c>
      <c r="J55">
        <v>2.1</v>
      </c>
      <c r="K55">
        <v>0</v>
      </c>
      <c r="L55">
        <v>0</v>
      </c>
    </row>
    <row r="56" spans="1:12" x14ac:dyDescent="0.25">
      <c r="A56" t="s">
        <v>584</v>
      </c>
      <c r="B56" s="1">
        <v>45495.632638888892</v>
      </c>
      <c r="C56" t="s">
        <v>47</v>
      </c>
      <c r="D56" t="s">
        <v>25</v>
      </c>
      <c r="E56" t="s">
        <v>28</v>
      </c>
      <c r="F56" t="s">
        <v>41</v>
      </c>
      <c r="G56">
        <v>1498.98</v>
      </c>
      <c r="H56" t="s">
        <v>17</v>
      </c>
      <c r="J56">
        <v>2.9</v>
      </c>
      <c r="K56">
        <v>0</v>
      </c>
      <c r="L56">
        <v>0</v>
      </c>
    </row>
    <row r="57" spans="1:12" x14ac:dyDescent="0.25">
      <c r="A57" t="s">
        <v>585</v>
      </c>
      <c r="B57" s="1">
        <v>45495.874305555553</v>
      </c>
      <c r="C57" t="s">
        <v>31</v>
      </c>
      <c r="D57" t="s">
        <v>32</v>
      </c>
      <c r="E57" t="s">
        <v>28</v>
      </c>
      <c r="F57" t="s">
        <v>29</v>
      </c>
      <c r="G57">
        <v>1868.61</v>
      </c>
      <c r="H57" t="s">
        <v>17</v>
      </c>
      <c r="J57">
        <v>2.9</v>
      </c>
      <c r="K57">
        <v>0</v>
      </c>
      <c r="L57">
        <v>0</v>
      </c>
    </row>
    <row r="58" spans="1:12" x14ac:dyDescent="0.25">
      <c r="A58" t="s">
        <v>586</v>
      </c>
      <c r="B58" s="1">
        <v>45497.12222222222</v>
      </c>
      <c r="C58" t="s">
        <v>43</v>
      </c>
      <c r="D58" t="s">
        <v>25</v>
      </c>
      <c r="E58" t="s">
        <v>39</v>
      </c>
      <c r="F58" t="s">
        <v>21</v>
      </c>
      <c r="G58">
        <v>1643.23</v>
      </c>
      <c r="H58" t="s">
        <v>17</v>
      </c>
      <c r="J58">
        <v>3.2</v>
      </c>
      <c r="K58">
        <v>0</v>
      </c>
      <c r="L58">
        <v>0</v>
      </c>
    </row>
    <row r="59" spans="1:12" x14ac:dyDescent="0.25">
      <c r="A59" t="s">
        <v>587</v>
      </c>
      <c r="B59" s="1">
        <v>45497.352777777778</v>
      </c>
      <c r="C59" t="s">
        <v>27</v>
      </c>
      <c r="D59" t="s">
        <v>25</v>
      </c>
      <c r="E59" t="s">
        <v>33</v>
      </c>
      <c r="F59" t="s">
        <v>29</v>
      </c>
      <c r="G59">
        <v>4896.57</v>
      </c>
      <c r="H59" t="s">
        <v>22</v>
      </c>
      <c r="J59">
        <v>1.9</v>
      </c>
      <c r="K59">
        <v>93.03</v>
      </c>
      <c r="L59">
        <v>4803.54</v>
      </c>
    </row>
    <row r="60" spans="1:12" x14ac:dyDescent="0.25">
      <c r="A60" t="s">
        <v>588</v>
      </c>
      <c r="B60" s="1">
        <v>45497.520138888889</v>
      </c>
      <c r="C60" t="s">
        <v>47</v>
      </c>
      <c r="D60" t="s">
        <v>25</v>
      </c>
      <c r="E60" t="s">
        <v>15</v>
      </c>
      <c r="F60" t="s">
        <v>16</v>
      </c>
      <c r="G60">
        <v>4001.5</v>
      </c>
      <c r="H60" t="s">
        <v>22</v>
      </c>
      <c r="J60">
        <v>2.5</v>
      </c>
      <c r="K60">
        <v>100.04</v>
      </c>
      <c r="L60">
        <v>3901.46</v>
      </c>
    </row>
    <row r="61" spans="1:12" x14ac:dyDescent="0.25">
      <c r="A61" t="s">
        <v>589</v>
      </c>
      <c r="B61" s="1">
        <v>45498.295138888891</v>
      </c>
      <c r="C61" t="s">
        <v>43</v>
      </c>
      <c r="D61" t="s">
        <v>25</v>
      </c>
      <c r="E61" t="s">
        <v>15</v>
      </c>
      <c r="F61" t="s">
        <v>45</v>
      </c>
      <c r="G61">
        <v>2246.0100000000002</v>
      </c>
      <c r="H61" t="s">
        <v>34</v>
      </c>
      <c r="I61" t="s">
        <v>55</v>
      </c>
      <c r="J61">
        <v>2.5</v>
      </c>
      <c r="K61">
        <v>0</v>
      </c>
      <c r="L61">
        <v>0</v>
      </c>
    </row>
    <row r="62" spans="1:12" x14ac:dyDescent="0.25">
      <c r="A62" t="s">
        <v>590</v>
      </c>
      <c r="B62" s="1">
        <v>45498.5625</v>
      </c>
      <c r="C62" t="s">
        <v>58</v>
      </c>
      <c r="D62" t="s">
        <v>25</v>
      </c>
      <c r="E62" t="s">
        <v>28</v>
      </c>
      <c r="F62" t="s">
        <v>41</v>
      </c>
      <c r="G62">
        <v>2673.58</v>
      </c>
      <c r="H62" t="s">
        <v>22</v>
      </c>
      <c r="J62">
        <v>2.9</v>
      </c>
      <c r="K62">
        <v>77.53</v>
      </c>
      <c r="L62">
        <v>2596.0500000000002</v>
      </c>
    </row>
    <row r="63" spans="1:12" x14ac:dyDescent="0.25">
      <c r="A63" t="s">
        <v>591</v>
      </c>
      <c r="B63" s="1">
        <v>45499.134027777778</v>
      </c>
      <c r="C63" t="s">
        <v>13</v>
      </c>
      <c r="D63" t="s">
        <v>14</v>
      </c>
      <c r="E63" t="s">
        <v>15</v>
      </c>
      <c r="F63" t="s">
        <v>45</v>
      </c>
      <c r="G63">
        <v>753.28</v>
      </c>
      <c r="H63" t="s">
        <v>17</v>
      </c>
      <c r="J63">
        <v>2.5</v>
      </c>
      <c r="K63">
        <v>0</v>
      </c>
      <c r="L63">
        <v>0</v>
      </c>
    </row>
    <row r="64" spans="1:12" x14ac:dyDescent="0.25">
      <c r="A64" t="s">
        <v>592</v>
      </c>
      <c r="B64" s="1">
        <v>45499.296527777777</v>
      </c>
      <c r="C64" t="s">
        <v>27</v>
      </c>
      <c r="D64" t="s">
        <v>25</v>
      </c>
      <c r="E64" t="s">
        <v>44</v>
      </c>
      <c r="F64" t="s">
        <v>41</v>
      </c>
      <c r="G64">
        <v>1235.48</v>
      </c>
      <c r="H64" t="s">
        <v>22</v>
      </c>
      <c r="J64">
        <v>2.1</v>
      </c>
      <c r="K64">
        <v>25.95</v>
      </c>
      <c r="L64">
        <v>1209.53</v>
      </c>
    </row>
    <row r="65" spans="1:12" x14ac:dyDescent="0.25">
      <c r="A65" t="s">
        <v>593</v>
      </c>
      <c r="B65" s="1">
        <v>45499.84097222222</v>
      </c>
      <c r="C65" t="s">
        <v>27</v>
      </c>
      <c r="D65" t="s">
        <v>25</v>
      </c>
      <c r="E65" t="s">
        <v>15</v>
      </c>
      <c r="F65" t="s">
        <v>16</v>
      </c>
      <c r="G65">
        <v>155.66999999999999</v>
      </c>
      <c r="H65" t="s">
        <v>17</v>
      </c>
      <c r="J65">
        <v>2.5</v>
      </c>
      <c r="K65">
        <v>0</v>
      </c>
      <c r="L65">
        <v>0</v>
      </c>
    </row>
    <row r="66" spans="1:12" x14ac:dyDescent="0.25">
      <c r="A66" t="s">
        <v>594</v>
      </c>
      <c r="B66" s="1">
        <v>45501.896527777775</v>
      </c>
      <c r="C66" t="s">
        <v>58</v>
      </c>
      <c r="D66" t="s">
        <v>25</v>
      </c>
      <c r="E66" t="s">
        <v>15</v>
      </c>
      <c r="F66" t="s">
        <v>16</v>
      </c>
      <c r="G66">
        <v>844.59</v>
      </c>
      <c r="H66" t="s">
        <v>17</v>
      </c>
      <c r="J66">
        <v>2.5</v>
      </c>
      <c r="K66">
        <v>0</v>
      </c>
      <c r="L66">
        <v>0</v>
      </c>
    </row>
    <row r="67" spans="1:12" x14ac:dyDescent="0.25">
      <c r="A67" t="s">
        <v>595</v>
      </c>
      <c r="B67" s="1">
        <v>45502.053472222222</v>
      </c>
      <c r="C67" t="s">
        <v>27</v>
      </c>
      <c r="D67" t="s">
        <v>25</v>
      </c>
      <c r="E67" t="s">
        <v>44</v>
      </c>
      <c r="F67" t="s">
        <v>29</v>
      </c>
      <c r="G67">
        <v>739.75</v>
      </c>
      <c r="H67" t="s">
        <v>22</v>
      </c>
      <c r="J67">
        <v>2.1</v>
      </c>
      <c r="K67">
        <v>15.53</v>
      </c>
      <c r="L67">
        <v>724.22</v>
      </c>
    </row>
    <row r="68" spans="1:12" x14ac:dyDescent="0.25">
      <c r="A68" t="s">
        <v>596</v>
      </c>
      <c r="B68" s="1">
        <v>45502.147916666669</v>
      </c>
      <c r="C68" t="s">
        <v>31</v>
      </c>
      <c r="D68" t="s">
        <v>32</v>
      </c>
      <c r="E68" t="s">
        <v>15</v>
      </c>
      <c r="F68" t="s">
        <v>21</v>
      </c>
      <c r="G68">
        <v>1104.8900000000001</v>
      </c>
      <c r="H68" t="s">
        <v>22</v>
      </c>
      <c r="J68">
        <v>2.5</v>
      </c>
      <c r="K68">
        <v>27.62</v>
      </c>
      <c r="L68">
        <v>1077.27</v>
      </c>
    </row>
    <row r="69" spans="1:12" x14ac:dyDescent="0.25">
      <c r="A69" t="s">
        <v>597</v>
      </c>
      <c r="B69" s="1">
        <v>45503.21597222222</v>
      </c>
      <c r="C69" t="s">
        <v>60</v>
      </c>
      <c r="D69" t="s">
        <v>25</v>
      </c>
      <c r="E69" t="s">
        <v>44</v>
      </c>
      <c r="F69" t="s">
        <v>29</v>
      </c>
      <c r="G69">
        <v>3313.49</v>
      </c>
      <c r="H69" t="s">
        <v>22</v>
      </c>
      <c r="J69">
        <v>2.1</v>
      </c>
      <c r="K69">
        <v>69.58</v>
      </c>
      <c r="L69">
        <v>3243.91</v>
      </c>
    </row>
    <row r="70" spans="1:12" x14ac:dyDescent="0.25">
      <c r="A70" t="s">
        <v>598</v>
      </c>
      <c r="B70" s="1">
        <v>45503.447916666664</v>
      </c>
      <c r="C70" t="s">
        <v>58</v>
      </c>
      <c r="D70" t="s">
        <v>25</v>
      </c>
      <c r="E70" t="s">
        <v>28</v>
      </c>
      <c r="F70" t="s">
        <v>29</v>
      </c>
      <c r="G70">
        <v>3495.43</v>
      </c>
      <c r="H70" t="s">
        <v>17</v>
      </c>
      <c r="J70">
        <v>2.9</v>
      </c>
      <c r="K70">
        <v>0</v>
      </c>
      <c r="L70">
        <v>0</v>
      </c>
    </row>
    <row r="71" spans="1:12" x14ac:dyDescent="0.25">
      <c r="A71" t="s">
        <v>599</v>
      </c>
      <c r="B71" s="1">
        <v>45503.663888888892</v>
      </c>
      <c r="C71" t="s">
        <v>58</v>
      </c>
      <c r="D71" t="s">
        <v>25</v>
      </c>
      <c r="E71" t="s">
        <v>39</v>
      </c>
      <c r="F71" t="s">
        <v>45</v>
      </c>
      <c r="G71">
        <v>1882.98</v>
      </c>
      <c r="H71" t="s">
        <v>34</v>
      </c>
      <c r="I71" t="s">
        <v>100</v>
      </c>
      <c r="J71">
        <v>3.2</v>
      </c>
      <c r="K71">
        <v>0</v>
      </c>
      <c r="L71">
        <v>0</v>
      </c>
    </row>
    <row r="72" spans="1:12" x14ac:dyDescent="0.25">
      <c r="A72" t="s">
        <v>600</v>
      </c>
      <c r="B72" s="1">
        <v>45504.059027777781</v>
      </c>
      <c r="C72" t="s">
        <v>13</v>
      </c>
      <c r="D72" t="s">
        <v>14</v>
      </c>
      <c r="E72" t="s">
        <v>39</v>
      </c>
      <c r="F72" t="s">
        <v>29</v>
      </c>
      <c r="G72">
        <v>1936.97</v>
      </c>
      <c r="H72" t="s">
        <v>22</v>
      </c>
      <c r="J72">
        <v>3.2</v>
      </c>
      <c r="K72">
        <v>61.98</v>
      </c>
      <c r="L72">
        <v>1874.99</v>
      </c>
    </row>
    <row r="73" spans="1:12" x14ac:dyDescent="0.25">
      <c r="A73" t="s">
        <v>601</v>
      </c>
      <c r="B73" s="1">
        <v>45504.940972222219</v>
      </c>
      <c r="C73" t="s">
        <v>43</v>
      </c>
      <c r="D73" t="s">
        <v>25</v>
      </c>
      <c r="E73" t="s">
        <v>33</v>
      </c>
      <c r="F73" t="s">
        <v>29</v>
      </c>
      <c r="G73">
        <v>3811.68</v>
      </c>
      <c r="H73" t="s">
        <v>17</v>
      </c>
      <c r="J73">
        <v>1.9</v>
      </c>
      <c r="K73">
        <v>0</v>
      </c>
      <c r="L73">
        <v>0</v>
      </c>
    </row>
    <row r="74" spans="1:12" x14ac:dyDescent="0.25">
      <c r="A74" t="s">
        <v>602</v>
      </c>
      <c r="B74" s="1">
        <v>45505.09375</v>
      </c>
      <c r="C74" t="s">
        <v>43</v>
      </c>
      <c r="D74" t="s">
        <v>25</v>
      </c>
      <c r="E74" t="s">
        <v>28</v>
      </c>
      <c r="F74" t="s">
        <v>21</v>
      </c>
      <c r="G74">
        <v>139.55000000000001</v>
      </c>
      <c r="H74" t="s">
        <v>22</v>
      </c>
      <c r="J74">
        <v>2.9</v>
      </c>
      <c r="K74">
        <v>4.05</v>
      </c>
      <c r="L74">
        <v>135.5</v>
      </c>
    </row>
    <row r="75" spans="1:12" x14ac:dyDescent="0.25">
      <c r="A75" t="s">
        <v>603</v>
      </c>
      <c r="B75" s="1">
        <v>45505.316666666666</v>
      </c>
      <c r="C75" t="s">
        <v>27</v>
      </c>
      <c r="D75" t="s">
        <v>25</v>
      </c>
      <c r="E75" t="s">
        <v>15</v>
      </c>
      <c r="F75" t="s">
        <v>21</v>
      </c>
      <c r="G75">
        <v>4549.58</v>
      </c>
      <c r="H75" t="s">
        <v>22</v>
      </c>
      <c r="J75">
        <v>2.5</v>
      </c>
      <c r="K75">
        <v>113.74</v>
      </c>
      <c r="L75">
        <v>4435.84</v>
      </c>
    </row>
    <row r="76" spans="1:12" x14ac:dyDescent="0.25">
      <c r="A76" t="s">
        <v>604</v>
      </c>
      <c r="B76" s="1">
        <v>45505.623611111114</v>
      </c>
      <c r="C76" t="s">
        <v>31</v>
      </c>
      <c r="D76" t="s">
        <v>32</v>
      </c>
      <c r="E76" t="s">
        <v>28</v>
      </c>
      <c r="F76" t="s">
        <v>29</v>
      </c>
      <c r="G76">
        <v>4617.8100000000004</v>
      </c>
      <c r="H76" t="s">
        <v>34</v>
      </c>
      <c r="I76" t="s">
        <v>62</v>
      </c>
      <c r="J76">
        <v>2.9</v>
      </c>
      <c r="K76">
        <v>0</v>
      </c>
      <c r="L76">
        <v>0</v>
      </c>
    </row>
    <row r="77" spans="1:12" x14ac:dyDescent="0.25">
      <c r="A77" t="s">
        <v>605</v>
      </c>
      <c r="B77" s="1">
        <v>45506.024305555555</v>
      </c>
      <c r="C77" t="s">
        <v>24</v>
      </c>
      <c r="D77" t="s">
        <v>25</v>
      </c>
      <c r="E77" t="s">
        <v>44</v>
      </c>
      <c r="F77" t="s">
        <v>41</v>
      </c>
      <c r="G77">
        <v>4933.1499999999996</v>
      </c>
      <c r="H77" t="s">
        <v>22</v>
      </c>
      <c r="J77">
        <v>2.1</v>
      </c>
      <c r="K77">
        <v>103.6</v>
      </c>
      <c r="L77">
        <v>4829.55</v>
      </c>
    </row>
    <row r="78" spans="1:12" x14ac:dyDescent="0.25">
      <c r="A78" t="s">
        <v>606</v>
      </c>
      <c r="B78" s="1">
        <v>45506.226388888892</v>
      </c>
      <c r="C78" t="s">
        <v>27</v>
      </c>
      <c r="D78" t="s">
        <v>25</v>
      </c>
      <c r="E78" t="s">
        <v>28</v>
      </c>
      <c r="F78" t="s">
        <v>21</v>
      </c>
      <c r="G78">
        <v>4880.88</v>
      </c>
      <c r="H78" t="s">
        <v>22</v>
      </c>
      <c r="J78">
        <v>2.9</v>
      </c>
      <c r="K78">
        <v>141.55000000000001</v>
      </c>
      <c r="L78">
        <v>4739.33</v>
      </c>
    </row>
    <row r="79" spans="1:12" x14ac:dyDescent="0.25">
      <c r="A79" t="s">
        <v>607</v>
      </c>
      <c r="B79" s="1">
        <v>45506.241666666669</v>
      </c>
      <c r="C79" t="s">
        <v>37</v>
      </c>
      <c r="D79" t="s">
        <v>38</v>
      </c>
      <c r="E79" t="s">
        <v>44</v>
      </c>
      <c r="F79" t="s">
        <v>21</v>
      </c>
      <c r="G79">
        <v>3022.14</v>
      </c>
      <c r="H79" t="s">
        <v>17</v>
      </c>
      <c r="J79">
        <v>2.1</v>
      </c>
      <c r="K79">
        <v>0</v>
      </c>
      <c r="L79">
        <v>0</v>
      </c>
    </row>
    <row r="80" spans="1:12" x14ac:dyDescent="0.25">
      <c r="A80" t="s">
        <v>608</v>
      </c>
      <c r="B80" s="1">
        <v>45506.27847222222</v>
      </c>
      <c r="C80" t="s">
        <v>13</v>
      </c>
      <c r="D80" t="s">
        <v>14</v>
      </c>
      <c r="E80" t="s">
        <v>44</v>
      </c>
      <c r="F80" t="s">
        <v>45</v>
      </c>
      <c r="G80">
        <v>3976.28</v>
      </c>
      <c r="H80" t="s">
        <v>34</v>
      </c>
      <c r="I80" t="s">
        <v>62</v>
      </c>
      <c r="J80">
        <v>2.1</v>
      </c>
      <c r="K80">
        <v>0</v>
      </c>
      <c r="L80">
        <v>0</v>
      </c>
    </row>
    <row r="81" spans="1:12" x14ac:dyDescent="0.25">
      <c r="A81" t="s">
        <v>609</v>
      </c>
      <c r="B81" s="1">
        <v>45506.51666666667</v>
      </c>
      <c r="C81" t="s">
        <v>60</v>
      </c>
      <c r="D81" t="s">
        <v>25</v>
      </c>
      <c r="E81" t="s">
        <v>33</v>
      </c>
      <c r="F81" t="s">
        <v>45</v>
      </c>
      <c r="G81">
        <v>4081.91</v>
      </c>
      <c r="H81" t="s">
        <v>22</v>
      </c>
      <c r="J81">
        <v>1.9</v>
      </c>
      <c r="K81">
        <v>77.56</v>
      </c>
      <c r="L81">
        <v>4004.35</v>
      </c>
    </row>
    <row r="82" spans="1:12" x14ac:dyDescent="0.25">
      <c r="A82" t="s">
        <v>610</v>
      </c>
      <c r="B82" s="1">
        <v>45506.538888888892</v>
      </c>
      <c r="C82" t="s">
        <v>13</v>
      </c>
      <c r="D82" t="s">
        <v>14</v>
      </c>
      <c r="E82" t="s">
        <v>39</v>
      </c>
      <c r="F82" t="s">
        <v>21</v>
      </c>
      <c r="G82">
        <v>4547.0600000000004</v>
      </c>
      <c r="H82" t="s">
        <v>22</v>
      </c>
      <c r="J82">
        <v>3.2</v>
      </c>
      <c r="K82">
        <v>145.51</v>
      </c>
      <c r="L82">
        <v>4401.55</v>
      </c>
    </row>
    <row r="83" spans="1:12" x14ac:dyDescent="0.25">
      <c r="A83" t="s">
        <v>611</v>
      </c>
      <c r="B83" s="1">
        <v>45506.797222222223</v>
      </c>
      <c r="C83" t="s">
        <v>19</v>
      </c>
      <c r="D83" t="s">
        <v>20</v>
      </c>
      <c r="E83" t="s">
        <v>15</v>
      </c>
      <c r="F83" t="s">
        <v>16</v>
      </c>
      <c r="G83">
        <v>936.91</v>
      </c>
      <c r="H83" t="s">
        <v>17</v>
      </c>
      <c r="J83">
        <v>2.5</v>
      </c>
      <c r="K83">
        <v>0</v>
      </c>
      <c r="L83">
        <v>0</v>
      </c>
    </row>
    <row r="84" spans="1:12" x14ac:dyDescent="0.25">
      <c r="A84" t="s">
        <v>612</v>
      </c>
      <c r="B84" s="1">
        <v>45507.370138888888</v>
      </c>
      <c r="C84" t="s">
        <v>31</v>
      </c>
      <c r="D84" t="s">
        <v>32</v>
      </c>
      <c r="E84" t="s">
        <v>15</v>
      </c>
      <c r="F84" t="s">
        <v>41</v>
      </c>
      <c r="G84">
        <v>3747.63</v>
      </c>
      <c r="H84" t="s">
        <v>22</v>
      </c>
      <c r="J84">
        <v>2.5</v>
      </c>
      <c r="K84">
        <v>93.69</v>
      </c>
      <c r="L84">
        <v>3653.94</v>
      </c>
    </row>
    <row r="85" spans="1:12" x14ac:dyDescent="0.25">
      <c r="A85" t="s">
        <v>613</v>
      </c>
      <c r="B85" s="1">
        <v>45507.496527777781</v>
      </c>
      <c r="C85" t="s">
        <v>60</v>
      </c>
      <c r="D85" t="s">
        <v>25</v>
      </c>
      <c r="E85" t="s">
        <v>33</v>
      </c>
      <c r="F85" t="s">
        <v>16</v>
      </c>
      <c r="G85">
        <v>1155.1400000000001</v>
      </c>
      <c r="H85" t="s">
        <v>34</v>
      </c>
      <c r="I85" t="s">
        <v>55</v>
      </c>
      <c r="J85">
        <v>1.9</v>
      </c>
      <c r="K85">
        <v>0</v>
      </c>
      <c r="L85">
        <v>0</v>
      </c>
    </row>
    <row r="86" spans="1:12" x14ac:dyDescent="0.25">
      <c r="A86" t="s">
        <v>614</v>
      </c>
      <c r="B86" s="1">
        <v>45508.022916666669</v>
      </c>
      <c r="C86" t="s">
        <v>31</v>
      </c>
      <c r="D86" t="s">
        <v>32</v>
      </c>
      <c r="E86" t="s">
        <v>28</v>
      </c>
      <c r="F86" t="s">
        <v>16</v>
      </c>
      <c r="G86">
        <v>735.18</v>
      </c>
      <c r="H86" t="s">
        <v>22</v>
      </c>
      <c r="J86">
        <v>2.9</v>
      </c>
      <c r="K86">
        <v>21.32</v>
      </c>
      <c r="L86">
        <v>713.86</v>
      </c>
    </row>
    <row r="87" spans="1:12" x14ac:dyDescent="0.25">
      <c r="A87" t="s">
        <v>615</v>
      </c>
      <c r="B87" s="1">
        <v>45508.537499999999</v>
      </c>
      <c r="C87" t="s">
        <v>37</v>
      </c>
      <c r="D87" t="s">
        <v>38</v>
      </c>
      <c r="E87" t="s">
        <v>15</v>
      </c>
      <c r="F87" t="s">
        <v>21</v>
      </c>
      <c r="G87">
        <v>1098.8599999999999</v>
      </c>
      <c r="H87" t="s">
        <v>22</v>
      </c>
      <c r="J87">
        <v>2.5</v>
      </c>
      <c r="K87">
        <v>27.47</v>
      </c>
      <c r="L87">
        <v>1071.3900000000001</v>
      </c>
    </row>
    <row r="88" spans="1:12" x14ac:dyDescent="0.25">
      <c r="A88" t="s">
        <v>616</v>
      </c>
      <c r="B88" s="1">
        <v>45508.561805555553</v>
      </c>
      <c r="C88" t="s">
        <v>60</v>
      </c>
      <c r="D88" t="s">
        <v>25</v>
      </c>
      <c r="E88" t="s">
        <v>28</v>
      </c>
      <c r="F88" t="s">
        <v>41</v>
      </c>
      <c r="G88">
        <v>2019.08</v>
      </c>
      <c r="H88" t="s">
        <v>22</v>
      </c>
      <c r="J88">
        <v>2.9</v>
      </c>
      <c r="K88">
        <v>58.55</v>
      </c>
      <c r="L88">
        <v>1960.53</v>
      </c>
    </row>
    <row r="89" spans="1:12" x14ac:dyDescent="0.25">
      <c r="A89" t="s">
        <v>617</v>
      </c>
      <c r="B89" s="1">
        <v>45508.934027777781</v>
      </c>
      <c r="C89" t="s">
        <v>31</v>
      </c>
      <c r="D89" t="s">
        <v>32</v>
      </c>
      <c r="E89" t="s">
        <v>33</v>
      </c>
      <c r="F89" t="s">
        <v>45</v>
      </c>
      <c r="G89">
        <v>3084.07</v>
      </c>
      <c r="H89" t="s">
        <v>22</v>
      </c>
      <c r="J89">
        <v>1.9</v>
      </c>
      <c r="K89">
        <v>58.6</v>
      </c>
      <c r="L89">
        <v>3025.47</v>
      </c>
    </row>
    <row r="90" spans="1:12" x14ac:dyDescent="0.25">
      <c r="A90" t="s">
        <v>618</v>
      </c>
      <c r="B90" s="1">
        <v>45509.148611111108</v>
      </c>
      <c r="C90" t="s">
        <v>24</v>
      </c>
      <c r="D90" t="s">
        <v>25</v>
      </c>
      <c r="E90" t="s">
        <v>44</v>
      </c>
      <c r="F90" t="s">
        <v>21</v>
      </c>
      <c r="G90">
        <v>4134.8900000000003</v>
      </c>
      <c r="H90" t="s">
        <v>22</v>
      </c>
      <c r="J90">
        <v>2.1</v>
      </c>
      <c r="K90">
        <v>86.83</v>
      </c>
      <c r="L90">
        <v>4048.06</v>
      </c>
    </row>
    <row r="91" spans="1:12" x14ac:dyDescent="0.25">
      <c r="A91" t="s">
        <v>619</v>
      </c>
      <c r="B91" s="1">
        <v>45510.095833333333</v>
      </c>
      <c r="C91" t="s">
        <v>19</v>
      </c>
      <c r="D91" t="s">
        <v>20</v>
      </c>
      <c r="E91" t="s">
        <v>15</v>
      </c>
      <c r="F91" t="s">
        <v>29</v>
      </c>
      <c r="G91">
        <v>493.96</v>
      </c>
      <c r="H91" t="s">
        <v>22</v>
      </c>
      <c r="J91">
        <v>2.5</v>
      </c>
      <c r="K91">
        <v>12.35</v>
      </c>
      <c r="L91">
        <v>481.61</v>
      </c>
    </row>
    <row r="92" spans="1:12" x14ac:dyDescent="0.25">
      <c r="A92" t="s">
        <v>620</v>
      </c>
      <c r="B92" s="1">
        <v>45510.53402777778</v>
      </c>
      <c r="C92" t="s">
        <v>60</v>
      </c>
      <c r="D92" t="s">
        <v>25</v>
      </c>
      <c r="E92" t="s">
        <v>33</v>
      </c>
      <c r="F92" t="s">
        <v>16</v>
      </c>
      <c r="G92">
        <v>3603.8</v>
      </c>
      <c r="H92" t="s">
        <v>34</v>
      </c>
      <c r="I92" t="s">
        <v>100</v>
      </c>
      <c r="J92">
        <v>1.9</v>
      </c>
      <c r="K92">
        <v>0</v>
      </c>
      <c r="L92">
        <v>0</v>
      </c>
    </row>
    <row r="93" spans="1:12" x14ac:dyDescent="0.25">
      <c r="A93" t="s">
        <v>621</v>
      </c>
      <c r="B93" s="1">
        <v>45510.82916666667</v>
      </c>
      <c r="C93" t="s">
        <v>37</v>
      </c>
      <c r="D93" t="s">
        <v>38</v>
      </c>
      <c r="E93" t="s">
        <v>39</v>
      </c>
      <c r="F93" t="s">
        <v>45</v>
      </c>
      <c r="G93">
        <v>2879.96</v>
      </c>
      <c r="H93" t="s">
        <v>17</v>
      </c>
      <c r="J93">
        <v>3.2</v>
      </c>
      <c r="K93">
        <v>0</v>
      </c>
      <c r="L93">
        <v>0</v>
      </c>
    </row>
    <row r="94" spans="1:12" x14ac:dyDescent="0.25">
      <c r="A94" t="s">
        <v>622</v>
      </c>
      <c r="B94" s="1">
        <v>45511.287499999999</v>
      </c>
      <c r="C94" t="s">
        <v>31</v>
      </c>
      <c r="D94" t="s">
        <v>32</v>
      </c>
      <c r="E94" t="s">
        <v>15</v>
      </c>
      <c r="F94" t="s">
        <v>21</v>
      </c>
      <c r="G94">
        <v>904.69</v>
      </c>
      <c r="H94" t="s">
        <v>34</v>
      </c>
      <c r="I94" t="s">
        <v>78</v>
      </c>
      <c r="J94">
        <v>2.5</v>
      </c>
      <c r="K94">
        <v>0</v>
      </c>
      <c r="L94">
        <v>0</v>
      </c>
    </row>
    <row r="95" spans="1:12" x14ac:dyDescent="0.25">
      <c r="A95" t="s">
        <v>623</v>
      </c>
      <c r="B95" s="1">
        <v>45511.742361111108</v>
      </c>
      <c r="C95" t="s">
        <v>19</v>
      </c>
      <c r="D95" t="s">
        <v>20</v>
      </c>
      <c r="E95" t="s">
        <v>33</v>
      </c>
      <c r="F95" t="s">
        <v>45</v>
      </c>
      <c r="G95">
        <v>141.01</v>
      </c>
      <c r="H95" t="s">
        <v>22</v>
      </c>
      <c r="J95">
        <v>1.9</v>
      </c>
      <c r="K95">
        <v>2.68</v>
      </c>
      <c r="L95">
        <v>138.33000000000001</v>
      </c>
    </row>
    <row r="96" spans="1:12" x14ac:dyDescent="0.25">
      <c r="A96" t="s">
        <v>624</v>
      </c>
      <c r="B96" s="1">
        <v>45511.836805555555</v>
      </c>
      <c r="C96" t="s">
        <v>31</v>
      </c>
      <c r="D96" t="s">
        <v>32</v>
      </c>
      <c r="E96" t="s">
        <v>28</v>
      </c>
      <c r="F96" t="s">
        <v>29</v>
      </c>
      <c r="G96">
        <v>2389.27</v>
      </c>
      <c r="H96" t="s">
        <v>22</v>
      </c>
      <c r="J96">
        <v>2.9</v>
      </c>
      <c r="K96">
        <v>69.290000000000006</v>
      </c>
      <c r="L96">
        <v>2319.98</v>
      </c>
    </row>
    <row r="97" spans="1:12" x14ac:dyDescent="0.25">
      <c r="A97" t="s">
        <v>625</v>
      </c>
      <c r="B97" s="1">
        <v>45512.179861111108</v>
      </c>
      <c r="C97" t="s">
        <v>58</v>
      </c>
      <c r="D97" t="s">
        <v>25</v>
      </c>
      <c r="E97" t="s">
        <v>15</v>
      </c>
      <c r="F97" t="s">
        <v>41</v>
      </c>
      <c r="G97">
        <v>2848.59</v>
      </c>
      <c r="H97" t="s">
        <v>34</v>
      </c>
      <c r="I97" t="s">
        <v>100</v>
      </c>
      <c r="J97">
        <v>2.5</v>
      </c>
      <c r="K97">
        <v>0</v>
      </c>
      <c r="L97">
        <v>0</v>
      </c>
    </row>
    <row r="98" spans="1:12" x14ac:dyDescent="0.25">
      <c r="A98" t="s">
        <v>626</v>
      </c>
      <c r="B98" s="1">
        <v>45512.62222222222</v>
      </c>
      <c r="C98" t="s">
        <v>24</v>
      </c>
      <c r="D98" t="s">
        <v>25</v>
      </c>
      <c r="E98" t="s">
        <v>15</v>
      </c>
      <c r="F98" t="s">
        <v>21</v>
      </c>
      <c r="G98">
        <v>4138.82</v>
      </c>
      <c r="H98" t="s">
        <v>34</v>
      </c>
      <c r="I98" t="s">
        <v>55</v>
      </c>
      <c r="J98">
        <v>2.5</v>
      </c>
      <c r="K98">
        <v>0</v>
      </c>
      <c r="L98">
        <v>0</v>
      </c>
    </row>
    <row r="99" spans="1:12" x14ac:dyDescent="0.25">
      <c r="A99" t="s">
        <v>627</v>
      </c>
      <c r="B99" s="1">
        <v>45512.840277777781</v>
      </c>
      <c r="C99" t="s">
        <v>19</v>
      </c>
      <c r="D99" t="s">
        <v>20</v>
      </c>
      <c r="E99" t="s">
        <v>15</v>
      </c>
      <c r="F99" t="s">
        <v>29</v>
      </c>
      <c r="G99">
        <v>277.24</v>
      </c>
      <c r="H99" t="s">
        <v>22</v>
      </c>
      <c r="J99">
        <v>2.5</v>
      </c>
      <c r="K99">
        <v>6.93</v>
      </c>
      <c r="L99">
        <v>270.31</v>
      </c>
    </row>
    <row r="100" spans="1:12" x14ac:dyDescent="0.25">
      <c r="A100" t="s">
        <v>628</v>
      </c>
      <c r="B100" s="1">
        <v>45513.238194444442</v>
      </c>
      <c r="C100" t="s">
        <v>19</v>
      </c>
      <c r="D100" t="s">
        <v>20</v>
      </c>
      <c r="E100" t="s">
        <v>15</v>
      </c>
      <c r="F100" t="s">
        <v>41</v>
      </c>
      <c r="G100">
        <v>3863.12</v>
      </c>
      <c r="H100" t="s">
        <v>22</v>
      </c>
      <c r="J100">
        <v>2.5</v>
      </c>
      <c r="K100">
        <v>96.58</v>
      </c>
      <c r="L100">
        <v>3766.54</v>
      </c>
    </row>
    <row r="101" spans="1:12" x14ac:dyDescent="0.25">
      <c r="A101" t="s">
        <v>629</v>
      </c>
      <c r="B101" s="1">
        <v>45513.417361111111</v>
      </c>
      <c r="C101" t="s">
        <v>58</v>
      </c>
      <c r="D101" t="s">
        <v>25</v>
      </c>
      <c r="E101" t="s">
        <v>28</v>
      </c>
      <c r="F101" t="s">
        <v>45</v>
      </c>
      <c r="G101">
        <v>39.44</v>
      </c>
      <c r="H101" t="s">
        <v>17</v>
      </c>
      <c r="J101">
        <v>2.9</v>
      </c>
      <c r="K101">
        <v>0</v>
      </c>
      <c r="L101">
        <v>0</v>
      </c>
    </row>
    <row r="102" spans="1:12" x14ac:dyDescent="0.25">
      <c r="A102" t="s">
        <v>630</v>
      </c>
      <c r="B102" s="1">
        <v>45513.486111111109</v>
      </c>
      <c r="C102" t="s">
        <v>43</v>
      </c>
      <c r="D102" t="s">
        <v>25</v>
      </c>
      <c r="E102" t="s">
        <v>44</v>
      </c>
      <c r="F102" t="s">
        <v>16</v>
      </c>
      <c r="G102">
        <v>888.92</v>
      </c>
      <c r="H102" t="s">
        <v>17</v>
      </c>
      <c r="J102">
        <v>2.1</v>
      </c>
      <c r="K102">
        <v>0</v>
      </c>
      <c r="L102">
        <v>0</v>
      </c>
    </row>
    <row r="103" spans="1:12" x14ac:dyDescent="0.25">
      <c r="A103" t="s">
        <v>631</v>
      </c>
      <c r="B103" s="1">
        <v>45513.831944444442</v>
      </c>
      <c r="C103" t="s">
        <v>47</v>
      </c>
      <c r="D103" t="s">
        <v>25</v>
      </c>
      <c r="E103" t="s">
        <v>39</v>
      </c>
      <c r="F103" t="s">
        <v>21</v>
      </c>
      <c r="G103">
        <v>1342.77</v>
      </c>
      <c r="H103" t="s">
        <v>22</v>
      </c>
      <c r="J103">
        <v>3.2</v>
      </c>
      <c r="K103">
        <v>42.97</v>
      </c>
      <c r="L103">
        <v>1299.8</v>
      </c>
    </row>
    <row r="104" spans="1:12" x14ac:dyDescent="0.25">
      <c r="A104" t="s">
        <v>632</v>
      </c>
      <c r="B104" s="1">
        <v>45514.784722222219</v>
      </c>
      <c r="C104" t="s">
        <v>37</v>
      </c>
      <c r="D104" t="s">
        <v>38</v>
      </c>
      <c r="E104" t="s">
        <v>33</v>
      </c>
      <c r="F104" t="s">
        <v>29</v>
      </c>
      <c r="G104">
        <v>873.7</v>
      </c>
      <c r="H104" t="s">
        <v>22</v>
      </c>
      <c r="J104">
        <v>1.9</v>
      </c>
      <c r="K104">
        <v>16.600000000000001</v>
      </c>
      <c r="L104">
        <v>857.1</v>
      </c>
    </row>
    <row r="105" spans="1:12" x14ac:dyDescent="0.25">
      <c r="A105" t="s">
        <v>633</v>
      </c>
      <c r="B105" s="1">
        <v>45514.852083333331</v>
      </c>
      <c r="C105" t="s">
        <v>31</v>
      </c>
      <c r="D105" t="s">
        <v>32</v>
      </c>
      <c r="E105" t="s">
        <v>28</v>
      </c>
      <c r="F105" t="s">
        <v>45</v>
      </c>
      <c r="G105">
        <v>1715.31</v>
      </c>
      <c r="H105" t="s">
        <v>34</v>
      </c>
      <c r="I105" t="s">
        <v>35</v>
      </c>
      <c r="J105">
        <v>2.9</v>
      </c>
      <c r="K105">
        <v>0</v>
      </c>
      <c r="L105">
        <v>0</v>
      </c>
    </row>
    <row r="106" spans="1:12" x14ac:dyDescent="0.25">
      <c r="A106" t="s">
        <v>634</v>
      </c>
      <c r="B106" s="1">
        <v>45514.880555555559</v>
      </c>
      <c r="C106" t="s">
        <v>24</v>
      </c>
      <c r="D106" t="s">
        <v>25</v>
      </c>
      <c r="E106" t="s">
        <v>39</v>
      </c>
      <c r="F106" t="s">
        <v>21</v>
      </c>
      <c r="G106">
        <v>4256.0600000000004</v>
      </c>
      <c r="H106" t="s">
        <v>34</v>
      </c>
      <c r="I106" t="s">
        <v>62</v>
      </c>
      <c r="J106">
        <v>3.2</v>
      </c>
      <c r="K106">
        <v>0</v>
      </c>
      <c r="L106">
        <v>0</v>
      </c>
    </row>
    <row r="107" spans="1:12" x14ac:dyDescent="0.25">
      <c r="A107" t="s">
        <v>635</v>
      </c>
      <c r="B107" s="1">
        <v>45515.537499999999</v>
      </c>
      <c r="C107" t="s">
        <v>31</v>
      </c>
      <c r="D107" t="s">
        <v>32</v>
      </c>
      <c r="E107" t="s">
        <v>33</v>
      </c>
      <c r="F107" t="s">
        <v>29</v>
      </c>
      <c r="G107">
        <v>26.5</v>
      </c>
      <c r="H107" t="s">
        <v>34</v>
      </c>
      <c r="I107" t="s">
        <v>78</v>
      </c>
      <c r="J107">
        <v>1.9</v>
      </c>
      <c r="K107">
        <v>0</v>
      </c>
      <c r="L107">
        <v>0</v>
      </c>
    </row>
    <row r="108" spans="1:12" x14ac:dyDescent="0.25">
      <c r="A108" t="s">
        <v>636</v>
      </c>
      <c r="B108" s="1">
        <v>45515.870833333334</v>
      </c>
      <c r="C108" t="s">
        <v>13</v>
      </c>
      <c r="D108" t="s">
        <v>14</v>
      </c>
      <c r="E108" t="s">
        <v>44</v>
      </c>
      <c r="F108" t="s">
        <v>41</v>
      </c>
      <c r="G108">
        <v>1511.58</v>
      </c>
      <c r="H108" t="s">
        <v>34</v>
      </c>
      <c r="I108" t="s">
        <v>35</v>
      </c>
      <c r="J108">
        <v>2.1</v>
      </c>
      <c r="K108">
        <v>0</v>
      </c>
      <c r="L108">
        <v>0</v>
      </c>
    </row>
    <row r="109" spans="1:12" x14ac:dyDescent="0.25">
      <c r="A109" t="s">
        <v>637</v>
      </c>
      <c r="B109" s="1">
        <v>45516.938194444447</v>
      </c>
      <c r="C109" t="s">
        <v>31</v>
      </c>
      <c r="D109" t="s">
        <v>32</v>
      </c>
      <c r="E109" t="s">
        <v>28</v>
      </c>
      <c r="F109" t="s">
        <v>45</v>
      </c>
      <c r="G109">
        <v>3998.58</v>
      </c>
      <c r="H109" t="s">
        <v>22</v>
      </c>
      <c r="J109">
        <v>2.9</v>
      </c>
      <c r="K109">
        <v>115.96</v>
      </c>
      <c r="L109">
        <v>3882.62</v>
      </c>
    </row>
    <row r="110" spans="1:12" x14ac:dyDescent="0.25">
      <c r="A110" t="s">
        <v>638</v>
      </c>
      <c r="B110" s="1">
        <v>45517.114583333336</v>
      </c>
      <c r="C110" t="s">
        <v>47</v>
      </c>
      <c r="D110" t="s">
        <v>25</v>
      </c>
      <c r="E110" t="s">
        <v>44</v>
      </c>
      <c r="F110" t="s">
        <v>21</v>
      </c>
      <c r="G110">
        <v>1685.88</v>
      </c>
      <c r="H110" t="s">
        <v>17</v>
      </c>
      <c r="J110">
        <v>2.1</v>
      </c>
      <c r="K110">
        <v>0</v>
      </c>
      <c r="L110">
        <v>0</v>
      </c>
    </row>
    <row r="111" spans="1:12" x14ac:dyDescent="0.25">
      <c r="A111" t="s">
        <v>639</v>
      </c>
      <c r="B111" s="1">
        <v>45517.218055555553</v>
      </c>
      <c r="C111" t="s">
        <v>31</v>
      </c>
      <c r="D111" t="s">
        <v>32</v>
      </c>
      <c r="E111" t="s">
        <v>33</v>
      </c>
      <c r="F111" t="s">
        <v>21</v>
      </c>
      <c r="G111">
        <v>1065.47</v>
      </c>
      <c r="H111" t="s">
        <v>22</v>
      </c>
      <c r="J111">
        <v>1.9</v>
      </c>
      <c r="K111">
        <v>20.239999999999998</v>
      </c>
      <c r="L111">
        <v>1045.23</v>
      </c>
    </row>
    <row r="112" spans="1:12" x14ac:dyDescent="0.25">
      <c r="A112" t="s">
        <v>640</v>
      </c>
      <c r="B112" s="1">
        <v>45517.424305555556</v>
      </c>
      <c r="C112" t="s">
        <v>60</v>
      </c>
      <c r="D112" t="s">
        <v>25</v>
      </c>
      <c r="E112" t="s">
        <v>39</v>
      </c>
      <c r="F112" t="s">
        <v>16</v>
      </c>
      <c r="G112">
        <v>579.29</v>
      </c>
      <c r="H112" t="s">
        <v>22</v>
      </c>
      <c r="J112">
        <v>3.2</v>
      </c>
      <c r="K112">
        <v>18.54</v>
      </c>
      <c r="L112">
        <v>560.75</v>
      </c>
    </row>
    <row r="113" spans="1:12" x14ac:dyDescent="0.25">
      <c r="A113" t="s">
        <v>641</v>
      </c>
      <c r="B113" s="1">
        <v>45517.490277777775</v>
      </c>
      <c r="C113" t="s">
        <v>24</v>
      </c>
      <c r="D113" t="s">
        <v>25</v>
      </c>
      <c r="E113" t="s">
        <v>44</v>
      </c>
      <c r="F113" t="s">
        <v>16</v>
      </c>
      <c r="G113">
        <v>3084.22</v>
      </c>
      <c r="H113" t="s">
        <v>34</v>
      </c>
      <c r="I113" t="s">
        <v>35</v>
      </c>
      <c r="J113">
        <v>2.1</v>
      </c>
      <c r="K113">
        <v>0</v>
      </c>
      <c r="L113">
        <v>0</v>
      </c>
    </row>
    <row r="114" spans="1:12" x14ac:dyDescent="0.25">
      <c r="A114" t="s">
        <v>642</v>
      </c>
      <c r="B114" s="1">
        <v>45518.381944444445</v>
      </c>
      <c r="C114" t="s">
        <v>58</v>
      </c>
      <c r="D114" t="s">
        <v>25</v>
      </c>
      <c r="E114" t="s">
        <v>15</v>
      </c>
      <c r="F114" t="s">
        <v>29</v>
      </c>
      <c r="G114">
        <v>4179.2</v>
      </c>
      <c r="H114" t="s">
        <v>17</v>
      </c>
      <c r="J114">
        <v>2.5</v>
      </c>
      <c r="K114">
        <v>0</v>
      </c>
      <c r="L114">
        <v>0</v>
      </c>
    </row>
    <row r="115" spans="1:12" x14ac:dyDescent="0.25">
      <c r="A115" t="s">
        <v>643</v>
      </c>
      <c r="B115" s="1">
        <v>45518.390972222223</v>
      </c>
      <c r="C115" t="s">
        <v>58</v>
      </c>
      <c r="D115" t="s">
        <v>25</v>
      </c>
      <c r="E115" t="s">
        <v>39</v>
      </c>
      <c r="F115" t="s">
        <v>29</v>
      </c>
      <c r="G115">
        <v>1524.83</v>
      </c>
      <c r="H115" t="s">
        <v>22</v>
      </c>
      <c r="J115">
        <v>3.2</v>
      </c>
      <c r="K115">
        <v>48.79</v>
      </c>
      <c r="L115">
        <v>1476.04</v>
      </c>
    </row>
    <row r="116" spans="1:12" x14ac:dyDescent="0.25">
      <c r="A116" t="s">
        <v>644</v>
      </c>
      <c r="B116" s="1">
        <v>45518.553472222222</v>
      </c>
      <c r="C116" t="s">
        <v>24</v>
      </c>
      <c r="D116" t="s">
        <v>25</v>
      </c>
      <c r="E116" t="s">
        <v>33</v>
      </c>
      <c r="F116" t="s">
        <v>41</v>
      </c>
      <c r="G116">
        <v>1732.41</v>
      </c>
      <c r="H116" t="s">
        <v>22</v>
      </c>
      <c r="J116">
        <v>1.9</v>
      </c>
      <c r="K116">
        <v>32.92</v>
      </c>
      <c r="L116">
        <v>1699.49</v>
      </c>
    </row>
    <row r="117" spans="1:12" x14ac:dyDescent="0.25">
      <c r="A117" t="s">
        <v>645</v>
      </c>
      <c r="B117" s="1">
        <v>45518.827777777777</v>
      </c>
      <c r="C117" t="s">
        <v>13</v>
      </c>
      <c r="D117" t="s">
        <v>14</v>
      </c>
      <c r="E117" t="s">
        <v>15</v>
      </c>
      <c r="F117" t="s">
        <v>45</v>
      </c>
      <c r="G117">
        <v>2235.11</v>
      </c>
      <c r="H117" t="s">
        <v>22</v>
      </c>
      <c r="J117">
        <v>2.5</v>
      </c>
      <c r="K117">
        <v>55.88</v>
      </c>
      <c r="L117">
        <v>2179.23</v>
      </c>
    </row>
    <row r="118" spans="1:12" x14ac:dyDescent="0.25">
      <c r="A118" t="s">
        <v>646</v>
      </c>
      <c r="B118" s="1">
        <v>45520.039583333331</v>
      </c>
      <c r="C118" t="s">
        <v>43</v>
      </c>
      <c r="D118" t="s">
        <v>25</v>
      </c>
      <c r="E118" t="s">
        <v>44</v>
      </c>
      <c r="F118" t="s">
        <v>41</v>
      </c>
      <c r="G118">
        <v>4665.1400000000003</v>
      </c>
      <c r="H118" t="s">
        <v>34</v>
      </c>
      <c r="I118" t="s">
        <v>62</v>
      </c>
      <c r="J118">
        <v>2.1</v>
      </c>
      <c r="K118">
        <v>0</v>
      </c>
      <c r="L118">
        <v>0</v>
      </c>
    </row>
    <row r="119" spans="1:12" x14ac:dyDescent="0.25">
      <c r="A119" t="s">
        <v>647</v>
      </c>
      <c r="B119" s="1">
        <v>45520.073611111111</v>
      </c>
      <c r="C119" t="s">
        <v>37</v>
      </c>
      <c r="D119" t="s">
        <v>38</v>
      </c>
      <c r="E119" t="s">
        <v>33</v>
      </c>
      <c r="F119" t="s">
        <v>16</v>
      </c>
      <c r="G119">
        <v>1380.03</v>
      </c>
      <c r="H119" t="s">
        <v>22</v>
      </c>
      <c r="J119">
        <v>1.9</v>
      </c>
      <c r="K119">
        <v>26.22</v>
      </c>
      <c r="L119">
        <v>1353.81</v>
      </c>
    </row>
    <row r="120" spans="1:12" x14ac:dyDescent="0.25">
      <c r="A120" t="s">
        <v>648</v>
      </c>
      <c r="B120" s="1">
        <v>45520.21597222222</v>
      </c>
      <c r="C120" t="s">
        <v>19</v>
      </c>
      <c r="D120" t="s">
        <v>20</v>
      </c>
      <c r="E120" t="s">
        <v>33</v>
      </c>
      <c r="F120" t="s">
        <v>29</v>
      </c>
      <c r="G120">
        <v>3682.24</v>
      </c>
      <c r="H120" t="s">
        <v>34</v>
      </c>
      <c r="I120" t="s">
        <v>62</v>
      </c>
      <c r="J120">
        <v>1.9</v>
      </c>
      <c r="K120">
        <v>0</v>
      </c>
      <c r="L120">
        <v>0</v>
      </c>
    </row>
    <row r="121" spans="1:12" x14ac:dyDescent="0.25">
      <c r="A121" t="s">
        <v>649</v>
      </c>
      <c r="B121" s="1">
        <v>45520.475694444445</v>
      </c>
      <c r="C121" t="s">
        <v>43</v>
      </c>
      <c r="D121" t="s">
        <v>25</v>
      </c>
      <c r="E121" t="s">
        <v>33</v>
      </c>
      <c r="F121" t="s">
        <v>45</v>
      </c>
      <c r="G121">
        <v>762.22</v>
      </c>
      <c r="H121" t="s">
        <v>22</v>
      </c>
      <c r="J121">
        <v>1.9</v>
      </c>
      <c r="K121">
        <v>14.48</v>
      </c>
      <c r="L121">
        <v>747.74</v>
      </c>
    </row>
    <row r="122" spans="1:12" x14ac:dyDescent="0.25">
      <c r="A122" t="s">
        <v>650</v>
      </c>
      <c r="B122" s="1">
        <v>45521.8125</v>
      </c>
      <c r="C122" t="s">
        <v>19</v>
      </c>
      <c r="D122" t="s">
        <v>20</v>
      </c>
      <c r="E122" t="s">
        <v>15</v>
      </c>
      <c r="F122" t="s">
        <v>45</v>
      </c>
      <c r="G122">
        <v>2538</v>
      </c>
      <c r="H122" t="s">
        <v>34</v>
      </c>
      <c r="I122" t="s">
        <v>100</v>
      </c>
      <c r="J122">
        <v>2.5</v>
      </c>
      <c r="K122">
        <v>0</v>
      </c>
      <c r="L122">
        <v>0</v>
      </c>
    </row>
    <row r="123" spans="1:12" x14ac:dyDescent="0.25">
      <c r="A123" t="s">
        <v>651</v>
      </c>
      <c r="B123" s="1">
        <v>45522.366666666669</v>
      </c>
      <c r="C123" t="s">
        <v>24</v>
      </c>
      <c r="D123" t="s">
        <v>25</v>
      </c>
      <c r="E123" t="s">
        <v>39</v>
      </c>
      <c r="F123" t="s">
        <v>45</v>
      </c>
      <c r="G123">
        <v>2428.14</v>
      </c>
      <c r="H123" t="s">
        <v>22</v>
      </c>
      <c r="J123">
        <v>3.2</v>
      </c>
      <c r="K123">
        <v>77.7</v>
      </c>
      <c r="L123">
        <v>2350.44</v>
      </c>
    </row>
    <row r="124" spans="1:12" x14ac:dyDescent="0.25">
      <c r="A124" t="s">
        <v>652</v>
      </c>
      <c r="B124" s="1">
        <v>45522.515277777777</v>
      </c>
      <c r="C124" t="s">
        <v>24</v>
      </c>
      <c r="D124" t="s">
        <v>25</v>
      </c>
      <c r="E124" t="s">
        <v>44</v>
      </c>
      <c r="F124" t="s">
        <v>16</v>
      </c>
      <c r="G124">
        <v>3026.82</v>
      </c>
      <c r="H124" t="s">
        <v>17</v>
      </c>
      <c r="J124">
        <v>2.1</v>
      </c>
      <c r="K124">
        <v>0</v>
      </c>
      <c r="L124">
        <v>0</v>
      </c>
    </row>
    <row r="125" spans="1:12" x14ac:dyDescent="0.25">
      <c r="A125" t="s">
        <v>653</v>
      </c>
      <c r="B125" s="1">
        <v>45522.59652777778</v>
      </c>
      <c r="C125" t="s">
        <v>19</v>
      </c>
      <c r="D125" t="s">
        <v>20</v>
      </c>
      <c r="E125" t="s">
        <v>15</v>
      </c>
      <c r="F125" t="s">
        <v>21</v>
      </c>
      <c r="G125">
        <v>2847.46</v>
      </c>
      <c r="H125" t="s">
        <v>22</v>
      </c>
      <c r="J125">
        <v>2.5</v>
      </c>
      <c r="K125">
        <v>71.19</v>
      </c>
      <c r="L125">
        <v>2776.27</v>
      </c>
    </row>
    <row r="126" spans="1:12" x14ac:dyDescent="0.25">
      <c r="A126" t="s">
        <v>654</v>
      </c>
      <c r="B126" s="1">
        <v>45522.612500000003</v>
      </c>
      <c r="C126" t="s">
        <v>19</v>
      </c>
      <c r="D126" t="s">
        <v>20</v>
      </c>
      <c r="E126" t="s">
        <v>33</v>
      </c>
      <c r="F126" t="s">
        <v>29</v>
      </c>
      <c r="G126">
        <v>4819.6400000000003</v>
      </c>
      <c r="H126" t="s">
        <v>22</v>
      </c>
      <c r="J126">
        <v>1.9</v>
      </c>
      <c r="K126">
        <v>91.57</v>
      </c>
      <c r="L126">
        <v>4728.07</v>
      </c>
    </row>
    <row r="127" spans="1:12" x14ac:dyDescent="0.25">
      <c r="A127" t="s">
        <v>655</v>
      </c>
      <c r="B127" s="1">
        <v>45522.67291666667</v>
      </c>
      <c r="C127" t="s">
        <v>58</v>
      </c>
      <c r="D127" t="s">
        <v>25</v>
      </c>
      <c r="E127" t="s">
        <v>28</v>
      </c>
      <c r="F127" t="s">
        <v>29</v>
      </c>
      <c r="G127">
        <v>4085.35</v>
      </c>
      <c r="H127" t="s">
        <v>22</v>
      </c>
      <c r="J127">
        <v>2.9</v>
      </c>
      <c r="K127">
        <v>118.48</v>
      </c>
      <c r="L127">
        <v>3966.87</v>
      </c>
    </row>
    <row r="128" spans="1:12" x14ac:dyDescent="0.25">
      <c r="A128" t="s">
        <v>656</v>
      </c>
      <c r="B128" s="1">
        <v>45522.768750000003</v>
      </c>
      <c r="C128" t="s">
        <v>58</v>
      </c>
      <c r="D128" t="s">
        <v>25</v>
      </c>
      <c r="E128" t="s">
        <v>28</v>
      </c>
      <c r="F128" t="s">
        <v>29</v>
      </c>
      <c r="G128">
        <v>1036.8599999999999</v>
      </c>
      <c r="H128" t="s">
        <v>22</v>
      </c>
      <c r="J128">
        <v>2.9</v>
      </c>
      <c r="K128">
        <v>30.07</v>
      </c>
      <c r="L128">
        <v>1006.79</v>
      </c>
    </row>
    <row r="129" spans="1:12" x14ac:dyDescent="0.25">
      <c r="A129" t="s">
        <v>657</v>
      </c>
      <c r="B129" s="1">
        <v>45523.635416666664</v>
      </c>
      <c r="C129" t="s">
        <v>31</v>
      </c>
      <c r="D129" t="s">
        <v>32</v>
      </c>
      <c r="E129" t="s">
        <v>33</v>
      </c>
      <c r="F129" t="s">
        <v>41</v>
      </c>
      <c r="G129">
        <v>3468.87</v>
      </c>
      <c r="H129" t="s">
        <v>34</v>
      </c>
      <c r="I129" t="s">
        <v>35</v>
      </c>
      <c r="J129">
        <v>1.9</v>
      </c>
      <c r="K129">
        <v>0</v>
      </c>
      <c r="L129">
        <v>0</v>
      </c>
    </row>
    <row r="130" spans="1:12" x14ac:dyDescent="0.25">
      <c r="A130" t="s">
        <v>658</v>
      </c>
      <c r="B130" s="1">
        <v>45524.031944444447</v>
      </c>
      <c r="C130" t="s">
        <v>47</v>
      </c>
      <c r="D130" t="s">
        <v>25</v>
      </c>
      <c r="E130" t="s">
        <v>33</v>
      </c>
      <c r="F130" t="s">
        <v>29</v>
      </c>
      <c r="G130">
        <v>2543.33</v>
      </c>
      <c r="H130" t="s">
        <v>22</v>
      </c>
      <c r="J130">
        <v>1.9</v>
      </c>
      <c r="K130">
        <v>48.32</v>
      </c>
      <c r="L130">
        <v>2495.0100000000002</v>
      </c>
    </row>
    <row r="131" spans="1:12" x14ac:dyDescent="0.25">
      <c r="A131" t="s">
        <v>659</v>
      </c>
      <c r="B131" s="1">
        <v>45524.113888888889</v>
      </c>
      <c r="C131" t="s">
        <v>60</v>
      </c>
      <c r="D131" t="s">
        <v>25</v>
      </c>
      <c r="E131" t="s">
        <v>44</v>
      </c>
      <c r="F131" t="s">
        <v>16</v>
      </c>
      <c r="G131">
        <v>2083.9499999999998</v>
      </c>
      <c r="H131" t="s">
        <v>34</v>
      </c>
      <c r="I131" t="s">
        <v>35</v>
      </c>
      <c r="J131">
        <v>2.1</v>
      </c>
      <c r="K131">
        <v>0</v>
      </c>
      <c r="L131">
        <v>0</v>
      </c>
    </row>
    <row r="132" spans="1:12" x14ac:dyDescent="0.25">
      <c r="A132" t="s">
        <v>660</v>
      </c>
      <c r="B132" s="1">
        <v>45524.427083333336</v>
      </c>
      <c r="C132" t="s">
        <v>19</v>
      </c>
      <c r="D132" t="s">
        <v>20</v>
      </c>
      <c r="E132" t="s">
        <v>33</v>
      </c>
      <c r="F132" t="s">
        <v>45</v>
      </c>
      <c r="G132">
        <v>4224.03</v>
      </c>
      <c r="H132" t="s">
        <v>22</v>
      </c>
      <c r="J132">
        <v>1.9</v>
      </c>
      <c r="K132">
        <v>80.260000000000005</v>
      </c>
      <c r="L132">
        <v>4143.7700000000004</v>
      </c>
    </row>
    <row r="133" spans="1:12" x14ac:dyDescent="0.25">
      <c r="A133" t="s">
        <v>661</v>
      </c>
      <c r="B133" s="1">
        <v>45524.625694444447</v>
      </c>
      <c r="C133" t="s">
        <v>31</v>
      </c>
      <c r="D133" t="s">
        <v>32</v>
      </c>
      <c r="E133" t="s">
        <v>15</v>
      </c>
      <c r="F133" t="s">
        <v>41</v>
      </c>
      <c r="G133">
        <v>1763.69</v>
      </c>
      <c r="H133" t="s">
        <v>34</v>
      </c>
      <c r="I133" t="s">
        <v>35</v>
      </c>
      <c r="J133">
        <v>2.5</v>
      </c>
      <c r="K133">
        <v>0</v>
      </c>
      <c r="L133">
        <v>0</v>
      </c>
    </row>
    <row r="134" spans="1:12" x14ac:dyDescent="0.25">
      <c r="A134" t="s">
        <v>662</v>
      </c>
      <c r="B134" s="1">
        <v>45524.693055555559</v>
      </c>
      <c r="C134" t="s">
        <v>58</v>
      </c>
      <c r="D134" t="s">
        <v>25</v>
      </c>
      <c r="E134" t="s">
        <v>28</v>
      </c>
      <c r="F134" t="s">
        <v>41</v>
      </c>
      <c r="G134">
        <v>4265.4399999999996</v>
      </c>
      <c r="H134" t="s">
        <v>17</v>
      </c>
      <c r="J134">
        <v>2.9</v>
      </c>
      <c r="K134">
        <v>0</v>
      </c>
      <c r="L134">
        <v>0</v>
      </c>
    </row>
    <row r="135" spans="1:12" x14ac:dyDescent="0.25">
      <c r="A135" t="s">
        <v>663</v>
      </c>
      <c r="B135" s="1">
        <v>45524.818055555559</v>
      </c>
      <c r="C135" t="s">
        <v>60</v>
      </c>
      <c r="D135" t="s">
        <v>25</v>
      </c>
      <c r="E135" t="s">
        <v>39</v>
      </c>
      <c r="F135" t="s">
        <v>29</v>
      </c>
      <c r="G135">
        <v>606.02</v>
      </c>
      <c r="H135" t="s">
        <v>22</v>
      </c>
      <c r="J135">
        <v>3.2</v>
      </c>
      <c r="K135">
        <v>19.39</v>
      </c>
      <c r="L135">
        <v>586.63</v>
      </c>
    </row>
    <row r="136" spans="1:12" x14ac:dyDescent="0.25">
      <c r="A136" t="s">
        <v>664</v>
      </c>
      <c r="B136" s="1">
        <v>45524.845138888886</v>
      </c>
      <c r="C136" t="s">
        <v>19</v>
      </c>
      <c r="D136" t="s">
        <v>20</v>
      </c>
      <c r="E136" t="s">
        <v>28</v>
      </c>
      <c r="F136" t="s">
        <v>21</v>
      </c>
      <c r="G136">
        <v>4849.1499999999996</v>
      </c>
      <c r="H136" t="s">
        <v>17</v>
      </c>
      <c r="J136">
        <v>2.9</v>
      </c>
      <c r="K136">
        <v>0</v>
      </c>
      <c r="L136">
        <v>0</v>
      </c>
    </row>
    <row r="137" spans="1:12" x14ac:dyDescent="0.25">
      <c r="A137" t="s">
        <v>665</v>
      </c>
      <c r="B137" s="1">
        <v>45524.896527777775</v>
      </c>
      <c r="C137" t="s">
        <v>31</v>
      </c>
      <c r="D137" t="s">
        <v>32</v>
      </c>
      <c r="E137" t="s">
        <v>44</v>
      </c>
      <c r="F137" t="s">
        <v>29</v>
      </c>
      <c r="G137">
        <v>960.82</v>
      </c>
      <c r="H137" t="s">
        <v>22</v>
      </c>
      <c r="J137">
        <v>2.1</v>
      </c>
      <c r="K137">
        <v>20.18</v>
      </c>
      <c r="L137">
        <v>940.64</v>
      </c>
    </row>
    <row r="138" spans="1:12" x14ac:dyDescent="0.25">
      <c r="A138" t="s">
        <v>666</v>
      </c>
      <c r="B138" s="1">
        <v>45525.018750000003</v>
      </c>
      <c r="C138" t="s">
        <v>24</v>
      </c>
      <c r="D138" t="s">
        <v>25</v>
      </c>
      <c r="E138" t="s">
        <v>44</v>
      </c>
      <c r="F138" t="s">
        <v>21</v>
      </c>
      <c r="G138">
        <v>803.3</v>
      </c>
      <c r="H138" t="s">
        <v>22</v>
      </c>
      <c r="J138">
        <v>2.1</v>
      </c>
      <c r="K138">
        <v>16.87</v>
      </c>
      <c r="L138">
        <v>786.43</v>
      </c>
    </row>
    <row r="139" spans="1:12" x14ac:dyDescent="0.25">
      <c r="A139" t="s">
        <v>667</v>
      </c>
      <c r="B139" s="1">
        <v>45525.580555555556</v>
      </c>
      <c r="C139" t="s">
        <v>19</v>
      </c>
      <c r="D139" t="s">
        <v>20</v>
      </c>
      <c r="E139" t="s">
        <v>44</v>
      </c>
      <c r="F139" t="s">
        <v>16</v>
      </c>
      <c r="G139">
        <v>2476.94</v>
      </c>
      <c r="H139" t="s">
        <v>22</v>
      </c>
      <c r="J139">
        <v>2.1</v>
      </c>
      <c r="K139">
        <v>52.02</v>
      </c>
      <c r="L139">
        <v>2424.92</v>
      </c>
    </row>
    <row r="140" spans="1:12" x14ac:dyDescent="0.25">
      <c r="A140" t="s">
        <v>668</v>
      </c>
      <c r="B140" s="1">
        <v>45525.798611111109</v>
      </c>
      <c r="C140" t="s">
        <v>19</v>
      </c>
      <c r="D140" t="s">
        <v>20</v>
      </c>
      <c r="E140" t="s">
        <v>28</v>
      </c>
      <c r="F140" t="s">
        <v>41</v>
      </c>
      <c r="G140">
        <v>579.76</v>
      </c>
      <c r="H140" t="s">
        <v>17</v>
      </c>
      <c r="J140">
        <v>2.9</v>
      </c>
      <c r="K140">
        <v>0</v>
      </c>
      <c r="L140">
        <v>0</v>
      </c>
    </row>
    <row r="141" spans="1:12" x14ac:dyDescent="0.25">
      <c r="A141" t="s">
        <v>669</v>
      </c>
      <c r="B141" s="1">
        <v>45525.984027777777</v>
      </c>
      <c r="C141" t="s">
        <v>37</v>
      </c>
      <c r="D141" t="s">
        <v>38</v>
      </c>
      <c r="E141" t="s">
        <v>28</v>
      </c>
      <c r="F141" t="s">
        <v>41</v>
      </c>
      <c r="G141">
        <v>3844.87</v>
      </c>
      <c r="H141" t="s">
        <v>22</v>
      </c>
      <c r="J141">
        <v>2.9</v>
      </c>
      <c r="K141">
        <v>111.5</v>
      </c>
      <c r="L141">
        <v>3733.37</v>
      </c>
    </row>
    <row r="142" spans="1:12" x14ac:dyDescent="0.25">
      <c r="A142" t="s">
        <v>670</v>
      </c>
      <c r="B142" s="1">
        <v>45526.086805555555</v>
      </c>
      <c r="C142" t="s">
        <v>58</v>
      </c>
      <c r="D142" t="s">
        <v>25</v>
      </c>
      <c r="E142" t="s">
        <v>44</v>
      </c>
      <c r="F142" t="s">
        <v>21</v>
      </c>
      <c r="G142">
        <v>4791.7</v>
      </c>
      <c r="H142" t="s">
        <v>22</v>
      </c>
      <c r="J142">
        <v>2.1</v>
      </c>
      <c r="K142">
        <v>100.63</v>
      </c>
      <c r="L142">
        <v>4691.07</v>
      </c>
    </row>
    <row r="143" spans="1:12" x14ac:dyDescent="0.25">
      <c r="A143" t="s">
        <v>671</v>
      </c>
      <c r="B143" s="1">
        <v>45526.129166666666</v>
      </c>
      <c r="C143" t="s">
        <v>19</v>
      </c>
      <c r="D143" t="s">
        <v>20</v>
      </c>
      <c r="E143" t="s">
        <v>33</v>
      </c>
      <c r="F143" t="s">
        <v>41</v>
      </c>
      <c r="G143">
        <v>4119.82</v>
      </c>
      <c r="H143" t="s">
        <v>22</v>
      </c>
      <c r="J143">
        <v>1.9</v>
      </c>
      <c r="K143">
        <v>78.28</v>
      </c>
      <c r="L143">
        <v>4041.54</v>
      </c>
    </row>
    <row r="144" spans="1:12" x14ac:dyDescent="0.25">
      <c r="A144" t="s">
        <v>672</v>
      </c>
      <c r="B144" s="1">
        <v>45526.400000000001</v>
      </c>
      <c r="C144" t="s">
        <v>27</v>
      </c>
      <c r="D144" t="s">
        <v>25</v>
      </c>
      <c r="E144" t="s">
        <v>39</v>
      </c>
      <c r="F144" t="s">
        <v>29</v>
      </c>
      <c r="G144">
        <v>3948.45</v>
      </c>
      <c r="H144" t="s">
        <v>22</v>
      </c>
      <c r="J144">
        <v>3.2</v>
      </c>
      <c r="K144">
        <v>126.35</v>
      </c>
      <c r="L144">
        <v>3822.1</v>
      </c>
    </row>
    <row r="145" spans="1:12" x14ac:dyDescent="0.25">
      <c r="A145" t="s">
        <v>673</v>
      </c>
      <c r="B145" s="1">
        <v>45526.629861111112</v>
      </c>
      <c r="C145" t="s">
        <v>27</v>
      </c>
      <c r="D145" t="s">
        <v>25</v>
      </c>
      <c r="E145" t="s">
        <v>28</v>
      </c>
      <c r="F145" t="s">
        <v>21</v>
      </c>
      <c r="G145">
        <v>476.95</v>
      </c>
      <c r="H145" t="s">
        <v>22</v>
      </c>
      <c r="J145">
        <v>2.9</v>
      </c>
      <c r="K145">
        <v>13.83</v>
      </c>
      <c r="L145">
        <v>463.12</v>
      </c>
    </row>
    <row r="146" spans="1:12" x14ac:dyDescent="0.25">
      <c r="A146" t="s">
        <v>674</v>
      </c>
      <c r="B146" s="1">
        <v>45526.662499999999</v>
      </c>
      <c r="C146" t="s">
        <v>43</v>
      </c>
      <c r="D146" t="s">
        <v>25</v>
      </c>
      <c r="E146" t="s">
        <v>33</v>
      </c>
      <c r="F146" t="s">
        <v>41</v>
      </c>
      <c r="G146">
        <v>3043.84</v>
      </c>
      <c r="H146" t="s">
        <v>34</v>
      </c>
      <c r="I146" t="s">
        <v>35</v>
      </c>
      <c r="J146">
        <v>1.9</v>
      </c>
      <c r="K146">
        <v>0</v>
      </c>
      <c r="L146">
        <v>0</v>
      </c>
    </row>
    <row r="147" spans="1:12" x14ac:dyDescent="0.25">
      <c r="A147" t="s">
        <v>675</v>
      </c>
      <c r="B147" s="1">
        <v>45526.799305555556</v>
      </c>
      <c r="C147" t="s">
        <v>47</v>
      </c>
      <c r="D147" t="s">
        <v>25</v>
      </c>
      <c r="E147" t="s">
        <v>33</v>
      </c>
      <c r="F147" t="s">
        <v>45</v>
      </c>
      <c r="G147">
        <v>432.91</v>
      </c>
      <c r="H147" t="s">
        <v>22</v>
      </c>
      <c r="J147">
        <v>1.9</v>
      </c>
      <c r="K147">
        <v>8.23</v>
      </c>
      <c r="L147">
        <v>424.68</v>
      </c>
    </row>
    <row r="148" spans="1:12" x14ac:dyDescent="0.25">
      <c r="A148" t="s">
        <v>676</v>
      </c>
      <c r="B148" s="1">
        <v>45526.895138888889</v>
      </c>
      <c r="C148" t="s">
        <v>19</v>
      </c>
      <c r="D148" t="s">
        <v>20</v>
      </c>
      <c r="E148" t="s">
        <v>28</v>
      </c>
      <c r="F148" t="s">
        <v>16</v>
      </c>
      <c r="G148">
        <v>590.17999999999995</v>
      </c>
      <c r="H148" t="s">
        <v>22</v>
      </c>
      <c r="J148">
        <v>2.9</v>
      </c>
      <c r="K148">
        <v>17.12</v>
      </c>
      <c r="L148">
        <v>573.05999999999995</v>
      </c>
    </row>
    <row r="149" spans="1:12" x14ac:dyDescent="0.25">
      <c r="A149" t="s">
        <v>677</v>
      </c>
      <c r="B149" s="1">
        <v>45527.043055555558</v>
      </c>
      <c r="C149" t="s">
        <v>27</v>
      </c>
      <c r="D149" t="s">
        <v>25</v>
      </c>
      <c r="E149" t="s">
        <v>33</v>
      </c>
      <c r="F149" t="s">
        <v>21</v>
      </c>
      <c r="G149">
        <v>4424.6499999999996</v>
      </c>
      <c r="H149" t="s">
        <v>22</v>
      </c>
      <c r="J149">
        <v>1.9</v>
      </c>
      <c r="K149">
        <v>84.07</v>
      </c>
      <c r="L149">
        <v>4340.58</v>
      </c>
    </row>
    <row r="150" spans="1:12" x14ac:dyDescent="0.25">
      <c r="A150" t="s">
        <v>678</v>
      </c>
      <c r="B150" s="1">
        <v>45527.464583333334</v>
      </c>
      <c r="C150" t="s">
        <v>47</v>
      </c>
      <c r="D150" t="s">
        <v>25</v>
      </c>
      <c r="E150" t="s">
        <v>44</v>
      </c>
      <c r="F150" t="s">
        <v>41</v>
      </c>
      <c r="G150">
        <v>170.76</v>
      </c>
      <c r="H150" t="s">
        <v>34</v>
      </c>
      <c r="I150" t="s">
        <v>100</v>
      </c>
      <c r="J150">
        <v>2.1</v>
      </c>
      <c r="K150">
        <v>0</v>
      </c>
      <c r="L150">
        <v>0</v>
      </c>
    </row>
    <row r="151" spans="1:12" x14ac:dyDescent="0.25">
      <c r="A151" t="s">
        <v>679</v>
      </c>
      <c r="B151" s="1">
        <v>45528.160416666666</v>
      </c>
      <c r="C151" t="s">
        <v>27</v>
      </c>
      <c r="D151" t="s">
        <v>25</v>
      </c>
      <c r="E151" t="s">
        <v>28</v>
      </c>
      <c r="F151" t="s">
        <v>41</v>
      </c>
      <c r="G151">
        <v>317.73</v>
      </c>
      <c r="H151" t="s">
        <v>22</v>
      </c>
      <c r="J151">
        <v>2.9</v>
      </c>
      <c r="K151">
        <v>9.2100000000000009</v>
      </c>
      <c r="L151">
        <v>308.52</v>
      </c>
    </row>
    <row r="152" spans="1:12" x14ac:dyDescent="0.25">
      <c r="A152" t="s">
        <v>680</v>
      </c>
      <c r="B152" s="1">
        <v>45528.511805555558</v>
      </c>
      <c r="C152" t="s">
        <v>13</v>
      </c>
      <c r="D152" t="s">
        <v>14</v>
      </c>
      <c r="E152" t="s">
        <v>44</v>
      </c>
      <c r="F152" t="s">
        <v>21</v>
      </c>
      <c r="G152">
        <v>4215.83</v>
      </c>
      <c r="H152" t="s">
        <v>22</v>
      </c>
      <c r="J152">
        <v>2.1</v>
      </c>
      <c r="K152">
        <v>88.53</v>
      </c>
      <c r="L152">
        <v>4127.3</v>
      </c>
    </row>
    <row r="153" spans="1:12" x14ac:dyDescent="0.25">
      <c r="A153" t="s">
        <v>681</v>
      </c>
      <c r="B153" s="1">
        <v>45528.584722222222</v>
      </c>
      <c r="C153" t="s">
        <v>60</v>
      </c>
      <c r="D153" t="s">
        <v>25</v>
      </c>
      <c r="E153" t="s">
        <v>39</v>
      </c>
      <c r="F153" t="s">
        <v>21</v>
      </c>
      <c r="G153">
        <v>392.89</v>
      </c>
      <c r="H153" t="s">
        <v>22</v>
      </c>
      <c r="J153">
        <v>3.2</v>
      </c>
      <c r="K153">
        <v>12.57</v>
      </c>
      <c r="L153">
        <v>380.32</v>
      </c>
    </row>
    <row r="154" spans="1:12" x14ac:dyDescent="0.25">
      <c r="A154" t="s">
        <v>682</v>
      </c>
      <c r="B154" s="1">
        <v>45528.774305555555</v>
      </c>
      <c r="C154" t="s">
        <v>60</v>
      </c>
      <c r="D154" t="s">
        <v>25</v>
      </c>
      <c r="E154" t="s">
        <v>15</v>
      </c>
      <c r="F154" t="s">
        <v>45</v>
      </c>
      <c r="G154">
        <v>3262.67</v>
      </c>
      <c r="H154" t="s">
        <v>22</v>
      </c>
      <c r="J154">
        <v>2.5</v>
      </c>
      <c r="K154">
        <v>81.569999999999993</v>
      </c>
      <c r="L154">
        <v>3181.1</v>
      </c>
    </row>
    <row r="155" spans="1:12" x14ac:dyDescent="0.25">
      <c r="A155" t="s">
        <v>683</v>
      </c>
      <c r="B155" s="1">
        <v>45528.925694444442</v>
      </c>
      <c r="C155" t="s">
        <v>43</v>
      </c>
      <c r="D155" t="s">
        <v>25</v>
      </c>
      <c r="E155" t="s">
        <v>39</v>
      </c>
      <c r="F155" t="s">
        <v>41</v>
      </c>
      <c r="G155">
        <v>4096.6400000000003</v>
      </c>
      <c r="H155" t="s">
        <v>34</v>
      </c>
      <c r="I155" t="s">
        <v>55</v>
      </c>
      <c r="J155">
        <v>3.2</v>
      </c>
      <c r="K155">
        <v>0</v>
      </c>
      <c r="L155">
        <v>0</v>
      </c>
    </row>
    <row r="156" spans="1:12" x14ac:dyDescent="0.25">
      <c r="A156" t="s">
        <v>684</v>
      </c>
      <c r="B156" s="1">
        <v>45529.04583333333</v>
      </c>
      <c r="C156" t="s">
        <v>27</v>
      </c>
      <c r="D156" t="s">
        <v>25</v>
      </c>
      <c r="E156" t="s">
        <v>28</v>
      </c>
      <c r="F156" t="s">
        <v>21</v>
      </c>
      <c r="G156">
        <v>1807.47</v>
      </c>
      <c r="H156" t="s">
        <v>22</v>
      </c>
      <c r="J156">
        <v>2.9</v>
      </c>
      <c r="K156">
        <v>52.42</v>
      </c>
      <c r="L156">
        <v>1755.05</v>
      </c>
    </row>
    <row r="157" spans="1:12" x14ac:dyDescent="0.25">
      <c r="A157" t="s">
        <v>685</v>
      </c>
      <c r="B157" s="1">
        <v>45530.381944444445</v>
      </c>
      <c r="C157" t="s">
        <v>58</v>
      </c>
      <c r="D157" t="s">
        <v>25</v>
      </c>
      <c r="E157" t="s">
        <v>33</v>
      </c>
      <c r="F157" t="s">
        <v>21</v>
      </c>
      <c r="G157">
        <v>3454.55</v>
      </c>
      <c r="H157" t="s">
        <v>22</v>
      </c>
      <c r="J157">
        <v>1.9</v>
      </c>
      <c r="K157">
        <v>65.64</v>
      </c>
      <c r="L157">
        <v>3388.91</v>
      </c>
    </row>
    <row r="158" spans="1:12" x14ac:dyDescent="0.25">
      <c r="A158" t="s">
        <v>686</v>
      </c>
      <c r="B158" s="1">
        <v>45531.371527777781</v>
      </c>
      <c r="C158" t="s">
        <v>19</v>
      </c>
      <c r="D158" t="s">
        <v>20</v>
      </c>
      <c r="E158" t="s">
        <v>33</v>
      </c>
      <c r="F158" t="s">
        <v>29</v>
      </c>
      <c r="G158">
        <v>353.69</v>
      </c>
      <c r="H158" t="s">
        <v>22</v>
      </c>
      <c r="J158">
        <v>1.9</v>
      </c>
      <c r="K158">
        <v>6.72</v>
      </c>
      <c r="L158">
        <v>346.97</v>
      </c>
    </row>
    <row r="159" spans="1:12" x14ac:dyDescent="0.25">
      <c r="A159" t="s">
        <v>687</v>
      </c>
      <c r="B159" s="1">
        <v>45532.165277777778</v>
      </c>
      <c r="C159" t="s">
        <v>47</v>
      </c>
      <c r="D159" t="s">
        <v>25</v>
      </c>
      <c r="E159" t="s">
        <v>28</v>
      </c>
      <c r="F159" t="s">
        <v>41</v>
      </c>
      <c r="G159">
        <v>1515.21</v>
      </c>
      <c r="H159" t="s">
        <v>22</v>
      </c>
      <c r="J159">
        <v>2.9</v>
      </c>
      <c r="K159">
        <v>43.94</v>
      </c>
      <c r="L159">
        <v>1471.27</v>
      </c>
    </row>
    <row r="160" spans="1:12" x14ac:dyDescent="0.25">
      <c r="A160" t="s">
        <v>688</v>
      </c>
      <c r="B160" s="1">
        <v>45532.94027777778</v>
      </c>
      <c r="C160" t="s">
        <v>13</v>
      </c>
      <c r="D160" t="s">
        <v>14</v>
      </c>
      <c r="E160" t="s">
        <v>39</v>
      </c>
      <c r="F160" t="s">
        <v>16</v>
      </c>
      <c r="G160">
        <v>3108.55</v>
      </c>
      <c r="H160" t="s">
        <v>22</v>
      </c>
      <c r="J160">
        <v>3.2</v>
      </c>
      <c r="K160">
        <v>99.47</v>
      </c>
      <c r="L160">
        <v>3009.08</v>
      </c>
    </row>
    <row r="161" spans="1:12" x14ac:dyDescent="0.25">
      <c r="A161" t="s">
        <v>689</v>
      </c>
      <c r="B161" s="1">
        <v>45533.038194444445</v>
      </c>
      <c r="C161" t="s">
        <v>43</v>
      </c>
      <c r="D161" t="s">
        <v>25</v>
      </c>
      <c r="E161" t="s">
        <v>33</v>
      </c>
      <c r="F161" t="s">
        <v>29</v>
      </c>
      <c r="G161">
        <v>1014.68</v>
      </c>
      <c r="H161" t="s">
        <v>17</v>
      </c>
      <c r="J161">
        <v>1.9</v>
      </c>
      <c r="K161">
        <v>0</v>
      </c>
      <c r="L161">
        <v>0</v>
      </c>
    </row>
    <row r="162" spans="1:12" x14ac:dyDescent="0.25">
      <c r="A162" t="s">
        <v>690</v>
      </c>
      <c r="B162" s="1">
        <v>45533.054166666669</v>
      </c>
      <c r="C162" t="s">
        <v>58</v>
      </c>
      <c r="D162" t="s">
        <v>25</v>
      </c>
      <c r="E162" t="s">
        <v>44</v>
      </c>
      <c r="F162" t="s">
        <v>29</v>
      </c>
      <c r="G162">
        <v>3831.48</v>
      </c>
      <c r="H162" t="s">
        <v>34</v>
      </c>
      <c r="I162" t="s">
        <v>62</v>
      </c>
      <c r="J162">
        <v>2.1</v>
      </c>
      <c r="K162">
        <v>0</v>
      </c>
      <c r="L162">
        <v>0</v>
      </c>
    </row>
    <row r="163" spans="1:12" x14ac:dyDescent="0.25">
      <c r="A163" t="s">
        <v>691</v>
      </c>
      <c r="B163" s="1">
        <v>45533.154861111114</v>
      </c>
      <c r="C163" t="s">
        <v>27</v>
      </c>
      <c r="D163" t="s">
        <v>25</v>
      </c>
      <c r="E163" t="s">
        <v>28</v>
      </c>
      <c r="F163" t="s">
        <v>45</v>
      </c>
      <c r="G163">
        <v>4889.7700000000004</v>
      </c>
      <c r="H163" t="s">
        <v>22</v>
      </c>
      <c r="J163">
        <v>2.9</v>
      </c>
      <c r="K163">
        <v>141.80000000000001</v>
      </c>
      <c r="L163">
        <v>4747.97</v>
      </c>
    </row>
    <row r="164" spans="1:12" x14ac:dyDescent="0.25">
      <c r="A164" t="s">
        <v>692</v>
      </c>
      <c r="B164" s="1">
        <v>45533.272222222222</v>
      </c>
      <c r="C164" t="s">
        <v>31</v>
      </c>
      <c r="D164" t="s">
        <v>32</v>
      </c>
      <c r="E164" t="s">
        <v>15</v>
      </c>
      <c r="F164" t="s">
        <v>45</v>
      </c>
      <c r="G164">
        <v>1498.8</v>
      </c>
      <c r="H164" t="s">
        <v>22</v>
      </c>
      <c r="J164">
        <v>2.5</v>
      </c>
      <c r="K164">
        <v>37.47</v>
      </c>
      <c r="L164">
        <v>1461.33</v>
      </c>
    </row>
    <row r="165" spans="1:12" x14ac:dyDescent="0.25">
      <c r="A165" t="s">
        <v>693</v>
      </c>
      <c r="B165" s="1">
        <v>45533.681944444441</v>
      </c>
      <c r="C165" t="s">
        <v>19</v>
      </c>
      <c r="D165" t="s">
        <v>20</v>
      </c>
      <c r="E165" t="s">
        <v>44</v>
      </c>
      <c r="F165" t="s">
        <v>29</v>
      </c>
      <c r="G165">
        <v>509.67</v>
      </c>
      <c r="H165" t="s">
        <v>22</v>
      </c>
      <c r="J165">
        <v>2.1</v>
      </c>
      <c r="K165">
        <v>10.7</v>
      </c>
      <c r="L165">
        <v>498.97</v>
      </c>
    </row>
    <row r="166" spans="1:12" x14ac:dyDescent="0.25">
      <c r="A166" t="s">
        <v>694</v>
      </c>
      <c r="B166" s="1">
        <v>45533.865972222222</v>
      </c>
      <c r="C166" t="s">
        <v>31</v>
      </c>
      <c r="D166" t="s">
        <v>32</v>
      </c>
      <c r="E166" t="s">
        <v>33</v>
      </c>
      <c r="F166" t="s">
        <v>45</v>
      </c>
      <c r="G166">
        <v>1569.37</v>
      </c>
      <c r="H166" t="s">
        <v>22</v>
      </c>
      <c r="J166">
        <v>1.9</v>
      </c>
      <c r="K166">
        <v>29.82</v>
      </c>
      <c r="L166">
        <v>1539.55</v>
      </c>
    </row>
    <row r="167" spans="1:12" x14ac:dyDescent="0.25">
      <c r="A167" t="s">
        <v>695</v>
      </c>
      <c r="B167" s="1">
        <v>45534.146527777775</v>
      </c>
      <c r="C167" t="s">
        <v>19</v>
      </c>
      <c r="D167" t="s">
        <v>20</v>
      </c>
      <c r="E167" t="s">
        <v>39</v>
      </c>
      <c r="F167" t="s">
        <v>16</v>
      </c>
      <c r="G167">
        <v>3490.6</v>
      </c>
      <c r="H167" t="s">
        <v>22</v>
      </c>
      <c r="J167">
        <v>3.2</v>
      </c>
      <c r="K167">
        <v>111.7</v>
      </c>
      <c r="L167">
        <v>3378.9</v>
      </c>
    </row>
    <row r="168" spans="1:12" x14ac:dyDescent="0.25">
      <c r="A168" t="s">
        <v>696</v>
      </c>
      <c r="B168" s="1">
        <v>45534.542361111111</v>
      </c>
      <c r="C168" t="s">
        <v>31</v>
      </c>
      <c r="D168" t="s">
        <v>32</v>
      </c>
      <c r="E168" t="s">
        <v>44</v>
      </c>
      <c r="F168" t="s">
        <v>29</v>
      </c>
      <c r="G168">
        <v>3696.52</v>
      </c>
      <c r="H168" t="s">
        <v>34</v>
      </c>
      <c r="I168" t="s">
        <v>55</v>
      </c>
      <c r="J168">
        <v>2.1</v>
      </c>
      <c r="K168">
        <v>0</v>
      </c>
      <c r="L168">
        <v>0</v>
      </c>
    </row>
    <row r="169" spans="1:12" x14ac:dyDescent="0.25">
      <c r="A169" t="s">
        <v>697</v>
      </c>
      <c r="B169" s="1">
        <v>45534.92291666667</v>
      </c>
      <c r="C169" t="s">
        <v>24</v>
      </c>
      <c r="D169" t="s">
        <v>25</v>
      </c>
      <c r="E169" t="s">
        <v>28</v>
      </c>
      <c r="F169" t="s">
        <v>21</v>
      </c>
      <c r="G169">
        <v>2110.15</v>
      </c>
      <c r="H169" t="s">
        <v>22</v>
      </c>
      <c r="J169">
        <v>2.9</v>
      </c>
      <c r="K169">
        <v>61.19</v>
      </c>
      <c r="L169">
        <v>2048.96</v>
      </c>
    </row>
    <row r="170" spans="1:12" x14ac:dyDescent="0.25">
      <c r="A170" t="s">
        <v>698</v>
      </c>
      <c r="B170" s="1">
        <v>45535.901388888888</v>
      </c>
      <c r="C170" t="s">
        <v>58</v>
      </c>
      <c r="D170" t="s">
        <v>25</v>
      </c>
      <c r="E170" t="s">
        <v>15</v>
      </c>
      <c r="F170" t="s">
        <v>45</v>
      </c>
      <c r="G170">
        <v>1401.66</v>
      </c>
      <c r="H170" t="s">
        <v>34</v>
      </c>
      <c r="I170" t="s">
        <v>78</v>
      </c>
      <c r="J170">
        <v>2.5</v>
      </c>
      <c r="K170">
        <v>0</v>
      </c>
      <c r="L170">
        <v>0</v>
      </c>
    </row>
    <row r="171" spans="1:12" x14ac:dyDescent="0.25">
      <c r="A171" t="s">
        <v>699</v>
      </c>
      <c r="B171" s="1">
        <v>45536.093055555553</v>
      </c>
      <c r="C171" t="s">
        <v>58</v>
      </c>
      <c r="D171" t="s">
        <v>25</v>
      </c>
      <c r="E171" t="s">
        <v>28</v>
      </c>
      <c r="F171" t="s">
        <v>41</v>
      </c>
      <c r="G171">
        <v>524.98</v>
      </c>
      <c r="H171" t="s">
        <v>22</v>
      </c>
      <c r="J171">
        <v>2.9</v>
      </c>
      <c r="K171">
        <v>15.22</v>
      </c>
      <c r="L171">
        <v>509.76</v>
      </c>
    </row>
    <row r="172" spans="1:12" x14ac:dyDescent="0.25">
      <c r="A172" t="s">
        <v>700</v>
      </c>
      <c r="B172" s="1">
        <v>45537.602777777778</v>
      </c>
      <c r="C172" t="s">
        <v>37</v>
      </c>
      <c r="D172" t="s">
        <v>38</v>
      </c>
      <c r="E172" t="s">
        <v>39</v>
      </c>
      <c r="F172" t="s">
        <v>16</v>
      </c>
      <c r="G172">
        <v>2762.84</v>
      </c>
      <c r="H172" t="s">
        <v>22</v>
      </c>
      <c r="J172">
        <v>3.2</v>
      </c>
      <c r="K172">
        <v>88.41</v>
      </c>
      <c r="L172">
        <v>2674.43</v>
      </c>
    </row>
    <row r="173" spans="1:12" x14ac:dyDescent="0.25">
      <c r="A173" t="s">
        <v>701</v>
      </c>
      <c r="B173" s="1">
        <v>45537.743055555555</v>
      </c>
      <c r="C173" t="s">
        <v>43</v>
      </c>
      <c r="D173" t="s">
        <v>25</v>
      </c>
      <c r="E173" t="s">
        <v>39</v>
      </c>
      <c r="F173" t="s">
        <v>45</v>
      </c>
      <c r="G173">
        <v>2516.94</v>
      </c>
      <c r="H173" t="s">
        <v>34</v>
      </c>
      <c r="I173" t="s">
        <v>62</v>
      </c>
      <c r="J173">
        <v>3.2</v>
      </c>
      <c r="K173">
        <v>0</v>
      </c>
      <c r="L173">
        <v>0</v>
      </c>
    </row>
    <row r="174" spans="1:12" x14ac:dyDescent="0.25">
      <c r="A174" t="s">
        <v>702</v>
      </c>
      <c r="B174" s="1">
        <v>45539.135416666664</v>
      </c>
      <c r="C174" t="s">
        <v>58</v>
      </c>
      <c r="D174" t="s">
        <v>25</v>
      </c>
      <c r="E174" t="s">
        <v>33</v>
      </c>
      <c r="F174" t="s">
        <v>21</v>
      </c>
      <c r="G174">
        <v>2878.31</v>
      </c>
      <c r="H174" t="s">
        <v>22</v>
      </c>
      <c r="J174">
        <v>1.9</v>
      </c>
      <c r="K174">
        <v>54.69</v>
      </c>
      <c r="L174">
        <v>2823.62</v>
      </c>
    </row>
    <row r="175" spans="1:12" x14ac:dyDescent="0.25">
      <c r="A175" t="s">
        <v>703</v>
      </c>
      <c r="B175" s="1">
        <v>45539.635416666664</v>
      </c>
      <c r="C175" t="s">
        <v>43</v>
      </c>
      <c r="D175" t="s">
        <v>25</v>
      </c>
      <c r="E175" t="s">
        <v>33</v>
      </c>
      <c r="F175" t="s">
        <v>29</v>
      </c>
      <c r="G175">
        <v>1924.09</v>
      </c>
      <c r="H175" t="s">
        <v>17</v>
      </c>
      <c r="J175">
        <v>1.9</v>
      </c>
      <c r="K175">
        <v>0</v>
      </c>
      <c r="L175">
        <v>0</v>
      </c>
    </row>
    <row r="176" spans="1:12" x14ac:dyDescent="0.25">
      <c r="A176" t="s">
        <v>704</v>
      </c>
      <c r="B176" s="1">
        <v>45540.727083333331</v>
      </c>
      <c r="C176" t="s">
        <v>58</v>
      </c>
      <c r="D176" t="s">
        <v>25</v>
      </c>
      <c r="E176" t="s">
        <v>28</v>
      </c>
      <c r="F176" t="s">
        <v>29</v>
      </c>
      <c r="G176">
        <v>805.2</v>
      </c>
      <c r="H176" t="s">
        <v>22</v>
      </c>
      <c r="J176">
        <v>2.9</v>
      </c>
      <c r="K176">
        <v>23.35</v>
      </c>
      <c r="L176">
        <v>781.85</v>
      </c>
    </row>
    <row r="177" spans="1:12" x14ac:dyDescent="0.25">
      <c r="A177" t="s">
        <v>705</v>
      </c>
      <c r="B177" s="1">
        <v>45541.442361111112</v>
      </c>
      <c r="C177" t="s">
        <v>60</v>
      </c>
      <c r="D177" t="s">
        <v>25</v>
      </c>
      <c r="E177" t="s">
        <v>28</v>
      </c>
      <c r="F177" t="s">
        <v>16</v>
      </c>
      <c r="G177">
        <v>3177.85</v>
      </c>
      <c r="H177" t="s">
        <v>22</v>
      </c>
      <c r="J177">
        <v>2.9</v>
      </c>
      <c r="K177">
        <v>92.16</v>
      </c>
      <c r="L177">
        <v>3085.69</v>
      </c>
    </row>
    <row r="178" spans="1:12" x14ac:dyDescent="0.25">
      <c r="A178" t="s">
        <v>706</v>
      </c>
      <c r="B178" s="1">
        <v>45541.444444444445</v>
      </c>
      <c r="C178" t="s">
        <v>27</v>
      </c>
      <c r="D178" t="s">
        <v>25</v>
      </c>
      <c r="E178" t="s">
        <v>39</v>
      </c>
      <c r="F178" t="s">
        <v>41</v>
      </c>
      <c r="G178">
        <v>33.520000000000003</v>
      </c>
      <c r="H178" t="s">
        <v>22</v>
      </c>
      <c r="J178">
        <v>3.2</v>
      </c>
      <c r="K178">
        <v>1.07</v>
      </c>
      <c r="L178">
        <v>32.450000000000003</v>
      </c>
    </row>
    <row r="179" spans="1:12" x14ac:dyDescent="0.25">
      <c r="A179" t="s">
        <v>707</v>
      </c>
      <c r="B179" s="1">
        <v>45541.893750000003</v>
      </c>
      <c r="C179" t="s">
        <v>27</v>
      </c>
      <c r="D179" t="s">
        <v>25</v>
      </c>
      <c r="E179" t="s">
        <v>28</v>
      </c>
      <c r="F179" t="s">
        <v>29</v>
      </c>
      <c r="G179">
        <v>3214.79</v>
      </c>
      <c r="H179" t="s">
        <v>34</v>
      </c>
      <c r="I179" t="s">
        <v>55</v>
      </c>
      <c r="J179">
        <v>2.9</v>
      </c>
      <c r="K179">
        <v>0</v>
      </c>
      <c r="L179">
        <v>0</v>
      </c>
    </row>
    <row r="180" spans="1:12" x14ac:dyDescent="0.25">
      <c r="A180" t="s">
        <v>708</v>
      </c>
      <c r="B180" s="1">
        <v>45542.491666666669</v>
      </c>
      <c r="C180" t="s">
        <v>24</v>
      </c>
      <c r="D180" t="s">
        <v>25</v>
      </c>
      <c r="E180" t="s">
        <v>44</v>
      </c>
      <c r="F180" t="s">
        <v>16</v>
      </c>
      <c r="G180">
        <v>105.43</v>
      </c>
      <c r="H180" t="s">
        <v>22</v>
      </c>
      <c r="J180">
        <v>2.1</v>
      </c>
      <c r="K180">
        <v>2.21</v>
      </c>
      <c r="L180">
        <v>103.22</v>
      </c>
    </row>
    <row r="181" spans="1:12" x14ac:dyDescent="0.25">
      <c r="A181" t="s">
        <v>709</v>
      </c>
      <c r="B181" s="1">
        <v>45542.986805555556</v>
      </c>
      <c r="C181" t="s">
        <v>43</v>
      </c>
      <c r="D181" t="s">
        <v>25</v>
      </c>
      <c r="E181" t="s">
        <v>15</v>
      </c>
      <c r="F181" t="s">
        <v>29</v>
      </c>
      <c r="G181">
        <v>3666.53</v>
      </c>
      <c r="H181" t="s">
        <v>22</v>
      </c>
      <c r="J181">
        <v>2.5</v>
      </c>
      <c r="K181">
        <v>91.66</v>
      </c>
      <c r="L181">
        <v>3574.87</v>
      </c>
    </row>
    <row r="182" spans="1:12" x14ac:dyDescent="0.25">
      <c r="A182" t="s">
        <v>710</v>
      </c>
      <c r="B182" s="1">
        <v>45543.10833333333</v>
      </c>
      <c r="C182" t="s">
        <v>60</v>
      </c>
      <c r="D182" t="s">
        <v>25</v>
      </c>
      <c r="E182" t="s">
        <v>44</v>
      </c>
      <c r="F182" t="s">
        <v>29</v>
      </c>
      <c r="G182">
        <v>4057.6</v>
      </c>
      <c r="H182" t="s">
        <v>22</v>
      </c>
      <c r="J182">
        <v>2.1</v>
      </c>
      <c r="K182">
        <v>85.21</v>
      </c>
      <c r="L182">
        <v>3972.39</v>
      </c>
    </row>
    <row r="183" spans="1:12" x14ac:dyDescent="0.25">
      <c r="A183" t="s">
        <v>711</v>
      </c>
      <c r="B183" s="1">
        <v>45543.427083333336</v>
      </c>
      <c r="C183" t="s">
        <v>37</v>
      </c>
      <c r="D183" t="s">
        <v>38</v>
      </c>
      <c r="E183" t="s">
        <v>39</v>
      </c>
      <c r="F183" t="s">
        <v>41</v>
      </c>
      <c r="G183">
        <v>2539.58</v>
      </c>
      <c r="H183" t="s">
        <v>17</v>
      </c>
      <c r="J183">
        <v>3.2</v>
      </c>
      <c r="K183">
        <v>0</v>
      </c>
      <c r="L183">
        <v>0</v>
      </c>
    </row>
    <row r="184" spans="1:12" x14ac:dyDescent="0.25">
      <c r="A184" t="s">
        <v>712</v>
      </c>
      <c r="B184" s="1">
        <v>45543.443055555559</v>
      </c>
      <c r="C184" t="s">
        <v>19</v>
      </c>
      <c r="D184" t="s">
        <v>20</v>
      </c>
      <c r="E184" t="s">
        <v>33</v>
      </c>
      <c r="F184" t="s">
        <v>41</v>
      </c>
      <c r="G184">
        <v>4543.1499999999996</v>
      </c>
      <c r="H184" t="s">
        <v>22</v>
      </c>
      <c r="J184">
        <v>1.9</v>
      </c>
      <c r="K184">
        <v>86.32</v>
      </c>
      <c r="L184">
        <v>4456.83</v>
      </c>
    </row>
    <row r="185" spans="1:12" x14ac:dyDescent="0.25">
      <c r="A185" t="s">
        <v>713</v>
      </c>
      <c r="B185" s="1">
        <v>45543.724305555559</v>
      </c>
      <c r="C185" t="s">
        <v>31</v>
      </c>
      <c r="D185" t="s">
        <v>32</v>
      </c>
      <c r="E185" t="s">
        <v>39</v>
      </c>
      <c r="F185" t="s">
        <v>45</v>
      </c>
      <c r="G185">
        <v>2124.67</v>
      </c>
      <c r="H185" t="s">
        <v>22</v>
      </c>
      <c r="J185">
        <v>3.2</v>
      </c>
      <c r="K185">
        <v>67.989999999999995</v>
      </c>
      <c r="L185">
        <v>2056.6799999999998</v>
      </c>
    </row>
    <row r="186" spans="1:12" x14ac:dyDescent="0.25">
      <c r="A186" t="s">
        <v>714</v>
      </c>
      <c r="B186" s="1">
        <v>45544.385416666664</v>
      </c>
      <c r="C186" t="s">
        <v>24</v>
      </c>
      <c r="D186" t="s">
        <v>25</v>
      </c>
      <c r="E186" t="s">
        <v>33</v>
      </c>
      <c r="F186" t="s">
        <v>41</v>
      </c>
      <c r="G186">
        <v>4996.3100000000004</v>
      </c>
      <c r="H186" t="s">
        <v>22</v>
      </c>
      <c r="J186">
        <v>1.9</v>
      </c>
      <c r="K186">
        <v>94.93</v>
      </c>
      <c r="L186">
        <v>4901.38</v>
      </c>
    </row>
    <row r="187" spans="1:12" x14ac:dyDescent="0.25">
      <c r="A187" t="s">
        <v>715</v>
      </c>
      <c r="B187" s="1">
        <v>45544.740972222222</v>
      </c>
      <c r="C187" t="s">
        <v>43</v>
      </c>
      <c r="D187" t="s">
        <v>25</v>
      </c>
      <c r="E187" t="s">
        <v>44</v>
      </c>
      <c r="F187" t="s">
        <v>41</v>
      </c>
      <c r="G187">
        <v>3958.19</v>
      </c>
      <c r="H187" t="s">
        <v>22</v>
      </c>
      <c r="J187">
        <v>2.1</v>
      </c>
      <c r="K187">
        <v>83.12</v>
      </c>
      <c r="L187">
        <v>3875.07</v>
      </c>
    </row>
    <row r="188" spans="1:12" x14ac:dyDescent="0.25">
      <c r="A188" t="s">
        <v>716</v>
      </c>
      <c r="B188" s="1">
        <v>45545.489583333336</v>
      </c>
      <c r="C188" t="s">
        <v>47</v>
      </c>
      <c r="D188" t="s">
        <v>25</v>
      </c>
      <c r="E188" t="s">
        <v>33</v>
      </c>
      <c r="F188" t="s">
        <v>41</v>
      </c>
      <c r="G188">
        <v>420.42</v>
      </c>
      <c r="H188" t="s">
        <v>34</v>
      </c>
      <c r="I188" t="s">
        <v>78</v>
      </c>
      <c r="J188">
        <v>1.9</v>
      </c>
      <c r="K188">
        <v>0</v>
      </c>
      <c r="L188">
        <v>0</v>
      </c>
    </row>
    <row r="189" spans="1:12" x14ac:dyDescent="0.25">
      <c r="A189" t="s">
        <v>717</v>
      </c>
      <c r="B189" s="1">
        <v>45545.505555555559</v>
      </c>
      <c r="C189" t="s">
        <v>58</v>
      </c>
      <c r="D189" t="s">
        <v>25</v>
      </c>
      <c r="E189" t="s">
        <v>44</v>
      </c>
      <c r="F189" t="s">
        <v>45</v>
      </c>
      <c r="G189">
        <v>1085.68</v>
      </c>
      <c r="H189" t="s">
        <v>22</v>
      </c>
      <c r="J189">
        <v>2.1</v>
      </c>
      <c r="K189">
        <v>22.8</v>
      </c>
      <c r="L189">
        <v>1062.8800000000001</v>
      </c>
    </row>
    <row r="190" spans="1:12" x14ac:dyDescent="0.25">
      <c r="A190" t="s">
        <v>718</v>
      </c>
      <c r="B190" s="1">
        <v>45545.575694444444</v>
      </c>
      <c r="C190" t="s">
        <v>58</v>
      </c>
      <c r="D190" t="s">
        <v>25</v>
      </c>
      <c r="E190" t="s">
        <v>44</v>
      </c>
      <c r="F190" t="s">
        <v>16</v>
      </c>
      <c r="G190">
        <v>3632.74</v>
      </c>
      <c r="H190" t="s">
        <v>22</v>
      </c>
      <c r="J190">
        <v>2.1</v>
      </c>
      <c r="K190">
        <v>76.290000000000006</v>
      </c>
      <c r="L190">
        <v>3556.45</v>
      </c>
    </row>
    <row r="191" spans="1:12" x14ac:dyDescent="0.25">
      <c r="A191" t="s">
        <v>719</v>
      </c>
      <c r="B191" s="1">
        <v>45545.730555555558</v>
      </c>
      <c r="C191" t="s">
        <v>31</v>
      </c>
      <c r="D191" t="s">
        <v>32</v>
      </c>
      <c r="E191" t="s">
        <v>33</v>
      </c>
      <c r="F191" t="s">
        <v>41</v>
      </c>
      <c r="G191">
        <v>1346.77</v>
      </c>
      <c r="H191" t="s">
        <v>17</v>
      </c>
      <c r="J191">
        <v>1.9</v>
      </c>
      <c r="K191">
        <v>0</v>
      </c>
      <c r="L191">
        <v>0</v>
      </c>
    </row>
    <row r="192" spans="1:12" x14ac:dyDescent="0.25">
      <c r="A192" t="s">
        <v>720</v>
      </c>
      <c r="B192" s="1">
        <v>45545.862500000003</v>
      </c>
      <c r="C192" t="s">
        <v>60</v>
      </c>
      <c r="D192" t="s">
        <v>25</v>
      </c>
      <c r="E192" t="s">
        <v>28</v>
      </c>
      <c r="F192" t="s">
        <v>29</v>
      </c>
      <c r="G192">
        <v>4087</v>
      </c>
      <c r="H192" t="s">
        <v>17</v>
      </c>
      <c r="J192">
        <v>2.9</v>
      </c>
      <c r="K192">
        <v>0</v>
      </c>
      <c r="L192">
        <v>0</v>
      </c>
    </row>
    <row r="193" spans="1:12" x14ac:dyDescent="0.25">
      <c r="A193" t="s">
        <v>721</v>
      </c>
      <c r="B193" s="1">
        <v>45546.181250000001</v>
      </c>
      <c r="C193" t="s">
        <v>31</v>
      </c>
      <c r="D193" t="s">
        <v>32</v>
      </c>
      <c r="E193" t="s">
        <v>44</v>
      </c>
      <c r="F193" t="s">
        <v>21</v>
      </c>
      <c r="G193">
        <v>4912.07</v>
      </c>
      <c r="H193" t="s">
        <v>22</v>
      </c>
      <c r="J193">
        <v>2.1</v>
      </c>
      <c r="K193">
        <v>103.15</v>
      </c>
      <c r="L193">
        <v>4808.92</v>
      </c>
    </row>
    <row r="194" spans="1:12" x14ac:dyDescent="0.25">
      <c r="A194" t="s">
        <v>722</v>
      </c>
      <c r="B194" s="1">
        <v>45546.605555555558</v>
      </c>
      <c r="C194" t="s">
        <v>37</v>
      </c>
      <c r="D194" t="s">
        <v>38</v>
      </c>
      <c r="E194" t="s">
        <v>28</v>
      </c>
      <c r="F194" t="s">
        <v>16</v>
      </c>
      <c r="G194">
        <v>4298.21</v>
      </c>
      <c r="H194" t="s">
        <v>22</v>
      </c>
      <c r="J194">
        <v>2.9</v>
      </c>
      <c r="K194">
        <v>124.65</v>
      </c>
      <c r="L194">
        <v>4173.5600000000004</v>
      </c>
    </row>
    <row r="195" spans="1:12" x14ac:dyDescent="0.25">
      <c r="A195" t="s">
        <v>723</v>
      </c>
      <c r="B195" s="1">
        <v>45546.70208333333</v>
      </c>
      <c r="C195" t="s">
        <v>37</v>
      </c>
      <c r="D195" t="s">
        <v>38</v>
      </c>
      <c r="E195" t="s">
        <v>44</v>
      </c>
      <c r="F195" t="s">
        <v>45</v>
      </c>
      <c r="G195">
        <v>1504.61</v>
      </c>
      <c r="H195" t="s">
        <v>34</v>
      </c>
      <c r="I195" t="s">
        <v>35</v>
      </c>
      <c r="J195">
        <v>2.1</v>
      </c>
      <c r="K195">
        <v>0</v>
      </c>
      <c r="L195">
        <v>0</v>
      </c>
    </row>
    <row r="196" spans="1:12" x14ac:dyDescent="0.25">
      <c r="A196" t="s">
        <v>724</v>
      </c>
      <c r="B196" s="1">
        <v>45546.870833333334</v>
      </c>
      <c r="C196" t="s">
        <v>31</v>
      </c>
      <c r="D196" t="s">
        <v>32</v>
      </c>
      <c r="E196" t="s">
        <v>33</v>
      </c>
      <c r="F196" t="s">
        <v>29</v>
      </c>
      <c r="G196">
        <v>1443.9</v>
      </c>
      <c r="H196" t="s">
        <v>22</v>
      </c>
      <c r="J196">
        <v>1.9</v>
      </c>
      <c r="K196">
        <v>27.43</v>
      </c>
      <c r="L196">
        <v>1416.47</v>
      </c>
    </row>
    <row r="197" spans="1:12" x14ac:dyDescent="0.25">
      <c r="A197" t="s">
        <v>725</v>
      </c>
      <c r="B197" s="1">
        <v>45547.580555555556</v>
      </c>
      <c r="C197" t="s">
        <v>13</v>
      </c>
      <c r="D197" t="s">
        <v>14</v>
      </c>
      <c r="E197" t="s">
        <v>15</v>
      </c>
      <c r="F197" t="s">
        <v>41</v>
      </c>
      <c r="G197">
        <v>447.73</v>
      </c>
      <c r="H197" t="s">
        <v>34</v>
      </c>
      <c r="I197" t="s">
        <v>35</v>
      </c>
      <c r="J197">
        <v>2.5</v>
      </c>
      <c r="K197">
        <v>0</v>
      </c>
      <c r="L197">
        <v>0</v>
      </c>
    </row>
    <row r="198" spans="1:12" x14ac:dyDescent="0.25">
      <c r="A198" t="s">
        <v>726</v>
      </c>
      <c r="B198" s="1">
        <v>45547.683333333334</v>
      </c>
      <c r="C198" t="s">
        <v>13</v>
      </c>
      <c r="D198" t="s">
        <v>14</v>
      </c>
      <c r="E198" t="s">
        <v>28</v>
      </c>
      <c r="F198" t="s">
        <v>21</v>
      </c>
      <c r="G198">
        <v>3877.07</v>
      </c>
      <c r="H198" t="s">
        <v>34</v>
      </c>
      <c r="I198" t="s">
        <v>35</v>
      </c>
      <c r="J198">
        <v>2.9</v>
      </c>
      <c r="K198">
        <v>0</v>
      </c>
      <c r="L198">
        <v>0</v>
      </c>
    </row>
    <row r="199" spans="1:12" x14ac:dyDescent="0.25">
      <c r="A199" t="s">
        <v>727</v>
      </c>
      <c r="B199" s="1">
        <v>45547.745138888888</v>
      </c>
      <c r="C199" t="s">
        <v>43</v>
      </c>
      <c r="D199" t="s">
        <v>25</v>
      </c>
      <c r="E199" t="s">
        <v>28</v>
      </c>
      <c r="F199" t="s">
        <v>41</v>
      </c>
      <c r="G199">
        <v>1703.03</v>
      </c>
      <c r="H199" t="s">
        <v>22</v>
      </c>
      <c r="J199">
        <v>2.9</v>
      </c>
      <c r="K199">
        <v>49.39</v>
      </c>
      <c r="L199">
        <v>1653.64</v>
      </c>
    </row>
    <row r="200" spans="1:12" x14ac:dyDescent="0.25">
      <c r="A200" t="s">
        <v>728</v>
      </c>
      <c r="B200" s="1">
        <v>45547.875694444447</v>
      </c>
      <c r="C200" t="s">
        <v>27</v>
      </c>
      <c r="D200" t="s">
        <v>25</v>
      </c>
      <c r="E200" t="s">
        <v>15</v>
      </c>
      <c r="F200" t="s">
        <v>45</v>
      </c>
      <c r="G200">
        <v>3399.23</v>
      </c>
      <c r="H200" t="s">
        <v>22</v>
      </c>
      <c r="J200">
        <v>2.5</v>
      </c>
      <c r="K200">
        <v>84.98</v>
      </c>
      <c r="L200">
        <v>3314.25</v>
      </c>
    </row>
    <row r="201" spans="1:12" x14ac:dyDescent="0.25">
      <c r="A201" t="s">
        <v>729</v>
      </c>
      <c r="B201" s="1">
        <v>45547.996527777781</v>
      </c>
      <c r="C201" t="s">
        <v>31</v>
      </c>
      <c r="D201" t="s">
        <v>32</v>
      </c>
      <c r="E201" t="s">
        <v>44</v>
      </c>
      <c r="F201" t="s">
        <v>21</v>
      </c>
      <c r="G201">
        <v>1679.69</v>
      </c>
      <c r="H201" t="s">
        <v>22</v>
      </c>
      <c r="J201">
        <v>2.1</v>
      </c>
      <c r="K201">
        <v>35.270000000000003</v>
      </c>
      <c r="L201">
        <v>1644.42</v>
      </c>
    </row>
    <row r="202" spans="1:12" x14ac:dyDescent="0.25">
      <c r="A202" t="s">
        <v>730</v>
      </c>
      <c r="B202" s="1">
        <v>45548.168749999997</v>
      </c>
      <c r="C202" t="s">
        <v>43</v>
      </c>
      <c r="D202" t="s">
        <v>25</v>
      </c>
      <c r="E202" t="s">
        <v>28</v>
      </c>
      <c r="F202" t="s">
        <v>21</v>
      </c>
      <c r="G202">
        <v>4912.1000000000004</v>
      </c>
      <c r="H202" t="s">
        <v>22</v>
      </c>
      <c r="J202">
        <v>2.9</v>
      </c>
      <c r="K202">
        <v>142.44999999999999</v>
      </c>
      <c r="L202">
        <v>4769.6499999999996</v>
      </c>
    </row>
    <row r="203" spans="1:12" x14ac:dyDescent="0.25">
      <c r="A203" t="s">
        <v>731</v>
      </c>
      <c r="B203" s="1">
        <v>45549.384722222225</v>
      </c>
      <c r="C203" t="s">
        <v>19</v>
      </c>
      <c r="D203" t="s">
        <v>20</v>
      </c>
      <c r="E203" t="s">
        <v>39</v>
      </c>
      <c r="F203" t="s">
        <v>45</v>
      </c>
      <c r="G203">
        <v>2993.61</v>
      </c>
      <c r="H203" t="s">
        <v>22</v>
      </c>
      <c r="J203">
        <v>3.2</v>
      </c>
      <c r="K203">
        <v>95.8</v>
      </c>
      <c r="L203">
        <v>2897.81</v>
      </c>
    </row>
    <row r="204" spans="1:12" x14ac:dyDescent="0.25">
      <c r="A204" t="s">
        <v>732</v>
      </c>
      <c r="B204" s="1">
        <v>45549.8125</v>
      </c>
      <c r="C204" t="s">
        <v>37</v>
      </c>
      <c r="D204" t="s">
        <v>38</v>
      </c>
      <c r="E204" t="s">
        <v>44</v>
      </c>
      <c r="F204" t="s">
        <v>16</v>
      </c>
      <c r="G204">
        <v>2462.31</v>
      </c>
      <c r="H204" t="s">
        <v>22</v>
      </c>
      <c r="J204">
        <v>2.1</v>
      </c>
      <c r="K204">
        <v>51.71</v>
      </c>
      <c r="L204">
        <v>2410.6</v>
      </c>
    </row>
    <row r="205" spans="1:12" x14ac:dyDescent="0.25">
      <c r="A205" t="s">
        <v>733</v>
      </c>
      <c r="B205" s="1">
        <v>45550.75277777778</v>
      </c>
      <c r="C205" t="s">
        <v>31</v>
      </c>
      <c r="D205" t="s">
        <v>32</v>
      </c>
      <c r="E205" t="s">
        <v>33</v>
      </c>
      <c r="F205" t="s">
        <v>41</v>
      </c>
      <c r="G205">
        <v>2648.91</v>
      </c>
      <c r="H205" t="s">
        <v>22</v>
      </c>
      <c r="J205">
        <v>1.9</v>
      </c>
      <c r="K205">
        <v>50.33</v>
      </c>
      <c r="L205">
        <v>2598.58</v>
      </c>
    </row>
    <row r="206" spans="1:12" x14ac:dyDescent="0.25">
      <c r="A206" t="s">
        <v>734</v>
      </c>
      <c r="B206" s="1">
        <v>45551.338888888888</v>
      </c>
      <c r="C206" t="s">
        <v>37</v>
      </c>
      <c r="D206" t="s">
        <v>38</v>
      </c>
      <c r="E206" t="s">
        <v>28</v>
      </c>
      <c r="F206" t="s">
        <v>29</v>
      </c>
      <c r="G206">
        <v>1853.94</v>
      </c>
      <c r="H206" t="s">
        <v>22</v>
      </c>
      <c r="J206">
        <v>2.9</v>
      </c>
      <c r="K206">
        <v>53.76</v>
      </c>
      <c r="L206">
        <v>1800.18</v>
      </c>
    </row>
    <row r="207" spans="1:12" x14ac:dyDescent="0.25">
      <c r="A207" t="s">
        <v>735</v>
      </c>
      <c r="B207" s="1">
        <v>45553.55972222222</v>
      </c>
      <c r="C207" t="s">
        <v>31</v>
      </c>
      <c r="D207" t="s">
        <v>32</v>
      </c>
      <c r="E207" t="s">
        <v>15</v>
      </c>
      <c r="F207" t="s">
        <v>45</v>
      </c>
      <c r="G207">
        <v>4066</v>
      </c>
      <c r="H207" t="s">
        <v>22</v>
      </c>
      <c r="J207">
        <v>2.5</v>
      </c>
      <c r="K207">
        <v>101.65</v>
      </c>
      <c r="L207">
        <v>3964.35</v>
      </c>
    </row>
    <row r="208" spans="1:12" x14ac:dyDescent="0.25">
      <c r="A208" t="s">
        <v>736</v>
      </c>
      <c r="B208" s="1">
        <v>45555.28402777778</v>
      </c>
      <c r="C208" t="s">
        <v>27</v>
      </c>
      <c r="D208" t="s">
        <v>25</v>
      </c>
      <c r="E208" t="s">
        <v>28</v>
      </c>
      <c r="F208" t="s">
        <v>45</v>
      </c>
      <c r="G208">
        <v>3765.62</v>
      </c>
      <c r="H208" t="s">
        <v>17</v>
      </c>
      <c r="J208">
        <v>2.9</v>
      </c>
      <c r="K208">
        <v>0</v>
      </c>
      <c r="L208">
        <v>0</v>
      </c>
    </row>
    <row r="209" spans="1:12" x14ac:dyDescent="0.25">
      <c r="A209" t="s">
        <v>737</v>
      </c>
      <c r="B209" s="1">
        <v>45555.420138888891</v>
      </c>
      <c r="C209" t="s">
        <v>58</v>
      </c>
      <c r="D209" t="s">
        <v>25</v>
      </c>
      <c r="E209" t="s">
        <v>28</v>
      </c>
      <c r="F209" t="s">
        <v>29</v>
      </c>
      <c r="G209">
        <v>4908.6099999999997</v>
      </c>
      <c r="H209" t="s">
        <v>34</v>
      </c>
      <c r="I209" t="s">
        <v>62</v>
      </c>
      <c r="J209">
        <v>2.9</v>
      </c>
      <c r="K209">
        <v>0</v>
      </c>
      <c r="L209">
        <v>0</v>
      </c>
    </row>
    <row r="210" spans="1:12" x14ac:dyDescent="0.25">
      <c r="A210" t="s">
        <v>738</v>
      </c>
      <c r="B210" s="1">
        <v>45555.553472222222</v>
      </c>
      <c r="C210" t="s">
        <v>60</v>
      </c>
      <c r="D210" t="s">
        <v>25</v>
      </c>
      <c r="E210" t="s">
        <v>15</v>
      </c>
      <c r="F210" t="s">
        <v>45</v>
      </c>
      <c r="G210">
        <v>120.96</v>
      </c>
      <c r="H210" t="s">
        <v>22</v>
      </c>
      <c r="J210">
        <v>2.5</v>
      </c>
      <c r="K210">
        <v>3.02</v>
      </c>
      <c r="L210">
        <v>117.94</v>
      </c>
    </row>
    <row r="211" spans="1:12" x14ac:dyDescent="0.25">
      <c r="A211" t="s">
        <v>739</v>
      </c>
      <c r="B211" s="1">
        <v>45555.712500000001</v>
      </c>
      <c r="C211" t="s">
        <v>37</v>
      </c>
      <c r="D211" t="s">
        <v>38</v>
      </c>
      <c r="E211" t="s">
        <v>44</v>
      </c>
      <c r="F211" t="s">
        <v>16</v>
      </c>
      <c r="G211">
        <v>621.38</v>
      </c>
      <c r="H211" t="s">
        <v>34</v>
      </c>
      <c r="I211" t="s">
        <v>35</v>
      </c>
      <c r="J211">
        <v>2.1</v>
      </c>
      <c r="K211">
        <v>0</v>
      </c>
      <c r="L211">
        <v>0</v>
      </c>
    </row>
    <row r="212" spans="1:12" x14ac:dyDescent="0.25">
      <c r="A212" t="s">
        <v>740</v>
      </c>
      <c r="B212" s="1">
        <v>45556.232638888891</v>
      </c>
      <c r="C212" t="s">
        <v>27</v>
      </c>
      <c r="D212" t="s">
        <v>25</v>
      </c>
      <c r="E212" t="s">
        <v>39</v>
      </c>
      <c r="F212" t="s">
        <v>45</v>
      </c>
      <c r="G212">
        <v>2137.58</v>
      </c>
      <c r="H212" t="s">
        <v>34</v>
      </c>
      <c r="I212" t="s">
        <v>35</v>
      </c>
      <c r="J212">
        <v>3.2</v>
      </c>
      <c r="K212">
        <v>0</v>
      </c>
      <c r="L212">
        <v>0</v>
      </c>
    </row>
    <row r="213" spans="1:12" x14ac:dyDescent="0.25">
      <c r="A213" t="s">
        <v>741</v>
      </c>
      <c r="B213" s="1">
        <v>45556.253472222219</v>
      </c>
      <c r="C213" t="s">
        <v>24</v>
      </c>
      <c r="D213" t="s">
        <v>25</v>
      </c>
      <c r="E213" t="s">
        <v>15</v>
      </c>
      <c r="F213" t="s">
        <v>16</v>
      </c>
      <c r="G213">
        <v>2780.33</v>
      </c>
      <c r="H213" t="s">
        <v>22</v>
      </c>
      <c r="J213">
        <v>2.5</v>
      </c>
      <c r="K213">
        <v>69.510000000000005</v>
      </c>
      <c r="L213">
        <v>2710.82</v>
      </c>
    </row>
    <row r="214" spans="1:12" x14ac:dyDescent="0.25">
      <c r="A214" t="s">
        <v>742</v>
      </c>
      <c r="B214" s="1">
        <v>45556.435416666667</v>
      </c>
      <c r="C214" t="s">
        <v>27</v>
      </c>
      <c r="D214" t="s">
        <v>25</v>
      </c>
      <c r="E214" t="s">
        <v>39</v>
      </c>
      <c r="F214" t="s">
        <v>16</v>
      </c>
      <c r="G214">
        <v>3820.74</v>
      </c>
      <c r="H214" t="s">
        <v>22</v>
      </c>
      <c r="J214">
        <v>3.2</v>
      </c>
      <c r="K214">
        <v>122.26</v>
      </c>
      <c r="L214">
        <v>3698.48</v>
      </c>
    </row>
    <row r="215" spans="1:12" x14ac:dyDescent="0.25">
      <c r="A215" t="s">
        <v>743</v>
      </c>
      <c r="B215" s="1">
        <v>45556.494444444441</v>
      </c>
      <c r="C215" t="s">
        <v>60</v>
      </c>
      <c r="D215" t="s">
        <v>25</v>
      </c>
      <c r="E215" t="s">
        <v>33</v>
      </c>
      <c r="F215" t="s">
        <v>29</v>
      </c>
      <c r="G215">
        <v>337.43</v>
      </c>
      <c r="H215" t="s">
        <v>17</v>
      </c>
      <c r="J215">
        <v>1.9</v>
      </c>
      <c r="K215">
        <v>0</v>
      </c>
      <c r="L215">
        <v>0</v>
      </c>
    </row>
    <row r="216" spans="1:12" x14ac:dyDescent="0.25">
      <c r="A216" t="s">
        <v>744</v>
      </c>
      <c r="B216" s="1">
        <v>45556.515277777777</v>
      </c>
      <c r="C216" t="s">
        <v>37</v>
      </c>
      <c r="D216" t="s">
        <v>38</v>
      </c>
      <c r="E216" t="s">
        <v>15</v>
      </c>
      <c r="F216" t="s">
        <v>16</v>
      </c>
      <c r="G216">
        <v>4436.99</v>
      </c>
      <c r="H216" t="s">
        <v>22</v>
      </c>
      <c r="J216">
        <v>2.5</v>
      </c>
      <c r="K216">
        <v>110.92</v>
      </c>
      <c r="L216">
        <v>4326.07</v>
      </c>
    </row>
    <row r="217" spans="1:12" x14ac:dyDescent="0.25">
      <c r="A217" t="s">
        <v>745</v>
      </c>
      <c r="B217" s="1">
        <v>45556.588194444441</v>
      </c>
      <c r="C217" t="s">
        <v>24</v>
      </c>
      <c r="D217" t="s">
        <v>25</v>
      </c>
      <c r="E217" t="s">
        <v>44</v>
      </c>
      <c r="F217" t="s">
        <v>41</v>
      </c>
      <c r="G217">
        <v>1697.05</v>
      </c>
      <c r="H217" t="s">
        <v>17</v>
      </c>
      <c r="J217">
        <v>2.1</v>
      </c>
      <c r="K217">
        <v>0</v>
      </c>
      <c r="L217">
        <v>0</v>
      </c>
    </row>
    <row r="218" spans="1:12" x14ac:dyDescent="0.25">
      <c r="A218" t="s">
        <v>746</v>
      </c>
      <c r="B218" s="1">
        <v>45557.179861111108</v>
      </c>
      <c r="C218" t="s">
        <v>27</v>
      </c>
      <c r="D218" t="s">
        <v>25</v>
      </c>
      <c r="E218" t="s">
        <v>44</v>
      </c>
      <c r="F218" t="s">
        <v>21</v>
      </c>
      <c r="G218">
        <v>4674.34</v>
      </c>
      <c r="H218" t="s">
        <v>22</v>
      </c>
      <c r="J218">
        <v>2.1</v>
      </c>
      <c r="K218">
        <v>98.16</v>
      </c>
      <c r="L218">
        <v>4576.18</v>
      </c>
    </row>
    <row r="219" spans="1:12" x14ac:dyDescent="0.25">
      <c r="A219" t="s">
        <v>747</v>
      </c>
      <c r="B219" s="1">
        <v>45557.412499999999</v>
      </c>
      <c r="C219" t="s">
        <v>31</v>
      </c>
      <c r="D219" t="s">
        <v>32</v>
      </c>
      <c r="E219" t="s">
        <v>39</v>
      </c>
      <c r="F219" t="s">
        <v>29</v>
      </c>
      <c r="G219">
        <v>3178.93</v>
      </c>
      <c r="H219" t="s">
        <v>17</v>
      </c>
      <c r="J219">
        <v>3.2</v>
      </c>
      <c r="K219">
        <v>0</v>
      </c>
      <c r="L219">
        <v>0</v>
      </c>
    </row>
    <row r="220" spans="1:12" x14ac:dyDescent="0.25">
      <c r="A220" t="s">
        <v>748</v>
      </c>
      <c r="B220" s="1">
        <v>45557.589583333334</v>
      </c>
      <c r="C220" t="s">
        <v>19</v>
      </c>
      <c r="D220" t="s">
        <v>20</v>
      </c>
      <c r="E220" t="s">
        <v>33</v>
      </c>
      <c r="F220" t="s">
        <v>29</v>
      </c>
      <c r="G220">
        <v>1646.55</v>
      </c>
      <c r="H220" t="s">
        <v>17</v>
      </c>
      <c r="J220">
        <v>1.9</v>
      </c>
      <c r="K220">
        <v>0</v>
      </c>
      <c r="L220">
        <v>0</v>
      </c>
    </row>
    <row r="221" spans="1:12" x14ac:dyDescent="0.25">
      <c r="A221" t="s">
        <v>749</v>
      </c>
      <c r="B221" s="1">
        <v>45557.894444444442</v>
      </c>
      <c r="C221" t="s">
        <v>60</v>
      </c>
      <c r="D221" t="s">
        <v>25</v>
      </c>
      <c r="E221" t="s">
        <v>28</v>
      </c>
      <c r="F221" t="s">
        <v>21</v>
      </c>
      <c r="G221">
        <v>4087.37</v>
      </c>
      <c r="H221" t="s">
        <v>34</v>
      </c>
      <c r="I221" t="s">
        <v>35</v>
      </c>
      <c r="J221">
        <v>2.9</v>
      </c>
      <c r="K221">
        <v>0</v>
      </c>
      <c r="L221">
        <v>0</v>
      </c>
    </row>
    <row r="222" spans="1:12" x14ac:dyDescent="0.25">
      <c r="A222" t="s">
        <v>750</v>
      </c>
      <c r="B222" s="1">
        <v>45558.01666666667</v>
      </c>
      <c r="C222" t="s">
        <v>24</v>
      </c>
      <c r="D222" t="s">
        <v>25</v>
      </c>
      <c r="E222" t="s">
        <v>39</v>
      </c>
      <c r="F222" t="s">
        <v>16</v>
      </c>
      <c r="G222">
        <v>1817.73</v>
      </c>
      <c r="H222" t="s">
        <v>22</v>
      </c>
      <c r="J222">
        <v>3.2</v>
      </c>
      <c r="K222">
        <v>58.17</v>
      </c>
      <c r="L222">
        <v>1759.56</v>
      </c>
    </row>
    <row r="223" spans="1:12" x14ac:dyDescent="0.25">
      <c r="A223" t="s">
        <v>751</v>
      </c>
      <c r="B223" s="1">
        <v>45558.400000000001</v>
      </c>
      <c r="C223" t="s">
        <v>37</v>
      </c>
      <c r="D223" t="s">
        <v>38</v>
      </c>
      <c r="E223" t="s">
        <v>33</v>
      </c>
      <c r="F223" t="s">
        <v>45</v>
      </c>
      <c r="G223">
        <v>103.4</v>
      </c>
      <c r="H223" t="s">
        <v>17</v>
      </c>
      <c r="J223">
        <v>1.9</v>
      </c>
      <c r="K223">
        <v>0</v>
      </c>
      <c r="L223">
        <v>0</v>
      </c>
    </row>
    <row r="224" spans="1:12" x14ac:dyDescent="0.25">
      <c r="A224" t="s">
        <v>752</v>
      </c>
      <c r="B224" s="1">
        <v>45558.45</v>
      </c>
      <c r="C224" t="s">
        <v>27</v>
      </c>
      <c r="D224" t="s">
        <v>25</v>
      </c>
      <c r="E224" t="s">
        <v>28</v>
      </c>
      <c r="F224" t="s">
        <v>41</v>
      </c>
      <c r="G224">
        <v>4452.6899999999996</v>
      </c>
      <c r="H224" t="s">
        <v>17</v>
      </c>
      <c r="J224">
        <v>2.9</v>
      </c>
      <c r="K224">
        <v>0</v>
      </c>
      <c r="L224">
        <v>0</v>
      </c>
    </row>
    <row r="225" spans="1:12" x14ac:dyDescent="0.25">
      <c r="A225" t="s">
        <v>753</v>
      </c>
      <c r="B225" s="1">
        <v>45558.738194444442</v>
      </c>
      <c r="C225" t="s">
        <v>24</v>
      </c>
      <c r="D225" t="s">
        <v>25</v>
      </c>
      <c r="E225" t="s">
        <v>39</v>
      </c>
      <c r="F225" t="s">
        <v>16</v>
      </c>
      <c r="G225">
        <v>359.17</v>
      </c>
      <c r="H225" t="s">
        <v>22</v>
      </c>
      <c r="J225">
        <v>3.2</v>
      </c>
      <c r="K225">
        <v>11.49</v>
      </c>
      <c r="L225">
        <v>347.68</v>
      </c>
    </row>
    <row r="226" spans="1:12" x14ac:dyDescent="0.25">
      <c r="A226" t="s">
        <v>754</v>
      </c>
      <c r="B226" s="1">
        <v>45559.911805555559</v>
      </c>
      <c r="C226" t="s">
        <v>19</v>
      </c>
      <c r="D226" t="s">
        <v>20</v>
      </c>
      <c r="E226" t="s">
        <v>33</v>
      </c>
      <c r="F226" t="s">
        <v>21</v>
      </c>
      <c r="G226">
        <v>2487.29</v>
      </c>
      <c r="H226" t="s">
        <v>22</v>
      </c>
      <c r="J226">
        <v>1.9</v>
      </c>
      <c r="K226">
        <v>47.26</v>
      </c>
      <c r="L226">
        <v>2440.0300000000002</v>
      </c>
    </row>
    <row r="227" spans="1:12" x14ac:dyDescent="0.25">
      <c r="A227" t="s">
        <v>755</v>
      </c>
      <c r="B227" s="1">
        <v>45560.087500000001</v>
      </c>
      <c r="C227" t="s">
        <v>47</v>
      </c>
      <c r="D227" t="s">
        <v>25</v>
      </c>
      <c r="E227" t="s">
        <v>33</v>
      </c>
      <c r="F227" t="s">
        <v>29</v>
      </c>
      <c r="G227">
        <v>430.71</v>
      </c>
      <c r="H227" t="s">
        <v>34</v>
      </c>
      <c r="I227" t="s">
        <v>62</v>
      </c>
      <c r="J227">
        <v>1.9</v>
      </c>
      <c r="K227">
        <v>0</v>
      </c>
      <c r="L227">
        <v>0</v>
      </c>
    </row>
    <row r="228" spans="1:12" x14ac:dyDescent="0.25">
      <c r="A228" t="s">
        <v>756</v>
      </c>
      <c r="B228" s="1">
        <v>45560.40902777778</v>
      </c>
      <c r="C228" t="s">
        <v>37</v>
      </c>
      <c r="D228" t="s">
        <v>38</v>
      </c>
      <c r="E228" t="s">
        <v>44</v>
      </c>
      <c r="F228" t="s">
        <v>41</v>
      </c>
      <c r="G228">
        <v>4112.47</v>
      </c>
      <c r="H228" t="s">
        <v>17</v>
      </c>
      <c r="J228">
        <v>2.1</v>
      </c>
      <c r="K228">
        <v>0</v>
      </c>
      <c r="L228">
        <v>0</v>
      </c>
    </row>
    <row r="229" spans="1:12" x14ac:dyDescent="0.25">
      <c r="A229" t="s">
        <v>757</v>
      </c>
      <c r="B229" s="1">
        <v>45560.861111111109</v>
      </c>
      <c r="C229" t="s">
        <v>13</v>
      </c>
      <c r="D229" t="s">
        <v>14</v>
      </c>
      <c r="E229" t="s">
        <v>39</v>
      </c>
      <c r="F229" t="s">
        <v>21</v>
      </c>
      <c r="G229">
        <v>2413.44</v>
      </c>
      <c r="H229" t="s">
        <v>22</v>
      </c>
      <c r="J229">
        <v>3.2</v>
      </c>
      <c r="K229">
        <v>77.23</v>
      </c>
      <c r="L229">
        <v>2336.21</v>
      </c>
    </row>
    <row r="230" spans="1:12" x14ac:dyDescent="0.25">
      <c r="A230" t="s">
        <v>758</v>
      </c>
      <c r="B230" s="1">
        <v>45561.299305555556</v>
      </c>
      <c r="C230" t="s">
        <v>13</v>
      </c>
      <c r="D230" t="s">
        <v>14</v>
      </c>
      <c r="E230" t="s">
        <v>28</v>
      </c>
      <c r="F230" t="s">
        <v>45</v>
      </c>
      <c r="G230">
        <v>805.26</v>
      </c>
      <c r="H230" t="s">
        <v>17</v>
      </c>
      <c r="J230">
        <v>2.9</v>
      </c>
      <c r="K230">
        <v>0</v>
      </c>
      <c r="L230">
        <v>0</v>
      </c>
    </row>
    <row r="231" spans="1:12" x14ac:dyDescent="0.25">
      <c r="A231" t="s">
        <v>759</v>
      </c>
      <c r="B231" s="1">
        <v>45561.353472222225</v>
      </c>
      <c r="C231" t="s">
        <v>13</v>
      </c>
      <c r="D231" t="s">
        <v>14</v>
      </c>
      <c r="E231" t="s">
        <v>28</v>
      </c>
      <c r="F231" t="s">
        <v>45</v>
      </c>
      <c r="G231">
        <v>4450.68</v>
      </c>
      <c r="H231" t="s">
        <v>22</v>
      </c>
      <c r="J231">
        <v>2.9</v>
      </c>
      <c r="K231">
        <v>129.07</v>
      </c>
      <c r="L231">
        <v>4321.6099999999997</v>
      </c>
    </row>
    <row r="232" spans="1:12" x14ac:dyDescent="0.25">
      <c r="A232" t="s">
        <v>760</v>
      </c>
      <c r="B232" s="1">
        <v>45561.583333333336</v>
      </c>
      <c r="C232" t="s">
        <v>27</v>
      </c>
      <c r="D232" t="s">
        <v>25</v>
      </c>
      <c r="E232" t="s">
        <v>15</v>
      </c>
      <c r="F232" t="s">
        <v>29</v>
      </c>
      <c r="G232">
        <v>383.39</v>
      </c>
      <c r="H232" t="s">
        <v>22</v>
      </c>
      <c r="J232">
        <v>2.5</v>
      </c>
      <c r="K232">
        <v>9.58</v>
      </c>
      <c r="L232">
        <v>373.81</v>
      </c>
    </row>
    <row r="233" spans="1:12" x14ac:dyDescent="0.25">
      <c r="A233" t="s">
        <v>761</v>
      </c>
      <c r="B233" s="1">
        <v>45561.606249999997</v>
      </c>
      <c r="C233" t="s">
        <v>37</v>
      </c>
      <c r="D233" t="s">
        <v>38</v>
      </c>
      <c r="E233" t="s">
        <v>28</v>
      </c>
      <c r="F233" t="s">
        <v>45</v>
      </c>
      <c r="G233">
        <v>569.91999999999996</v>
      </c>
      <c r="H233" t="s">
        <v>17</v>
      </c>
      <c r="J233">
        <v>2.9</v>
      </c>
      <c r="K233">
        <v>0</v>
      </c>
      <c r="L233">
        <v>0</v>
      </c>
    </row>
    <row r="234" spans="1:12" x14ac:dyDescent="0.25">
      <c r="A234" t="s">
        <v>762</v>
      </c>
      <c r="B234" s="1">
        <v>45561.822222222225</v>
      </c>
      <c r="C234" t="s">
        <v>19</v>
      </c>
      <c r="D234" t="s">
        <v>20</v>
      </c>
      <c r="E234" t="s">
        <v>39</v>
      </c>
      <c r="F234" t="s">
        <v>41</v>
      </c>
      <c r="G234">
        <v>1838.11</v>
      </c>
      <c r="H234" t="s">
        <v>17</v>
      </c>
      <c r="J234">
        <v>3.2</v>
      </c>
      <c r="K234">
        <v>0</v>
      </c>
      <c r="L234">
        <v>0</v>
      </c>
    </row>
    <row r="235" spans="1:12" x14ac:dyDescent="0.25">
      <c r="A235" t="s">
        <v>763</v>
      </c>
      <c r="B235" s="1">
        <v>45562.831944444442</v>
      </c>
      <c r="C235" t="s">
        <v>27</v>
      </c>
      <c r="D235" t="s">
        <v>25</v>
      </c>
      <c r="E235" t="s">
        <v>15</v>
      </c>
      <c r="F235" t="s">
        <v>16</v>
      </c>
      <c r="G235">
        <v>3222.96</v>
      </c>
      <c r="H235" t="s">
        <v>17</v>
      </c>
      <c r="J235">
        <v>2.5</v>
      </c>
      <c r="K235">
        <v>0</v>
      </c>
      <c r="L235">
        <v>0</v>
      </c>
    </row>
    <row r="236" spans="1:12" x14ac:dyDescent="0.25">
      <c r="A236" t="s">
        <v>764</v>
      </c>
      <c r="B236" s="1">
        <v>45563.183333333334</v>
      </c>
      <c r="C236" t="s">
        <v>24</v>
      </c>
      <c r="D236" t="s">
        <v>25</v>
      </c>
      <c r="E236" t="s">
        <v>39</v>
      </c>
      <c r="F236" t="s">
        <v>29</v>
      </c>
      <c r="G236">
        <v>1658.01</v>
      </c>
      <c r="H236" t="s">
        <v>22</v>
      </c>
      <c r="J236">
        <v>3.2</v>
      </c>
      <c r="K236">
        <v>53.06</v>
      </c>
      <c r="L236">
        <v>1604.95</v>
      </c>
    </row>
    <row r="237" spans="1:12" x14ac:dyDescent="0.25">
      <c r="A237" t="s">
        <v>765</v>
      </c>
      <c r="B237" s="1">
        <v>45563.475694444445</v>
      </c>
      <c r="C237" t="s">
        <v>37</v>
      </c>
      <c r="D237" t="s">
        <v>38</v>
      </c>
      <c r="E237" t="s">
        <v>39</v>
      </c>
      <c r="F237" t="s">
        <v>29</v>
      </c>
      <c r="G237">
        <v>4803</v>
      </c>
      <c r="H237" t="s">
        <v>22</v>
      </c>
      <c r="J237">
        <v>3.2</v>
      </c>
      <c r="K237">
        <v>153.69999999999999</v>
      </c>
      <c r="L237">
        <v>4649.3</v>
      </c>
    </row>
    <row r="238" spans="1:12" x14ac:dyDescent="0.25">
      <c r="A238" t="s">
        <v>766</v>
      </c>
      <c r="B238" s="1">
        <v>45563.706944444442</v>
      </c>
      <c r="C238" t="s">
        <v>47</v>
      </c>
      <c r="D238" t="s">
        <v>25</v>
      </c>
      <c r="E238" t="s">
        <v>44</v>
      </c>
      <c r="F238" t="s">
        <v>21</v>
      </c>
      <c r="G238">
        <v>4571.1000000000004</v>
      </c>
      <c r="H238" t="s">
        <v>34</v>
      </c>
      <c r="I238" t="s">
        <v>62</v>
      </c>
      <c r="J238">
        <v>2.1</v>
      </c>
      <c r="K238">
        <v>0</v>
      </c>
      <c r="L238">
        <v>0</v>
      </c>
    </row>
    <row r="239" spans="1:12" x14ac:dyDescent="0.25">
      <c r="A239" t="s">
        <v>767</v>
      </c>
      <c r="B239" s="1">
        <v>45564.450694444444</v>
      </c>
      <c r="C239" t="s">
        <v>43</v>
      </c>
      <c r="D239" t="s">
        <v>25</v>
      </c>
      <c r="E239" t="s">
        <v>28</v>
      </c>
      <c r="F239" t="s">
        <v>21</v>
      </c>
      <c r="G239">
        <v>755.11</v>
      </c>
      <c r="H239" t="s">
        <v>22</v>
      </c>
      <c r="J239">
        <v>2.9</v>
      </c>
      <c r="K239">
        <v>21.9</v>
      </c>
      <c r="L239">
        <v>733.21</v>
      </c>
    </row>
    <row r="240" spans="1:12" x14ac:dyDescent="0.25">
      <c r="A240" t="s">
        <v>768</v>
      </c>
      <c r="B240" s="1">
        <v>45565.020833333336</v>
      </c>
      <c r="C240" t="s">
        <v>43</v>
      </c>
      <c r="D240" t="s">
        <v>25</v>
      </c>
      <c r="E240" t="s">
        <v>33</v>
      </c>
      <c r="F240" t="s">
        <v>16</v>
      </c>
      <c r="G240">
        <v>2874.09</v>
      </c>
      <c r="H240" t="s">
        <v>22</v>
      </c>
      <c r="J240">
        <v>1.9</v>
      </c>
      <c r="K240">
        <v>54.61</v>
      </c>
      <c r="L240">
        <v>2819.48</v>
      </c>
    </row>
    <row r="241" spans="1:12" x14ac:dyDescent="0.25">
      <c r="A241" t="s">
        <v>769</v>
      </c>
      <c r="B241" s="1">
        <v>45565.32916666667</v>
      </c>
      <c r="C241" t="s">
        <v>43</v>
      </c>
      <c r="D241" t="s">
        <v>25</v>
      </c>
      <c r="E241" t="s">
        <v>15</v>
      </c>
      <c r="F241" t="s">
        <v>41</v>
      </c>
      <c r="G241">
        <v>4549.8500000000004</v>
      </c>
      <c r="H241" t="s">
        <v>34</v>
      </c>
      <c r="I241" t="s">
        <v>62</v>
      </c>
      <c r="J241">
        <v>2.5</v>
      </c>
      <c r="K241">
        <v>0</v>
      </c>
      <c r="L241">
        <v>0</v>
      </c>
    </row>
    <row r="242" spans="1:12" x14ac:dyDescent="0.25">
      <c r="A242" t="s">
        <v>770</v>
      </c>
      <c r="B242" s="1">
        <v>45565.420138888891</v>
      </c>
      <c r="C242" t="s">
        <v>43</v>
      </c>
      <c r="D242" t="s">
        <v>25</v>
      </c>
      <c r="E242" t="s">
        <v>39</v>
      </c>
      <c r="F242" t="s">
        <v>29</v>
      </c>
      <c r="G242">
        <v>891.33</v>
      </c>
      <c r="H242" t="s">
        <v>22</v>
      </c>
      <c r="J242">
        <v>3.2</v>
      </c>
      <c r="K242">
        <v>28.52</v>
      </c>
      <c r="L242">
        <v>862.81</v>
      </c>
    </row>
    <row r="243" spans="1:12" x14ac:dyDescent="0.25">
      <c r="A243" t="s">
        <v>771</v>
      </c>
      <c r="B243" s="1">
        <v>45565.509027777778</v>
      </c>
      <c r="C243" t="s">
        <v>58</v>
      </c>
      <c r="D243" t="s">
        <v>25</v>
      </c>
      <c r="E243" t="s">
        <v>44</v>
      </c>
      <c r="F243" t="s">
        <v>16</v>
      </c>
      <c r="G243">
        <v>1350</v>
      </c>
      <c r="H243" t="s">
        <v>22</v>
      </c>
      <c r="J243">
        <v>2.1</v>
      </c>
      <c r="K243">
        <v>28.35</v>
      </c>
      <c r="L243">
        <v>1321.65</v>
      </c>
    </row>
    <row r="244" spans="1:12" x14ac:dyDescent="0.25">
      <c r="A244" t="s">
        <v>772</v>
      </c>
      <c r="B244" s="1">
        <v>45565.960416666669</v>
      </c>
      <c r="C244" t="s">
        <v>24</v>
      </c>
      <c r="D244" t="s">
        <v>25</v>
      </c>
      <c r="E244" t="s">
        <v>33</v>
      </c>
      <c r="F244" t="s">
        <v>16</v>
      </c>
      <c r="G244">
        <v>1780.48</v>
      </c>
      <c r="H244" t="s">
        <v>22</v>
      </c>
      <c r="J244">
        <v>1.9</v>
      </c>
      <c r="K244">
        <v>33.83</v>
      </c>
      <c r="L244">
        <v>1746.65</v>
      </c>
    </row>
    <row r="245" spans="1:12" x14ac:dyDescent="0.25">
      <c r="A245" t="s">
        <v>773</v>
      </c>
      <c r="B245" s="1">
        <v>45566.037499999999</v>
      </c>
      <c r="C245" t="s">
        <v>31</v>
      </c>
      <c r="D245" t="s">
        <v>32</v>
      </c>
      <c r="E245" t="s">
        <v>15</v>
      </c>
      <c r="F245" t="s">
        <v>29</v>
      </c>
      <c r="G245">
        <v>4413.45</v>
      </c>
      <c r="H245" t="s">
        <v>22</v>
      </c>
      <c r="J245">
        <v>2.5</v>
      </c>
      <c r="K245">
        <v>110.34</v>
      </c>
      <c r="L245">
        <v>4303.1099999999997</v>
      </c>
    </row>
    <row r="246" spans="1:12" x14ac:dyDescent="0.25">
      <c r="A246" t="s">
        <v>774</v>
      </c>
      <c r="B246" s="1">
        <v>45566.165972222225</v>
      </c>
      <c r="C246" t="s">
        <v>58</v>
      </c>
      <c r="D246" t="s">
        <v>25</v>
      </c>
      <c r="E246" t="s">
        <v>28</v>
      </c>
      <c r="F246" t="s">
        <v>45</v>
      </c>
      <c r="G246">
        <v>1472.96</v>
      </c>
      <c r="H246" t="s">
        <v>17</v>
      </c>
      <c r="J246">
        <v>2.9</v>
      </c>
      <c r="K246">
        <v>0</v>
      </c>
      <c r="L246">
        <v>0</v>
      </c>
    </row>
    <row r="247" spans="1:12" x14ac:dyDescent="0.25">
      <c r="A247" t="s">
        <v>775</v>
      </c>
      <c r="B247" s="1">
        <v>45566.224305555559</v>
      </c>
      <c r="C247" t="s">
        <v>37</v>
      </c>
      <c r="D247" t="s">
        <v>38</v>
      </c>
      <c r="E247" t="s">
        <v>44</v>
      </c>
      <c r="F247" t="s">
        <v>16</v>
      </c>
      <c r="G247">
        <v>578.64</v>
      </c>
      <c r="H247" t="s">
        <v>34</v>
      </c>
      <c r="I247" t="s">
        <v>100</v>
      </c>
      <c r="J247">
        <v>2.1</v>
      </c>
      <c r="K247">
        <v>0</v>
      </c>
      <c r="L247">
        <v>0</v>
      </c>
    </row>
    <row r="248" spans="1:12" x14ac:dyDescent="0.25">
      <c r="A248" t="s">
        <v>776</v>
      </c>
      <c r="B248" s="1">
        <v>45566.375694444447</v>
      </c>
      <c r="C248" t="s">
        <v>13</v>
      </c>
      <c r="D248" t="s">
        <v>14</v>
      </c>
      <c r="E248" t="s">
        <v>15</v>
      </c>
      <c r="F248" t="s">
        <v>29</v>
      </c>
      <c r="G248">
        <v>544.01</v>
      </c>
      <c r="H248" t="s">
        <v>22</v>
      </c>
      <c r="J248">
        <v>2.5</v>
      </c>
      <c r="K248">
        <v>13.6</v>
      </c>
      <c r="L248">
        <v>530.41</v>
      </c>
    </row>
    <row r="249" spans="1:12" x14ac:dyDescent="0.25">
      <c r="A249" t="s">
        <v>777</v>
      </c>
      <c r="B249" s="1">
        <v>45567.259027777778</v>
      </c>
      <c r="C249" t="s">
        <v>13</v>
      </c>
      <c r="D249" t="s">
        <v>14</v>
      </c>
      <c r="E249" t="s">
        <v>33</v>
      </c>
      <c r="F249" t="s">
        <v>21</v>
      </c>
      <c r="G249">
        <v>2748.51</v>
      </c>
      <c r="H249" t="s">
        <v>17</v>
      </c>
      <c r="J249">
        <v>1.9</v>
      </c>
      <c r="K249">
        <v>0</v>
      </c>
      <c r="L249">
        <v>0</v>
      </c>
    </row>
    <row r="250" spans="1:12" x14ac:dyDescent="0.25">
      <c r="A250" t="s">
        <v>778</v>
      </c>
      <c r="B250" s="1">
        <v>45567.761111111111</v>
      </c>
      <c r="C250" t="s">
        <v>43</v>
      </c>
      <c r="D250" t="s">
        <v>25</v>
      </c>
      <c r="E250" t="s">
        <v>15</v>
      </c>
      <c r="F250" t="s">
        <v>45</v>
      </c>
      <c r="G250">
        <v>2423.31</v>
      </c>
      <c r="H250" t="s">
        <v>22</v>
      </c>
      <c r="J250">
        <v>2.5</v>
      </c>
      <c r="K250">
        <v>60.58</v>
      </c>
      <c r="L250">
        <v>2362.73</v>
      </c>
    </row>
    <row r="251" spans="1:12" x14ac:dyDescent="0.25">
      <c r="A251" t="s">
        <v>779</v>
      </c>
      <c r="B251" s="1">
        <v>45568.063888888886</v>
      </c>
      <c r="C251" t="s">
        <v>37</v>
      </c>
      <c r="D251" t="s">
        <v>38</v>
      </c>
      <c r="E251" t="s">
        <v>15</v>
      </c>
      <c r="F251" t="s">
        <v>29</v>
      </c>
      <c r="G251">
        <v>2291.41</v>
      </c>
      <c r="H251" t="s">
        <v>22</v>
      </c>
      <c r="J251">
        <v>2.5</v>
      </c>
      <c r="K251">
        <v>57.29</v>
      </c>
      <c r="L251">
        <v>2234.12</v>
      </c>
    </row>
    <row r="252" spans="1:12" x14ac:dyDescent="0.25">
      <c r="A252" t="s">
        <v>780</v>
      </c>
      <c r="B252" s="1">
        <v>45568.585416666669</v>
      </c>
      <c r="C252" t="s">
        <v>27</v>
      </c>
      <c r="D252" t="s">
        <v>25</v>
      </c>
      <c r="E252" t="s">
        <v>28</v>
      </c>
      <c r="F252" t="s">
        <v>16</v>
      </c>
      <c r="G252">
        <v>4517.43</v>
      </c>
      <c r="H252" t="s">
        <v>22</v>
      </c>
      <c r="J252">
        <v>2.9</v>
      </c>
      <c r="K252">
        <v>131.01</v>
      </c>
      <c r="L252">
        <v>4386.42</v>
      </c>
    </row>
    <row r="253" spans="1:12" x14ac:dyDescent="0.25">
      <c r="A253" t="s">
        <v>781</v>
      </c>
      <c r="B253" s="1">
        <v>45568.676388888889</v>
      </c>
      <c r="C253" t="s">
        <v>43</v>
      </c>
      <c r="D253" t="s">
        <v>25</v>
      </c>
      <c r="E253" t="s">
        <v>44</v>
      </c>
      <c r="F253" t="s">
        <v>21</v>
      </c>
      <c r="G253">
        <v>274.81</v>
      </c>
      <c r="H253" t="s">
        <v>22</v>
      </c>
      <c r="J253">
        <v>2.1</v>
      </c>
      <c r="K253">
        <v>5.77</v>
      </c>
      <c r="L253">
        <v>269.04000000000002</v>
      </c>
    </row>
    <row r="254" spans="1:12" x14ac:dyDescent="0.25">
      <c r="A254" t="s">
        <v>782</v>
      </c>
      <c r="B254" s="1">
        <v>45569.056944444441</v>
      </c>
      <c r="C254" t="s">
        <v>43</v>
      </c>
      <c r="D254" t="s">
        <v>25</v>
      </c>
      <c r="E254" t="s">
        <v>28</v>
      </c>
      <c r="F254" t="s">
        <v>45</v>
      </c>
      <c r="G254">
        <v>4341.5</v>
      </c>
      <c r="H254" t="s">
        <v>17</v>
      </c>
      <c r="J254">
        <v>2.9</v>
      </c>
      <c r="K254">
        <v>0</v>
      </c>
      <c r="L254">
        <v>0</v>
      </c>
    </row>
    <row r="255" spans="1:12" x14ac:dyDescent="0.25">
      <c r="A255" t="s">
        <v>783</v>
      </c>
      <c r="B255" s="1">
        <v>45569.068749999999</v>
      </c>
      <c r="C255" t="s">
        <v>31</v>
      </c>
      <c r="D255" t="s">
        <v>32</v>
      </c>
      <c r="E255" t="s">
        <v>44</v>
      </c>
      <c r="F255" t="s">
        <v>21</v>
      </c>
      <c r="G255">
        <v>4987.16</v>
      </c>
      <c r="H255" t="s">
        <v>22</v>
      </c>
      <c r="J255">
        <v>2.1</v>
      </c>
      <c r="K255">
        <v>104.73</v>
      </c>
      <c r="L255">
        <v>4882.43</v>
      </c>
    </row>
    <row r="256" spans="1:12" x14ac:dyDescent="0.25">
      <c r="A256" t="s">
        <v>784</v>
      </c>
      <c r="B256" s="1">
        <v>45569.074999999997</v>
      </c>
      <c r="C256" t="s">
        <v>43</v>
      </c>
      <c r="D256" t="s">
        <v>25</v>
      </c>
      <c r="E256" t="s">
        <v>33</v>
      </c>
      <c r="F256" t="s">
        <v>29</v>
      </c>
      <c r="G256">
        <v>4948.9799999999996</v>
      </c>
      <c r="H256" t="s">
        <v>22</v>
      </c>
      <c r="J256">
        <v>1.9</v>
      </c>
      <c r="K256">
        <v>94.03</v>
      </c>
      <c r="L256">
        <v>4854.95</v>
      </c>
    </row>
    <row r="257" spans="1:12" x14ac:dyDescent="0.25">
      <c r="A257" t="s">
        <v>785</v>
      </c>
      <c r="B257" s="1">
        <v>45569.175694444442</v>
      </c>
      <c r="C257" t="s">
        <v>27</v>
      </c>
      <c r="D257" t="s">
        <v>25</v>
      </c>
      <c r="E257" t="s">
        <v>33</v>
      </c>
      <c r="F257" t="s">
        <v>45</v>
      </c>
      <c r="G257">
        <v>3423.4</v>
      </c>
      <c r="H257" t="s">
        <v>22</v>
      </c>
      <c r="J257">
        <v>1.9</v>
      </c>
      <c r="K257">
        <v>65.040000000000006</v>
      </c>
      <c r="L257">
        <v>3358.36</v>
      </c>
    </row>
    <row r="258" spans="1:12" x14ac:dyDescent="0.25">
      <c r="A258" t="s">
        <v>786</v>
      </c>
      <c r="B258" s="1">
        <v>45569.601388888892</v>
      </c>
      <c r="C258" t="s">
        <v>60</v>
      </c>
      <c r="D258" t="s">
        <v>25</v>
      </c>
      <c r="E258" t="s">
        <v>44</v>
      </c>
      <c r="F258" t="s">
        <v>16</v>
      </c>
      <c r="G258">
        <v>1953.49</v>
      </c>
      <c r="H258" t="s">
        <v>17</v>
      </c>
      <c r="J258">
        <v>2.1</v>
      </c>
      <c r="K258">
        <v>0</v>
      </c>
      <c r="L258">
        <v>0</v>
      </c>
    </row>
    <row r="259" spans="1:12" x14ac:dyDescent="0.25">
      <c r="A259" t="s">
        <v>787</v>
      </c>
      <c r="B259" s="1">
        <v>45570.636111111111</v>
      </c>
      <c r="C259" t="s">
        <v>60</v>
      </c>
      <c r="D259" t="s">
        <v>25</v>
      </c>
      <c r="E259" t="s">
        <v>44</v>
      </c>
      <c r="F259" t="s">
        <v>21</v>
      </c>
      <c r="G259">
        <v>1791.3</v>
      </c>
      <c r="H259" t="s">
        <v>22</v>
      </c>
      <c r="J259">
        <v>2.1</v>
      </c>
      <c r="K259">
        <v>37.619999999999997</v>
      </c>
      <c r="L259">
        <v>1753.68</v>
      </c>
    </row>
    <row r="260" spans="1:12" x14ac:dyDescent="0.25">
      <c r="A260" t="s">
        <v>788</v>
      </c>
      <c r="B260" s="1">
        <v>45570.779166666667</v>
      </c>
      <c r="C260" t="s">
        <v>60</v>
      </c>
      <c r="D260" t="s">
        <v>25</v>
      </c>
      <c r="E260" t="s">
        <v>44</v>
      </c>
      <c r="F260" t="s">
        <v>21</v>
      </c>
      <c r="G260">
        <v>88.13</v>
      </c>
      <c r="H260" t="s">
        <v>22</v>
      </c>
      <c r="J260">
        <v>2.1</v>
      </c>
      <c r="K260">
        <v>1.85</v>
      </c>
      <c r="L260">
        <v>86.28</v>
      </c>
    </row>
    <row r="261" spans="1:12" x14ac:dyDescent="0.25">
      <c r="A261" t="s">
        <v>789</v>
      </c>
      <c r="B261" s="1">
        <v>45570.848611111112</v>
      </c>
      <c r="C261" t="s">
        <v>60</v>
      </c>
      <c r="D261" t="s">
        <v>25</v>
      </c>
      <c r="E261" t="s">
        <v>15</v>
      </c>
      <c r="F261" t="s">
        <v>21</v>
      </c>
      <c r="G261">
        <v>957.14</v>
      </c>
      <c r="H261" t="s">
        <v>22</v>
      </c>
      <c r="J261">
        <v>2.5</v>
      </c>
      <c r="K261">
        <v>23.93</v>
      </c>
      <c r="L261">
        <v>933.21</v>
      </c>
    </row>
    <row r="262" spans="1:12" x14ac:dyDescent="0.25">
      <c r="A262" t="s">
        <v>790</v>
      </c>
      <c r="B262" s="1">
        <v>45570.929861111108</v>
      </c>
      <c r="C262" t="s">
        <v>19</v>
      </c>
      <c r="D262" t="s">
        <v>20</v>
      </c>
      <c r="E262" t="s">
        <v>33</v>
      </c>
      <c r="F262" t="s">
        <v>41</v>
      </c>
      <c r="G262">
        <v>3342.64</v>
      </c>
      <c r="H262" t="s">
        <v>17</v>
      </c>
      <c r="J262">
        <v>1.9</v>
      </c>
      <c r="K262">
        <v>0</v>
      </c>
      <c r="L262">
        <v>0</v>
      </c>
    </row>
    <row r="263" spans="1:12" x14ac:dyDescent="0.25">
      <c r="A263" t="s">
        <v>791</v>
      </c>
      <c r="B263" s="1">
        <v>45571.078472222223</v>
      </c>
      <c r="C263" t="s">
        <v>37</v>
      </c>
      <c r="D263" t="s">
        <v>38</v>
      </c>
      <c r="E263" t="s">
        <v>33</v>
      </c>
      <c r="F263" t="s">
        <v>45</v>
      </c>
      <c r="G263">
        <v>748.99</v>
      </c>
      <c r="H263" t="s">
        <v>22</v>
      </c>
      <c r="J263">
        <v>1.9</v>
      </c>
      <c r="K263">
        <v>14.23</v>
      </c>
      <c r="L263">
        <v>734.76</v>
      </c>
    </row>
    <row r="264" spans="1:12" x14ac:dyDescent="0.25">
      <c r="A264" t="s">
        <v>792</v>
      </c>
      <c r="B264" s="1">
        <v>45571.681250000001</v>
      </c>
      <c r="C264" t="s">
        <v>47</v>
      </c>
      <c r="D264" t="s">
        <v>25</v>
      </c>
      <c r="E264" t="s">
        <v>15</v>
      </c>
      <c r="F264" t="s">
        <v>21</v>
      </c>
      <c r="G264">
        <v>4848.33</v>
      </c>
      <c r="H264" t="s">
        <v>17</v>
      </c>
      <c r="J264">
        <v>2.5</v>
      </c>
      <c r="K264">
        <v>0</v>
      </c>
      <c r="L264">
        <v>0</v>
      </c>
    </row>
    <row r="265" spans="1:12" x14ac:dyDescent="0.25">
      <c r="A265" t="s">
        <v>793</v>
      </c>
      <c r="B265" s="1">
        <v>45571.831250000003</v>
      </c>
      <c r="C265" t="s">
        <v>24</v>
      </c>
      <c r="D265" t="s">
        <v>25</v>
      </c>
      <c r="E265" t="s">
        <v>15</v>
      </c>
      <c r="F265" t="s">
        <v>29</v>
      </c>
      <c r="G265">
        <v>1371.95</v>
      </c>
      <c r="H265" t="s">
        <v>34</v>
      </c>
      <c r="I265" t="s">
        <v>78</v>
      </c>
      <c r="J265">
        <v>2.5</v>
      </c>
      <c r="K265">
        <v>0</v>
      </c>
      <c r="L265">
        <v>0</v>
      </c>
    </row>
    <row r="266" spans="1:12" x14ac:dyDescent="0.25">
      <c r="A266" t="s">
        <v>794</v>
      </c>
      <c r="B266" s="1">
        <v>45572.588888888888</v>
      </c>
      <c r="C266" t="s">
        <v>13</v>
      </c>
      <c r="D266" t="s">
        <v>14</v>
      </c>
      <c r="E266" t="s">
        <v>44</v>
      </c>
      <c r="F266" t="s">
        <v>45</v>
      </c>
      <c r="G266">
        <v>2991.95</v>
      </c>
      <c r="H266" t="s">
        <v>17</v>
      </c>
      <c r="J266">
        <v>2.1</v>
      </c>
      <c r="K266">
        <v>0</v>
      </c>
      <c r="L266">
        <v>0</v>
      </c>
    </row>
    <row r="267" spans="1:12" x14ac:dyDescent="0.25">
      <c r="A267" t="s">
        <v>795</v>
      </c>
      <c r="B267" s="1">
        <v>45572.755555555559</v>
      </c>
      <c r="C267" t="s">
        <v>19</v>
      </c>
      <c r="D267" t="s">
        <v>20</v>
      </c>
      <c r="E267" t="s">
        <v>15</v>
      </c>
      <c r="F267" t="s">
        <v>21</v>
      </c>
      <c r="G267">
        <v>4471.83</v>
      </c>
      <c r="H267" t="s">
        <v>22</v>
      </c>
      <c r="J267">
        <v>2.5</v>
      </c>
      <c r="K267">
        <v>111.8</v>
      </c>
      <c r="L267">
        <v>4360.03</v>
      </c>
    </row>
    <row r="268" spans="1:12" x14ac:dyDescent="0.25">
      <c r="A268" t="s">
        <v>796</v>
      </c>
      <c r="B268" s="1">
        <v>45573.061805555553</v>
      </c>
      <c r="C268" t="s">
        <v>31</v>
      </c>
      <c r="D268" t="s">
        <v>32</v>
      </c>
      <c r="E268" t="s">
        <v>39</v>
      </c>
      <c r="F268" t="s">
        <v>21</v>
      </c>
      <c r="G268">
        <v>1623.14</v>
      </c>
      <c r="H268" t="s">
        <v>34</v>
      </c>
      <c r="I268" t="s">
        <v>100</v>
      </c>
      <c r="J268">
        <v>3.2</v>
      </c>
      <c r="K268">
        <v>0</v>
      </c>
      <c r="L268">
        <v>0</v>
      </c>
    </row>
    <row r="269" spans="1:12" x14ac:dyDescent="0.25">
      <c r="A269" t="s">
        <v>797</v>
      </c>
      <c r="B269" s="1">
        <v>45573.406944444447</v>
      </c>
      <c r="C269" t="s">
        <v>13</v>
      </c>
      <c r="D269" t="s">
        <v>14</v>
      </c>
      <c r="E269" t="s">
        <v>33</v>
      </c>
      <c r="F269" t="s">
        <v>21</v>
      </c>
      <c r="G269">
        <v>1743.9</v>
      </c>
      <c r="H269" t="s">
        <v>22</v>
      </c>
      <c r="J269">
        <v>1.9</v>
      </c>
      <c r="K269">
        <v>33.130000000000003</v>
      </c>
      <c r="L269">
        <v>1710.77</v>
      </c>
    </row>
    <row r="270" spans="1:12" x14ac:dyDescent="0.25">
      <c r="A270" t="s">
        <v>798</v>
      </c>
      <c r="B270" s="1">
        <v>45573.522222222222</v>
      </c>
      <c r="C270" t="s">
        <v>37</v>
      </c>
      <c r="D270" t="s">
        <v>38</v>
      </c>
      <c r="E270" t="s">
        <v>44</v>
      </c>
      <c r="F270" t="s">
        <v>45</v>
      </c>
      <c r="G270">
        <v>4992.18</v>
      </c>
      <c r="H270" t="s">
        <v>34</v>
      </c>
      <c r="I270" t="s">
        <v>62</v>
      </c>
      <c r="J270">
        <v>2.1</v>
      </c>
      <c r="K270">
        <v>0</v>
      </c>
      <c r="L270">
        <v>0</v>
      </c>
    </row>
    <row r="271" spans="1:12" x14ac:dyDescent="0.25">
      <c r="A271" t="s">
        <v>799</v>
      </c>
      <c r="B271" s="1">
        <v>45573.611805555556</v>
      </c>
      <c r="C271" t="s">
        <v>13</v>
      </c>
      <c r="D271" t="s">
        <v>14</v>
      </c>
      <c r="E271" t="s">
        <v>28</v>
      </c>
      <c r="F271" t="s">
        <v>21</v>
      </c>
      <c r="G271">
        <v>3361.71</v>
      </c>
      <c r="H271" t="s">
        <v>22</v>
      </c>
      <c r="J271">
        <v>2.9</v>
      </c>
      <c r="K271">
        <v>97.49</v>
      </c>
      <c r="L271">
        <v>3264.22</v>
      </c>
    </row>
    <row r="272" spans="1:12" x14ac:dyDescent="0.25">
      <c r="A272" t="s">
        <v>800</v>
      </c>
      <c r="B272" s="1">
        <v>45574.024305555555</v>
      </c>
      <c r="C272" t="s">
        <v>58</v>
      </c>
      <c r="D272" t="s">
        <v>25</v>
      </c>
      <c r="E272" t="s">
        <v>28</v>
      </c>
      <c r="F272" t="s">
        <v>29</v>
      </c>
      <c r="G272">
        <v>4961.3599999999997</v>
      </c>
      <c r="H272" t="s">
        <v>22</v>
      </c>
      <c r="J272">
        <v>2.9</v>
      </c>
      <c r="K272">
        <v>143.88</v>
      </c>
      <c r="L272">
        <v>4817.4799999999996</v>
      </c>
    </row>
    <row r="273" spans="1:12" x14ac:dyDescent="0.25">
      <c r="A273" t="s">
        <v>801</v>
      </c>
      <c r="B273" s="1">
        <v>45574.724999999999</v>
      </c>
      <c r="C273" t="s">
        <v>43</v>
      </c>
      <c r="D273" t="s">
        <v>25</v>
      </c>
      <c r="E273" t="s">
        <v>39</v>
      </c>
      <c r="F273" t="s">
        <v>29</v>
      </c>
      <c r="G273">
        <v>4904.07</v>
      </c>
      <c r="H273" t="s">
        <v>22</v>
      </c>
      <c r="J273">
        <v>3.2</v>
      </c>
      <c r="K273">
        <v>156.93</v>
      </c>
      <c r="L273">
        <v>4747.1400000000003</v>
      </c>
    </row>
    <row r="274" spans="1:12" x14ac:dyDescent="0.25">
      <c r="A274" t="s">
        <v>802</v>
      </c>
      <c r="B274" s="1">
        <v>45574.859027777777</v>
      </c>
      <c r="C274" t="s">
        <v>27</v>
      </c>
      <c r="D274" t="s">
        <v>25</v>
      </c>
      <c r="E274" t="s">
        <v>44</v>
      </c>
      <c r="F274" t="s">
        <v>16</v>
      </c>
      <c r="G274">
        <v>2519.29</v>
      </c>
      <c r="H274" t="s">
        <v>22</v>
      </c>
      <c r="J274">
        <v>2.1</v>
      </c>
      <c r="K274">
        <v>52.91</v>
      </c>
      <c r="L274">
        <v>2466.38</v>
      </c>
    </row>
    <row r="275" spans="1:12" x14ac:dyDescent="0.25">
      <c r="A275" t="s">
        <v>803</v>
      </c>
      <c r="B275" s="1">
        <v>45575.15625</v>
      </c>
      <c r="C275" t="s">
        <v>13</v>
      </c>
      <c r="D275" t="s">
        <v>14</v>
      </c>
      <c r="E275" t="s">
        <v>28</v>
      </c>
      <c r="F275" t="s">
        <v>21</v>
      </c>
      <c r="G275">
        <v>428.54</v>
      </c>
      <c r="H275" t="s">
        <v>22</v>
      </c>
      <c r="J275">
        <v>2.9</v>
      </c>
      <c r="K275">
        <v>12.43</v>
      </c>
      <c r="L275">
        <v>416.11</v>
      </c>
    </row>
    <row r="276" spans="1:12" x14ac:dyDescent="0.25">
      <c r="A276" t="s">
        <v>804</v>
      </c>
      <c r="B276" s="1">
        <v>45575.229166666664</v>
      </c>
      <c r="C276" t="s">
        <v>37</v>
      </c>
      <c r="D276" t="s">
        <v>38</v>
      </c>
      <c r="E276" t="s">
        <v>39</v>
      </c>
      <c r="F276" t="s">
        <v>29</v>
      </c>
      <c r="G276">
        <v>4472.6400000000003</v>
      </c>
      <c r="H276" t="s">
        <v>22</v>
      </c>
      <c r="J276">
        <v>3.2</v>
      </c>
      <c r="K276">
        <v>143.12</v>
      </c>
      <c r="L276">
        <v>4329.5200000000004</v>
      </c>
    </row>
    <row r="277" spans="1:12" x14ac:dyDescent="0.25">
      <c r="A277" t="s">
        <v>805</v>
      </c>
      <c r="B277" s="1">
        <v>45575.578472222223</v>
      </c>
      <c r="C277" t="s">
        <v>19</v>
      </c>
      <c r="D277" t="s">
        <v>20</v>
      </c>
      <c r="E277" t="s">
        <v>15</v>
      </c>
      <c r="F277" t="s">
        <v>45</v>
      </c>
      <c r="G277">
        <v>3907.6</v>
      </c>
      <c r="H277" t="s">
        <v>22</v>
      </c>
      <c r="J277">
        <v>2.5</v>
      </c>
      <c r="K277">
        <v>97.69</v>
      </c>
      <c r="L277">
        <v>3809.91</v>
      </c>
    </row>
    <row r="278" spans="1:12" x14ac:dyDescent="0.25">
      <c r="A278" t="s">
        <v>806</v>
      </c>
      <c r="B278" s="1">
        <v>45576.229861111111</v>
      </c>
      <c r="C278" t="s">
        <v>47</v>
      </c>
      <c r="D278" t="s">
        <v>25</v>
      </c>
      <c r="E278" t="s">
        <v>44</v>
      </c>
      <c r="F278" t="s">
        <v>29</v>
      </c>
      <c r="G278">
        <v>1579.75</v>
      </c>
      <c r="H278" t="s">
        <v>34</v>
      </c>
      <c r="I278" t="s">
        <v>100</v>
      </c>
      <c r="J278">
        <v>2.1</v>
      </c>
      <c r="K278">
        <v>0</v>
      </c>
      <c r="L278">
        <v>0</v>
      </c>
    </row>
    <row r="279" spans="1:12" x14ac:dyDescent="0.25">
      <c r="A279" t="s">
        <v>807</v>
      </c>
      <c r="B279" s="1">
        <v>45576.836111111108</v>
      </c>
      <c r="C279" t="s">
        <v>47</v>
      </c>
      <c r="D279" t="s">
        <v>25</v>
      </c>
      <c r="E279" t="s">
        <v>33</v>
      </c>
      <c r="F279" t="s">
        <v>16</v>
      </c>
      <c r="G279">
        <v>2010.07</v>
      </c>
      <c r="H279" t="s">
        <v>34</v>
      </c>
      <c r="I279" t="s">
        <v>35</v>
      </c>
      <c r="J279">
        <v>1.9</v>
      </c>
      <c r="K279">
        <v>0</v>
      </c>
      <c r="L279">
        <v>0</v>
      </c>
    </row>
    <row r="280" spans="1:12" x14ac:dyDescent="0.25">
      <c r="A280" t="s">
        <v>808</v>
      </c>
      <c r="B280" s="1">
        <v>45577.99722222222</v>
      </c>
      <c r="C280" t="s">
        <v>58</v>
      </c>
      <c r="D280" t="s">
        <v>25</v>
      </c>
      <c r="E280" t="s">
        <v>39</v>
      </c>
      <c r="F280" t="s">
        <v>41</v>
      </c>
      <c r="G280">
        <v>4119.9799999999996</v>
      </c>
      <c r="H280" t="s">
        <v>22</v>
      </c>
      <c r="J280">
        <v>3.2</v>
      </c>
      <c r="K280">
        <v>131.84</v>
      </c>
      <c r="L280">
        <v>3988.14</v>
      </c>
    </row>
    <row r="281" spans="1:12" x14ac:dyDescent="0.25">
      <c r="A281" t="s">
        <v>809</v>
      </c>
      <c r="B281" s="1">
        <v>45578.067361111112</v>
      </c>
      <c r="C281" t="s">
        <v>27</v>
      </c>
      <c r="D281" t="s">
        <v>25</v>
      </c>
      <c r="E281" t="s">
        <v>39</v>
      </c>
      <c r="F281" t="s">
        <v>29</v>
      </c>
      <c r="G281">
        <v>2523.6999999999998</v>
      </c>
      <c r="H281" t="s">
        <v>22</v>
      </c>
      <c r="J281">
        <v>3.2</v>
      </c>
      <c r="K281">
        <v>80.760000000000005</v>
      </c>
      <c r="L281">
        <v>2442.94</v>
      </c>
    </row>
    <row r="282" spans="1:12" x14ac:dyDescent="0.25">
      <c r="A282" t="s">
        <v>810</v>
      </c>
      <c r="B282" s="1">
        <v>45578.398611111108</v>
      </c>
      <c r="C282" t="s">
        <v>43</v>
      </c>
      <c r="D282" t="s">
        <v>25</v>
      </c>
      <c r="E282" t="s">
        <v>44</v>
      </c>
      <c r="F282" t="s">
        <v>45</v>
      </c>
      <c r="G282">
        <v>941.27</v>
      </c>
      <c r="H282" t="s">
        <v>22</v>
      </c>
      <c r="J282">
        <v>2.1</v>
      </c>
      <c r="K282">
        <v>19.77</v>
      </c>
      <c r="L282">
        <v>921.5</v>
      </c>
    </row>
    <row r="283" spans="1:12" x14ac:dyDescent="0.25">
      <c r="A283" t="s">
        <v>811</v>
      </c>
      <c r="B283" s="1">
        <v>45578.568749999999</v>
      </c>
      <c r="C283" t="s">
        <v>27</v>
      </c>
      <c r="D283" t="s">
        <v>25</v>
      </c>
      <c r="E283" t="s">
        <v>44</v>
      </c>
      <c r="F283" t="s">
        <v>29</v>
      </c>
      <c r="G283">
        <v>4881.2700000000004</v>
      </c>
      <c r="H283" t="s">
        <v>22</v>
      </c>
      <c r="J283">
        <v>2.1</v>
      </c>
      <c r="K283">
        <v>102.51</v>
      </c>
      <c r="L283">
        <v>4778.76</v>
      </c>
    </row>
    <row r="284" spans="1:12" x14ac:dyDescent="0.25">
      <c r="A284" t="s">
        <v>812</v>
      </c>
      <c r="B284" s="1">
        <v>45579.28125</v>
      </c>
      <c r="C284" t="s">
        <v>13</v>
      </c>
      <c r="D284" t="s">
        <v>14</v>
      </c>
      <c r="E284" t="s">
        <v>15</v>
      </c>
      <c r="F284" t="s">
        <v>29</v>
      </c>
      <c r="G284">
        <v>2251.5500000000002</v>
      </c>
      <c r="H284" t="s">
        <v>22</v>
      </c>
      <c r="J284">
        <v>2.5</v>
      </c>
      <c r="K284">
        <v>56.29</v>
      </c>
      <c r="L284">
        <v>2195.2600000000002</v>
      </c>
    </row>
    <row r="285" spans="1:12" x14ac:dyDescent="0.25">
      <c r="A285" t="s">
        <v>813</v>
      </c>
      <c r="B285" s="1">
        <v>45579.833333333336</v>
      </c>
      <c r="C285" t="s">
        <v>31</v>
      </c>
      <c r="D285" t="s">
        <v>32</v>
      </c>
      <c r="E285" t="s">
        <v>39</v>
      </c>
      <c r="F285" t="s">
        <v>16</v>
      </c>
      <c r="G285">
        <v>1209.3399999999999</v>
      </c>
      <c r="H285" t="s">
        <v>17</v>
      </c>
      <c r="J285">
        <v>3.2</v>
      </c>
      <c r="K285">
        <v>0</v>
      </c>
      <c r="L285">
        <v>0</v>
      </c>
    </row>
    <row r="286" spans="1:12" x14ac:dyDescent="0.25">
      <c r="A286" t="s">
        <v>814</v>
      </c>
      <c r="B286" s="1">
        <v>45579.950694444444</v>
      </c>
      <c r="C286" t="s">
        <v>24</v>
      </c>
      <c r="D286" t="s">
        <v>25</v>
      </c>
      <c r="E286" t="s">
        <v>44</v>
      </c>
      <c r="F286" t="s">
        <v>21</v>
      </c>
      <c r="G286">
        <v>1200.78</v>
      </c>
      <c r="H286" t="s">
        <v>22</v>
      </c>
      <c r="J286">
        <v>2.1</v>
      </c>
      <c r="K286">
        <v>25.22</v>
      </c>
      <c r="L286">
        <v>1175.56</v>
      </c>
    </row>
    <row r="287" spans="1:12" x14ac:dyDescent="0.25">
      <c r="A287" t="s">
        <v>815</v>
      </c>
      <c r="B287" s="1">
        <v>45580.159722222219</v>
      </c>
      <c r="C287" t="s">
        <v>47</v>
      </c>
      <c r="D287" t="s">
        <v>25</v>
      </c>
      <c r="E287" t="s">
        <v>33</v>
      </c>
      <c r="F287" t="s">
        <v>21</v>
      </c>
      <c r="G287">
        <v>4390.6899999999996</v>
      </c>
      <c r="H287" t="s">
        <v>22</v>
      </c>
      <c r="J287">
        <v>1.9</v>
      </c>
      <c r="K287">
        <v>83.42</v>
      </c>
      <c r="L287">
        <v>4307.2700000000004</v>
      </c>
    </row>
    <row r="288" spans="1:12" x14ac:dyDescent="0.25">
      <c r="A288" t="s">
        <v>816</v>
      </c>
      <c r="B288" s="1">
        <v>45580.286805555559</v>
      </c>
      <c r="C288" t="s">
        <v>43</v>
      </c>
      <c r="D288" t="s">
        <v>25</v>
      </c>
      <c r="E288" t="s">
        <v>33</v>
      </c>
      <c r="F288" t="s">
        <v>21</v>
      </c>
      <c r="G288">
        <v>886.03</v>
      </c>
      <c r="H288" t="s">
        <v>22</v>
      </c>
      <c r="J288">
        <v>1.9</v>
      </c>
      <c r="K288">
        <v>16.829999999999998</v>
      </c>
      <c r="L288">
        <v>869.2</v>
      </c>
    </row>
    <row r="289" spans="1:12" x14ac:dyDescent="0.25">
      <c r="A289" t="s">
        <v>817</v>
      </c>
      <c r="B289" s="1">
        <v>45580.717361111114</v>
      </c>
      <c r="C289" t="s">
        <v>58</v>
      </c>
      <c r="D289" t="s">
        <v>25</v>
      </c>
      <c r="E289" t="s">
        <v>33</v>
      </c>
      <c r="F289" t="s">
        <v>21</v>
      </c>
      <c r="G289">
        <v>1806.44</v>
      </c>
      <c r="H289" t="s">
        <v>34</v>
      </c>
      <c r="I289" t="s">
        <v>55</v>
      </c>
      <c r="J289">
        <v>1.9</v>
      </c>
      <c r="K289">
        <v>0</v>
      </c>
      <c r="L289">
        <v>0</v>
      </c>
    </row>
    <row r="290" spans="1:12" x14ac:dyDescent="0.25">
      <c r="A290" t="s">
        <v>818</v>
      </c>
      <c r="B290" s="1">
        <v>45580.834027777775</v>
      </c>
      <c r="C290" t="s">
        <v>47</v>
      </c>
      <c r="D290" t="s">
        <v>25</v>
      </c>
      <c r="E290" t="s">
        <v>28</v>
      </c>
      <c r="F290" t="s">
        <v>29</v>
      </c>
      <c r="G290">
        <v>2251.52</v>
      </c>
      <c r="H290" t="s">
        <v>34</v>
      </c>
      <c r="I290" t="s">
        <v>55</v>
      </c>
      <c r="J290">
        <v>2.9</v>
      </c>
      <c r="K290">
        <v>0</v>
      </c>
      <c r="L290">
        <v>0</v>
      </c>
    </row>
    <row r="291" spans="1:12" x14ac:dyDescent="0.25">
      <c r="A291" t="s">
        <v>819</v>
      </c>
      <c r="B291" s="1">
        <v>45581.25277777778</v>
      </c>
      <c r="C291" t="s">
        <v>13</v>
      </c>
      <c r="D291" t="s">
        <v>14</v>
      </c>
      <c r="E291" t="s">
        <v>44</v>
      </c>
      <c r="F291" t="s">
        <v>45</v>
      </c>
      <c r="G291">
        <v>1087.5999999999999</v>
      </c>
      <c r="H291" t="s">
        <v>22</v>
      </c>
      <c r="J291">
        <v>2.1</v>
      </c>
      <c r="K291">
        <v>22.84</v>
      </c>
      <c r="L291">
        <v>1064.76</v>
      </c>
    </row>
    <row r="292" spans="1:12" x14ac:dyDescent="0.25">
      <c r="A292" t="s">
        <v>820</v>
      </c>
      <c r="B292" s="1">
        <v>45581.579861111109</v>
      </c>
      <c r="C292" t="s">
        <v>47</v>
      </c>
      <c r="D292" t="s">
        <v>25</v>
      </c>
      <c r="E292" t="s">
        <v>15</v>
      </c>
      <c r="F292" t="s">
        <v>41</v>
      </c>
      <c r="G292">
        <v>1872.28</v>
      </c>
      <c r="H292" t="s">
        <v>17</v>
      </c>
      <c r="J292">
        <v>2.5</v>
      </c>
      <c r="K292">
        <v>0</v>
      </c>
      <c r="L292">
        <v>0</v>
      </c>
    </row>
    <row r="293" spans="1:12" x14ac:dyDescent="0.25">
      <c r="A293" t="s">
        <v>821</v>
      </c>
      <c r="B293" s="1">
        <v>45581.909722222219</v>
      </c>
      <c r="C293" t="s">
        <v>27</v>
      </c>
      <c r="D293" t="s">
        <v>25</v>
      </c>
      <c r="E293" t="s">
        <v>44</v>
      </c>
      <c r="F293" t="s">
        <v>29</v>
      </c>
      <c r="G293">
        <v>404.05</v>
      </c>
      <c r="H293" t="s">
        <v>34</v>
      </c>
      <c r="I293" t="s">
        <v>100</v>
      </c>
      <c r="J293">
        <v>2.1</v>
      </c>
      <c r="K293">
        <v>0</v>
      </c>
      <c r="L293">
        <v>0</v>
      </c>
    </row>
    <row r="294" spans="1:12" x14ac:dyDescent="0.25">
      <c r="A294" t="s">
        <v>822</v>
      </c>
      <c r="B294" s="1">
        <v>45581.998611111114</v>
      </c>
      <c r="C294" t="s">
        <v>43</v>
      </c>
      <c r="D294" t="s">
        <v>25</v>
      </c>
      <c r="E294" t="s">
        <v>39</v>
      </c>
      <c r="F294" t="s">
        <v>41</v>
      </c>
      <c r="G294">
        <v>3660.89</v>
      </c>
      <c r="H294" t="s">
        <v>22</v>
      </c>
      <c r="J294">
        <v>3.2</v>
      </c>
      <c r="K294">
        <v>117.15</v>
      </c>
      <c r="L294">
        <v>3543.74</v>
      </c>
    </row>
    <row r="295" spans="1:12" x14ac:dyDescent="0.25">
      <c r="A295" t="s">
        <v>823</v>
      </c>
      <c r="B295" s="1">
        <v>45582.049305555556</v>
      </c>
      <c r="C295" t="s">
        <v>19</v>
      </c>
      <c r="D295" t="s">
        <v>20</v>
      </c>
      <c r="E295" t="s">
        <v>39</v>
      </c>
      <c r="F295" t="s">
        <v>45</v>
      </c>
      <c r="G295">
        <v>1112.27</v>
      </c>
      <c r="H295" t="s">
        <v>17</v>
      </c>
      <c r="J295">
        <v>3.2</v>
      </c>
      <c r="K295">
        <v>0</v>
      </c>
      <c r="L295">
        <v>0</v>
      </c>
    </row>
    <row r="296" spans="1:12" x14ac:dyDescent="0.25">
      <c r="A296" t="s">
        <v>824</v>
      </c>
      <c r="B296" s="1">
        <v>45582.65625</v>
      </c>
      <c r="C296" t="s">
        <v>37</v>
      </c>
      <c r="D296" t="s">
        <v>38</v>
      </c>
      <c r="E296" t="s">
        <v>28</v>
      </c>
      <c r="F296" t="s">
        <v>45</v>
      </c>
      <c r="G296">
        <v>2412.85</v>
      </c>
      <c r="H296" t="s">
        <v>22</v>
      </c>
      <c r="J296">
        <v>2.9</v>
      </c>
      <c r="K296">
        <v>69.97</v>
      </c>
      <c r="L296">
        <v>2342.88</v>
      </c>
    </row>
    <row r="297" spans="1:12" x14ac:dyDescent="0.25">
      <c r="A297" t="s">
        <v>825</v>
      </c>
      <c r="B297" s="1">
        <v>45582.749305555553</v>
      </c>
      <c r="C297" t="s">
        <v>37</v>
      </c>
      <c r="D297" t="s">
        <v>38</v>
      </c>
      <c r="E297" t="s">
        <v>39</v>
      </c>
      <c r="F297" t="s">
        <v>21</v>
      </c>
      <c r="G297">
        <v>2009.07</v>
      </c>
      <c r="H297" t="s">
        <v>22</v>
      </c>
      <c r="J297">
        <v>3.2</v>
      </c>
      <c r="K297">
        <v>64.290000000000006</v>
      </c>
      <c r="L297">
        <v>1944.78</v>
      </c>
    </row>
    <row r="298" spans="1:12" x14ac:dyDescent="0.25">
      <c r="A298" t="s">
        <v>826</v>
      </c>
      <c r="B298" s="1">
        <v>45583.894444444442</v>
      </c>
      <c r="C298" t="s">
        <v>27</v>
      </c>
      <c r="D298" t="s">
        <v>25</v>
      </c>
      <c r="E298" t="s">
        <v>33</v>
      </c>
      <c r="F298" t="s">
        <v>16</v>
      </c>
      <c r="G298">
        <v>3898.03</v>
      </c>
      <c r="H298" t="s">
        <v>17</v>
      </c>
      <c r="J298">
        <v>1.9</v>
      </c>
      <c r="K298">
        <v>0</v>
      </c>
      <c r="L298">
        <v>0</v>
      </c>
    </row>
    <row r="299" spans="1:12" x14ac:dyDescent="0.25">
      <c r="A299" t="s">
        <v>827</v>
      </c>
      <c r="B299" s="1">
        <v>45584.513888888891</v>
      </c>
      <c r="C299" t="s">
        <v>19</v>
      </c>
      <c r="D299" t="s">
        <v>20</v>
      </c>
      <c r="E299" t="s">
        <v>28</v>
      </c>
      <c r="F299" t="s">
        <v>16</v>
      </c>
      <c r="G299">
        <v>509.28</v>
      </c>
      <c r="H299" t="s">
        <v>22</v>
      </c>
      <c r="J299">
        <v>2.9</v>
      </c>
      <c r="K299">
        <v>14.77</v>
      </c>
      <c r="L299">
        <v>494.51</v>
      </c>
    </row>
    <row r="300" spans="1:12" x14ac:dyDescent="0.25">
      <c r="A300" t="s">
        <v>828</v>
      </c>
      <c r="B300" s="1">
        <v>45584.808333333334</v>
      </c>
      <c r="C300" t="s">
        <v>27</v>
      </c>
      <c r="D300" t="s">
        <v>25</v>
      </c>
      <c r="E300" t="s">
        <v>33</v>
      </c>
      <c r="F300" t="s">
        <v>41</v>
      </c>
      <c r="G300">
        <v>4324.32</v>
      </c>
      <c r="H300" t="s">
        <v>22</v>
      </c>
      <c r="J300">
        <v>1.9</v>
      </c>
      <c r="K300">
        <v>82.16</v>
      </c>
      <c r="L300">
        <v>4242.16</v>
      </c>
    </row>
    <row r="301" spans="1:12" x14ac:dyDescent="0.25">
      <c r="A301" t="s">
        <v>829</v>
      </c>
      <c r="B301" s="1">
        <v>45584.81527777778</v>
      </c>
      <c r="C301" t="s">
        <v>13</v>
      </c>
      <c r="D301" t="s">
        <v>14</v>
      </c>
      <c r="E301" t="s">
        <v>28</v>
      </c>
      <c r="F301" t="s">
        <v>45</v>
      </c>
      <c r="G301">
        <v>555.49</v>
      </c>
      <c r="H301" t="s">
        <v>34</v>
      </c>
      <c r="I301" t="s">
        <v>78</v>
      </c>
      <c r="J301">
        <v>2.9</v>
      </c>
      <c r="K301">
        <v>0</v>
      </c>
      <c r="L301">
        <v>0</v>
      </c>
    </row>
    <row r="302" spans="1:12" x14ac:dyDescent="0.25">
      <c r="A302" t="s">
        <v>830</v>
      </c>
      <c r="B302" s="1">
        <v>45585.168749999997</v>
      </c>
      <c r="C302" t="s">
        <v>27</v>
      </c>
      <c r="D302" t="s">
        <v>25</v>
      </c>
      <c r="E302" t="s">
        <v>39</v>
      </c>
      <c r="F302" t="s">
        <v>29</v>
      </c>
      <c r="G302">
        <v>2588.04</v>
      </c>
      <c r="H302" t="s">
        <v>34</v>
      </c>
      <c r="I302" t="s">
        <v>100</v>
      </c>
      <c r="J302">
        <v>3.2</v>
      </c>
      <c r="K302">
        <v>0</v>
      </c>
      <c r="L302">
        <v>0</v>
      </c>
    </row>
    <row r="303" spans="1:12" x14ac:dyDescent="0.25">
      <c r="A303" t="s">
        <v>831</v>
      </c>
      <c r="B303" s="1">
        <v>45585.535416666666</v>
      </c>
      <c r="C303" t="s">
        <v>24</v>
      </c>
      <c r="D303" t="s">
        <v>25</v>
      </c>
      <c r="E303" t="s">
        <v>33</v>
      </c>
      <c r="F303" t="s">
        <v>41</v>
      </c>
      <c r="G303">
        <v>3591.36</v>
      </c>
      <c r="H303" t="s">
        <v>17</v>
      </c>
      <c r="J303">
        <v>1.9</v>
      </c>
      <c r="K303">
        <v>0</v>
      </c>
      <c r="L303">
        <v>0</v>
      </c>
    </row>
    <row r="304" spans="1:12" x14ac:dyDescent="0.25">
      <c r="A304" t="s">
        <v>832</v>
      </c>
      <c r="B304" s="1">
        <v>45585.714583333334</v>
      </c>
      <c r="C304" t="s">
        <v>27</v>
      </c>
      <c r="D304" t="s">
        <v>25</v>
      </c>
      <c r="E304" t="s">
        <v>39</v>
      </c>
      <c r="F304" t="s">
        <v>45</v>
      </c>
      <c r="G304">
        <v>2214.7800000000002</v>
      </c>
      <c r="H304" t="s">
        <v>22</v>
      </c>
      <c r="J304">
        <v>3.2</v>
      </c>
      <c r="K304">
        <v>70.87</v>
      </c>
      <c r="L304">
        <v>2143.91</v>
      </c>
    </row>
    <row r="305" spans="1:12" x14ac:dyDescent="0.25">
      <c r="A305" t="s">
        <v>833</v>
      </c>
      <c r="B305" s="1">
        <v>45586.088194444441</v>
      </c>
      <c r="C305" t="s">
        <v>27</v>
      </c>
      <c r="D305" t="s">
        <v>25</v>
      </c>
      <c r="E305" t="s">
        <v>44</v>
      </c>
      <c r="F305" t="s">
        <v>45</v>
      </c>
      <c r="G305">
        <v>3570.68</v>
      </c>
      <c r="H305" t="s">
        <v>22</v>
      </c>
      <c r="J305">
        <v>2.1</v>
      </c>
      <c r="K305">
        <v>74.98</v>
      </c>
      <c r="L305">
        <v>3495.7</v>
      </c>
    </row>
    <row r="306" spans="1:12" x14ac:dyDescent="0.25">
      <c r="A306" t="s">
        <v>834</v>
      </c>
      <c r="B306" s="1">
        <v>45586.520833333336</v>
      </c>
      <c r="C306" t="s">
        <v>60</v>
      </c>
      <c r="D306" t="s">
        <v>25</v>
      </c>
      <c r="E306" t="s">
        <v>39</v>
      </c>
      <c r="F306" t="s">
        <v>21</v>
      </c>
      <c r="G306">
        <v>3769.84</v>
      </c>
      <c r="H306" t="s">
        <v>34</v>
      </c>
      <c r="I306" t="s">
        <v>100</v>
      </c>
      <c r="J306">
        <v>3.2</v>
      </c>
      <c r="K306">
        <v>0</v>
      </c>
      <c r="L306">
        <v>0</v>
      </c>
    </row>
    <row r="307" spans="1:12" x14ac:dyDescent="0.25">
      <c r="A307" t="s">
        <v>835</v>
      </c>
      <c r="B307" s="1">
        <v>45586.566666666666</v>
      </c>
      <c r="C307" t="s">
        <v>58</v>
      </c>
      <c r="D307" t="s">
        <v>25</v>
      </c>
      <c r="E307" t="s">
        <v>15</v>
      </c>
      <c r="F307" t="s">
        <v>21</v>
      </c>
      <c r="G307">
        <v>584.72</v>
      </c>
      <c r="H307" t="s">
        <v>22</v>
      </c>
      <c r="J307">
        <v>2.5</v>
      </c>
      <c r="K307">
        <v>14.62</v>
      </c>
      <c r="L307">
        <v>570.1</v>
      </c>
    </row>
    <row r="308" spans="1:12" x14ac:dyDescent="0.25">
      <c r="A308" t="s">
        <v>836</v>
      </c>
      <c r="B308" s="1">
        <v>45586.915277777778</v>
      </c>
      <c r="C308" t="s">
        <v>58</v>
      </c>
      <c r="D308" t="s">
        <v>25</v>
      </c>
      <c r="E308" t="s">
        <v>15</v>
      </c>
      <c r="F308" t="s">
        <v>29</v>
      </c>
      <c r="G308">
        <v>389.22</v>
      </c>
      <c r="H308" t="s">
        <v>22</v>
      </c>
      <c r="J308">
        <v>2.5</v>
      </c>
      <c r="K308">
        <v>9.73</v>
      </c>
      <c r="L308">
        <v>379.49</v>
      </c>
    </row>
    <row r="309" spans="1:12" x14ac:dyDescent="0.25">
      <c r="A309" t="s">
        <v>837</v>
      </c>
      <c r="B309" s="1">
        <v>45587.074999999997</v>
      </c>
      <c r="C309" t="s">
        <v>27</v>
      </c>
      <c r="D309" t="s">
        <v>25</v>
      </c>
      <c r="E309" t="s">
        <v>15</v>
      </c>
      <c r="F309" t="s">
        <v>45</v>
      </c>
      <c r="G309">
        <v>3261.03</v>
      </c>
      <c r="H309" t="s">
        <v>22</v>
      </c>
      <c r="J309">
        <v>2.5</v>
      </c>
      <c r="K309">
        <v>81.53</v>
      </c>
      <c r="L309">
        <v>3179.5</v>
      </c>
    </row>
    <row r="310" spans="1:12" x14ac:dyDescent="0.25">
      <c r="A310" t="s">
        <v>838</v>
      </c>
      <c r="B310" s="1">
        <v>45587.28125</v>
      </c>
      <c r="C310" t="s">
        <v>31</v>
      </c>
      <c r="D310" t="s">
        <v>32</v>
      </c>
      <c r="E310" t="s">
        <v>28</v>
      </c>
      <c r="F310" t="s">
        <v>29</v>
      </c>
      <c r="G310">
        <v>3867.61</v>
      </c>
      <c r="H310" t="s">
        <v>22</v>
      </c>
      <c r="J310">
        <v>2.9</v>
      </c>
      <c r="K310">
        <v>112.16</v>
      </c>
      <c r="L310">
        <v>3755.45</v>
      </c>
    </row>
    <row r="311" spans="1:12" x14ac:dyDescent="0.25">
      <c r="A311" t="s">
        <v>839</v>
      </c>
      <c r="B311" s="1">
        <v>45587.503472222219</v>
      </c>
      <c r="C311" t="s">
        <v>60</v>
      </c>
      <c r="D311" t="s">
        <v>25</v>
      </c>
      <c r="E311" t="s">
        <v>39</v>
      </c>
      <c r="F311" t="s">
        <v>21</v>
      </c>
      <c r="G311">
        <v>4400.16</v>
      </c>
      <c r="H311" t="s">
        <v>34</v>
      </c>
      <c r="I311" t="s">
        <v>55</v>
      </c>
      <c r="J311">
        <v>3.2</v>
      </c>
      <c r="K311">
        <v>0</v>
      </c>
      <c r="L311">
        <v>0</v>
      </c>
    </row>
    <row r="312" spans="1:12" x14ac:dyDescent="0.25">
      <c r="A312" t="s">
        <v>840</v>
      </c>
      <c r="B312" s="1">
        <v>45587.745833333334</v>
      </c>
      <c r="C312" t="s">
        <v>24</v>
      </c>
      <c r="D312" t="s">
        <v>25</v>
      </c>
      <c r="E312" t="s">
        <v>28</v>
      </c>
      <c r="F312" t="s">
        <v>16</v>
      </c>
      <c r="G312">
        <v>4286.3</v>
      </c>
      <c r="H312" t="s">
        <v>34</v>
      </c>
      <c r="I312" t="s">
        <v>35</v>
      </c>
      <c r="J312">
        <v>2.9</v>
      </c>
      <c r="K312">
        <v>0</v>
      </c>
      <c r="L312">
        <v>0</v>
      </c>
    </row>
    <row r="313" spans="1:12" x14ac:dyDescent="0.25">
      <c r="A313" t="s">
        <v>841</v>
      </c>
      <c r="B313" s="1">
        <v>45587.972222222219</v>
      </c>
      <c r="C313" t="s">
        <v>24</v>
      </c>
      <c r="D313" t="s">
        <v>25</v>
      </c>
      <c r="E313" t="s">
        <v>44</v>
      </c>
      <c r="F313" t="s">
        <v>16</v>
      </c>
      <c r="G313">
        <v>4979.8900000000003</v>
      </c>
      <c r="H313" t="s">
        <v>34</v>
      </c>
      <c r="I313" t="s">
        <v>55</v>
      </c>
      <c r="J313">
        <v>2.1</v>
      </c>
      <c r="K313">
        <v>0</v>
      </c>
      <c r="L313">
        <v>0</v>
      </c>
    </row>
    <row r="314" spans="1:12" x14ac:dyDescent="0.25">
      <c r="A314" t="s">
        <v>842</v>
      </c>
      <c r="B314" s="1">
        <v>45587.995138888888</v>
      </c>
      <c r="C314" t="s">
        <v>37</v>
      </c>
      <c r="D314" t="s">
        <v>38</v>
      </c>
      <c r="E314" t="s">
        <v>28</v>
      </c>
      <c r="F314" t="s">
        <v>21</v>
      </c>
      <c r="G314">
        <v>3779.86</v>
      </c>
      <c r="H314" t="s">
        <v>22</v>
      </c>
      <c r="J314">
        <v>2.9</v>
      </c>
      <c r="K314">
        <v>109.62</v>
      </c>
      <c r="L314">
        <v>3670.24</v>
      </c>
    </row>
    <row r="315" spans="1:12" x14ac:dyDescent="0.25">
      <c r="A315" t="s">
        <v>843</v>
      </c>
      <c r="B315" s="1">
        <v>45588.084722222222</v>
      </c>
      <c r="C315" t="s">
        <v>58</v>
      </c>
      <c r="D315" t="s">
        <v>25</v>
      </c>
      <c r="E315" t="s">
        <v>39</v>
      </c>
      <c r="F315" t="s">
        <v>41</v>
      </c>
      <c r="G315">
        <v>2710.41</v>
      </c>
      <c r="H315" t="s">
        <v>22</v>
      </c>
      <c r="J315">
        <v>3.2</v>
      </c>
      <c r="K315">
        <v>86.73</v>
      </c>
      <c r="L315">
        <v>2623.68</v>
      </c>
    </row>
    <row r="316" spans="1:12" x14ac:dyDescent="0.25">
      <c r="A316" t="s">
        <v>844</v>
      </c>
      <c r="B316" s="1">
        <v>45588.43472222222</v>
      </c>
      <c r="C316" t="s">
        <v>24</v>
      </c>
      <c r="D316" t="s">
        <v>25</v>
      </c>
      <c r="E316" t="s">
        <v>39</v>
      </c>
      <c r="F316" t="s">
        <v>29</v>
      </c>
      <c r="G316">
        <v>3897.09</v>
      </c>
      <c r="H316" t="s">
        <v>22</v>
      </c>
      <c r="J316">
        <v>3.2</v>
      </c>
      <c r="K316">
        <v>124.71</v>
      </c>
      <c r="L316">
        <v>3772.38</v>
      </c>
    </row>
    <row r="317" spans="1:12" x14ac:dyDescent="0.25">
      <c r="A317" t="s">
        <v>845</v>
      </c>
      <c r="B317" s="1">
        <v>45588.793055555558</v>
      </c>
      <c r="C317" t="s">
        <v>19</v>
      </c>
      <c r="D317" t="s">
        <v>20</v>
      </c>
      <c r="E317" t="s">
        <v>28</v>
      </c>
      <c r="F317" t="s">
        <v>16</v>
      </c>
      <c r="G317">
        <v>3290.29</v>
      </c>
      <c r="H317" t="s">
        <v>17</v>
      </c>
      <c r="J317">
        <v>2.9</v>
      </c>
      <c r="K317">
        <v>0</v>
      </c>
      <c r="L317">
        <v>0</v>
      </c>
    </row>
    <row r="318" spans="1:12" x14ac:dyDescent="0.25">
      <c r="A318" t="s">
        <v>846</v>
      </c>
      <c r="B318" s="1">
        <v>45588.820138888892</v>
      </c>
      <c r="C318" t="s">
        <v>37</v>
      </c>
      <c r="D318" t="s">
        <v>38</v>
      </c>
      <c r="E318" t="s">
        <v>15</v>
      </c>
      <c r="F318" t="s">
        <v>16</v>
      </c>
      <c r="G318">
        <v>2216.38</v>
      </c>
      <c r="H318" t="s">
        <v>22</v>
      </c>
      <c r="J318">
        <v>2.5</v>
      </c>
      <c r="K318">
        <v>55.41</v>
      </c>
      <c r="L318">
        <v>2160.9699999999998</v>
      </c>
    </row>
    <row r="319" spans="1:12" x14ac:dyDescent="0.25">
      <c r="A319" t="s">
        <v>847</v>
      </c>
      <c r="B319" s="1">
        <v>45589.334722222222</v>
      </c>
      <c r="C319" t="s">
        <v>31</v>
      </c>
      <c r="D319" t="s">
        <v>32</v>
      </c>
      <c r="E319" t="s">
        <v>33</v>
      </c>
      <c r="F319" t="s">
        <v>16</v>
      </c>
      <c r="G319">
        <v>1734.98</v>
      </c>
      <c r="H319" t="s">
        <v>22</v>
      </c>
      <c r="J319">
        <v>1.9</v>
      </c>
      <c r="K319">
        <v>32.96</v>
      </c>
      <c r="L319">
        <v>1702.02</v>
      </c>
    </row>
    <row r="320" spans="1:12" x14ac:dyDescent="0.25">
      <c r="A320" t="s">
        <v>848</v>
      </c>
      <c r="B320" s="1">
        <v>45589.925694444442</v>
      </c>
      <c r="C320" t="s">
        <v>24</v>
      </c>
      <c r="D320" t="s">
        <v>25</v>
      </c>
      <c r="E320" t="s">
        <v>39</v>
      </c>
      <c r="F320" t="s">
        <v>21</v>
      </c>
      <c r="G320">
        <v>4490.6899999999996</v>
      </c>
      <c r="H320" t="s">
        <v>17</v>
      </c>
      <c r="J320">
        <v>3.2</v>
      </c>
      <c r="K320">
        <v>0</v>
      </c>
      <c r="L320">
        <v>0</v>
      </c>
    </row>
    <row r="321" spans="1:12" x14ac:dyDescent="0.25">
      <c r="A321" t="s">
        <v>849</v>
      </c>
      <c r="B321" s="1">
        <v>45590.409722222219</v>
      </c>
      <c r="C321" t="s">
        <v>60</v>
      </c>
      <c r="D321" t="s">
        <v>25</v>
      </c>
      <c r="E321" t="s">
        <v>33</v>
      </c>
      <c r="F321" t="s">
        <v>16</v>
      </c>
      <c r="G321">
        <v>1335</v>
      </c>
      <c r="H321" t="s">
        <v>17</v>
      </c>
      <c r="J321">
        <v>1.9</v>
      </c>
      <c r="K321">
        <v>0</v>
      </c>
      <c r="L321">
        <v>0</v>
      </c>
    </row>
    <row r="322" spans="1:12" x14ac:dyDescent="0.25">
      <c r="A322" t="s">
        <v>850</v>
      </c>
      <c r="B322" s="1">
        <v>45590.460416666669</v>
      </c>
      <c r="C322" t="s">
        <v>60</v>
      </c>
      <c r="D322" t="s">
        <v>25</v>
      </c>
      <c r="E322" t="s">
        <v>39</v>
      </c>
      <c r="F322" t="s">
        <v>16</v>
      </c>
      <c r="G322">
        <v>2991.62</v>
      </c>
      <c r="H322" t="s">
        <v>34</v>
      </c>
      <c r="I322" t="s">
        <v>62</v>
      </c>
      <c r="J322">
        <v>3.2</v>
      </c>
      <c r="K322">
        <v>0</v>
      </c>
      <c r="L322">
        <v>0</v>
      </c>
    </row>
    <row r="323" spans="1:12" x14ac:dyDescent="0.25">
      <c r="A323" t="s">
        <v>851</v>
      </c>
      <c r="B323" s="1">
        <v>45590.98333333333</v>
      </c>
      <c r="C323" t="s">
        <v>60</v>
      </c>
      <c r="D323" t="s">
        <v>25</v>
      </c>
      <c r="E323" t="s">
        <v>39</v>
      </c>
      <c r="F323" t="s">
        <v>21</v>
      </c>
      <c r="G323">
        <v>3466.92</v>
      </c>
      <c r="H323" t="s">
        <v>22</v>
      </c>
      <c r="J323">
        <v>3.2</v>
      </c>
      <c r="K323">
        <v>110.94</v>
      </c>
      <c r="L323">
        <v>3355.98</v>
      </c>
    </row>
    <row r="324" spans="1:12" x14ac:dyDescent="0.25">
      <c r="A324" t="s">
        <v>852</v>
      </c>
      <c r="B324" s="1">
        <v>45591.072222222225</v>
      </c>
      <c r="C324" t="s">
        <v>31</v>
      </c>
      <c r="D324" t="s">
        <v>32</v>
      </c>
      <c r="E324" t="s">
        <v>39</v>
      </c>
      <c r="F324" t="s">
        <v>45</v>
      </c>
      <c r="G324">
        <v>539.62</v>
      </c>
      <c r="H324" t="s">
        <v>22</v>
      </c>
      <c r="J324">
        <v>3.2</v>
      </c>
      <c r="K324">
        <v>17.27</v>
      </c>
      <c r="L324">
        <v>522.35</v>
      </c>
    </row>
    <row r="325" spans="1:12" x14ac:dyDescent="0.25">
      <c r="A325" t="s">
        <v>853</v>
      </c>
      <c r="B325" s="1">
        <v>45591.117361111108</v>
      </c>
      <c r="C325" t="s">
        <v>13</v>
      </c>
      <c r="D325" t="s">
        <v>14</v>
      </c>
      <c r="E325" t="s">
        <v>28</v>
      </c>
      <c r="F325" t="s">
        <v>41</v>
      </c>
      <c r="G325">
        <v>3705.18</v>
      </c>
      <c r="H325" t="s">
        <v>34</v>
      </c>
      <c r="I325" t="s">
        <v>35</v>
      </c>
      <c r="J325">
        <v>2.9</v>
      </c>
      <c r="K325">
        <v>0</v>
      </c>
      <c r="L325">
        <v>0</v>
      </c>
    </row>
    <row r="326" spans="1:12" x14ac:dyDescent="0.25">
      <c r="A326" t="s">
        <v>854</v>
      </c>
      <c r="B326" s="1">
        <v>45591.125</v>
      </c>
      <c r="C326" t="s">
        <v>13</v>
      </c>
      <c r="D326" t="s">
        <v>14</v>
      </c>
      <c r="E326" t="s">
        <v>39</v>
      </c>
      <c r="F326" t="s">
        <v>45</v>
      </c>
      <c r="G326">
        <v>3240.24</v>
      </c>
      <c r="H326" t="s">
        <v>17</v>
      </c>
      <c r="J326">
        <v>3.2</v>
      </c>
      <c r="K326">
        <v>0</v>
      </c>
      <c r="L326">
        <v>0</v>
      </c>
    </row>
    <row r="327" spans="1:12" x14ac:dyDescent="0.25">
      <c r="A327" t="s">
        <v>855</v>
      </c>
      <c r="B327" s="1">
        <v>45591.569444444445</v>
      </c>
      <c r="C327" t="s">
        <v>43</v>
      </c>
      <c r="D327" t="s">
        <v>25</v>
      </c>
      <c r="E327" t="s">
        <v>28</v>
      </c>
      <c r="F327" t="s">
        <v>16</v>
      </c>
      <c r="G327">
        <v>1746.33</v>
      </c>
      <c r="H327" t="s">
        <v>22</v>
      </c>
      <c r="J327">
        <v>2.9</v>
      </c>
      <c r="K327">
        <v>50.64</v>
      </c>
      <c r="L327">
        <v>1695.69</v>
      </c>
    </row>
    <row r="328" spans="1:12" x14ac:dyDescent="0.25">
      <c r="A328" t="s">
        <v>856</v>
      </c>
      <c r="B328" s="1">
        <v>45591.581250000003</v>
      </c>
      <c r="C328" t="s">
        <v>19</v>
      </c>
      <c r="D328" t="s">
        <v>20</v>
      </c>
      <c r="E328" t="s">
        <v>15</v>
      </c>
      <c r="F328" t="s">
        <v>21</v>
      </c>
      <c r="G328">
        <v>1104.4100000000001</v>
      </c>
      <c r="H328" t="s">
        <v>22</v>
      </c>
      <c r="J328">
        <v>2.5</v>
      </c>
      <c r="K328">
        <v>27.61</v>
      </c>
      <c r="L328">
        <v>1076.8</v>
      </c>
    </row>
    <row r="329" spans="1:12" x14ac:dyDescent="0.25">
      <c r="A329" t="s">
        <v>857</v>
      </c>
      <c r="B329" s="1">
        <v>45591.627083333333</v>
      </c>
      <c r="C329" t="s">
        <v>58</v>
      </c>
      <c r="D329" t="s">
        <v>25</v>
      </c>
      <c r="E329" t="s">
        <v>44</v>
      </c>
      <c r="F329" t="s">
        <v>29</v>
      </c>
      <c r="G329">
        <v>4640.16</v>
      </c>
      <c r="H329" t="s">
        <v>34</v>
      </c>
      <c r="I329" t="s">
        <v>35</v>
      </c>
      <c r="J329">
        <v>2.1</v>
      </c>
      <c r="K329">
        <v>0</v>
      </c>
      <c r="L329">
        <v>0</v>
      </c>
    </row>
    <row r="330" spans="1:12" x14ac:dyDescent="0.25">
      <c r="A330" t="s">
        <v>858</v>
      </c>
      <c r="B330" s="1">
        <v>45592.402777777781</v>
      </c>
      <c r="C330" t="s">
        <v>58</v>
      </c>
      <c r="D330" t="s">
        <v>25</v>
      </c>
      <c r="E330" t="s">
        <v>39</v>
      </c>
      <c r="F330" t="s">
        <v>16</v>
      </c>
      <c r="G330">
        <v>4228.07</v>
      </c>
      <c r="H330" t="s">
        <v>22</v>
      </c>
      <c r="J330">
        <v>3.2</v>
      </c>
      <c r="K330">
        <v>135.30000000000001</v>
      </c>
      <c r="L330">
        <v>4092.77</v>
      </c>
    </row>
    <row r="331" spans="1:12" x14ac:dyDescent="0.25">
      <c r="A331" t="s">
        <v>859</v>
      </c>
      <c r="B331" s="1">
        <v>45592.732638888891</v>
      </c>
      <c r="C331" t="s">
        <v>37</v>
      </c>
      <c r="D331" t="s">
        <v>38</v>
      </c>
      <c r="E331" t="s">
        <v>28</v>
      </c>
      <c r="F331" t="s">
        <v>16</v>
      </c>
      <c r="G331">
        <v>1774.45</v>
      </c>
      <c r="H331" t="s">
        <v>34</v>
      </c>
      <c r="I331" t="s">
        <v>78</v>
      </c>
      <c r="J331">
        <v>2.9</v>
      </c>
      <c r="K331">
        <v>0</v>
      </c>
      <c r="L331">
        <v>0</v>
      </c>
    </row>
    <row r="332" spans="1:12" x14ac:dyDescent="0.25">
      <c r="A332" t="s">
        <v>860</v>
      </c>
      <c r="B332" s="1">
        <v>45593.291666666664</v>
      </c>
      <c r="C332" t="s">
        <v>31</v>
      </c>
      <c r="D332" t="s">
        <v>32</v>
      </c>
      <c r="E332" t="s">
        <v>28</v>
      </c>
      <c r="F332" t="s">
        <v>29</v>
      </c>
      <c r="G332">
        <v>346.33</v>
      </c>
      <c r="H332" t="s">
        <v>22</v>
      </c>
      <c r="J332">
        <v>2.9</v>
      </c>
      <c r="K332">
        <v>10.039999999999999</v>
      </c>
      <c r="L332">
        <v>336.29</v>
      </c>
    </row>
    <row r="333" spans="1:12" x14ac:dyDescent="0.25">
      <c r="A333" t="s">
        <v>861</v>
      </c>
      <c r="B333" s="1">
        <v>45593.522916666669</v>
      </c>
      <c r="C333" t="s">
        <v>31</v>
      </c>
      <c r="D333" t="s">
        <v>32</v>
      </c>
      <c r="E333" t="s">
        <v>15</v>
      </c>
      <c r="F333" t="s">
        <v>21</v>
      </c>
      <c r="G333">
        <v>3731.57</v>
      </c>
      <c r="H333" t="s">
        <v>22</v>
      </c>
      <c r="J333">
        <v>2.5</v>
      </c>
      <c r="K333">
        <v>93.29</v>
      </c>
      <c r="L333">
        <v>3638.28</v>
      </c>
    </row>
    <row r="334" spans="1:12" x14ac:dyDescent="0.25">
      <c r="A334" t="s">
        <v>862</v>
      </c>
      <c r="B334" s="1">
        <v>45593.693055555559</v>
      </c>
      <c r="C334" t="s">
        <v>47</v>
      </c>
      <c r="D334" t="s">
        <v>25</v>
      </c>
      <c r="E334" t="s">
        <v>28</v>
      </c>
      <c r="F334" t="s">
        <v>29</v>
      </c>
      <c r="G334">
        <v>1488.27</v>
      </c>
      <c r="H334" t="s">
        <v>22</v>
      </c>
      <c r="J334">
        <v>2.9</v>
      </c>
      <c r="K334">
        <v>43.16</v>
      </c>
      <c r="L334">
        <v>1445.11</v>
      </c>
    </row>
    <row r="335" spans="1:12" x14ac:dyDescent="0.25">
      <c r="A335" t="s">
        <v>863</v>
      </c>
      <c r="B335" s="1">
        <v>45594.543055555558</v>
      </c>
      <c r="C335" t="s">
        <v>60</v>
      </c>
      <c r="D335" t="s">
        <v>25</v>
      </c>
      <c r="E335" t="s">
        <v>28</v>
      </c>
      <c r="F335" t="s">
        <v>29</v>
      </c>
      <c r="G335">
        <v>1170.98</v>
      </c>
      <c r="H335" t="s">
        <v>17</v>
      </c>
      <c r="J335">
        <v>2.9</v>
      </c>
      <c r="K335">
        <v>0</v>
      </c>
      <c r="L335">
        <v>0</v>
      </c>
    </row>
    <row r="336" spans="1:12" x14ac:dyDescent="0.25">
      <c r="A336" t="s">
        <v>864</v>
      </c>
      <c r="B336" s="1">
        <v>45594.661805555559</v>
      </c>
      <c r="C336" t="s">
        <v>43</v>
      </c>
      <c r="D336" t="s">
        <v>25</v>
      </c>
      <c r="E336" t="s">
        <v>39</v>
      </c>
      <c r="F336" t="s">
        <v>41</v>
      </c>
      <c r="G336">
        <v>3652.79</v>
      </c>
      <c r="H336" t="s">
        <v>22</v>
      </c>
      <c r="J336">
        <v>3.2</v>
      </c>
      <c r="K336">
        <v>116.89</v>
      </c>
      <c r="L336">
        <v>3535.9</v>
      </c>
    </row>
    <row r="337" spans="1:12" x14ac:dyDescent="0.25">
      <c r="A337" t="s">
        <v>865</v>
      </c>
      <c r="B337" s="1">
        <v>45594.964583333334</v>
      </c>
      <c r="C337" t="s">
        <v>43</v>
      </c>
      <c r="D337" t="s">
        <v>25</v>
      </c>
      <c r="E337" t="s">
        <v>39</v>
      </c>
      <c r="F337" t="s">
        <v>29</v>
      </c>
      <c r="G337">
        <v>1313.65</v>
      </c>
      <c r="H337" t="s">
        <v>22</v>
      </c>
      <c r="J337">
        <v>3.2</v>
      </c>
      <c r="K337">
        <v>42.04</v>
      </c>
      <c r="L337">
        <v>1271.6099999999999</v>
      </c>
    </row>
    <row r="338" spans="1:12" x14ac:dyDescent="0.25">
      <c r="A338" t="s">
        <v>866</v>
      </c>
      <c r="B338" s="1">
        <v>45595.428472222222</v>
      </c>
      <c r="C338" t="s">
        <v>31</v>
      </c>
      <c r="D338" t="s">
        <v>32</v>
      </c>
      <c r="E338" t="s">
        <v>33</v>
      </c>
      <c r="F338" t="s">
        <v>45</v>
      </c>
      <c r="G338">
        <v>2381.59</v>
      </c>
      <c r="H338" t="s">
        <v>22</v>
      </c>
      <c r="J338">
        <v>1.9</v>
      </c>
      <c r="K338">
        <v>45.25</v>
      </c>
      <c r="L338">
        <v>2336.34</v>
      </c>
    </row>
    <row r="339" spans="1:12" x14ac:dyDescent="0.25">
      <c r="A339" t="s">
        <v>867</v>
      </c>
      <c r="B339" s="1">
        <v>45596.800000000003</v>
      </c>
      <c r="C339" t="s">
        <v>43</v>
      </c>
      <c r="D339" t="s">
        <v>25</v>
      </c>
      <c r="E339" t="s">
        <v>28</v>
      </c>
      <c r="F339" t="s">
        <v>29</v>
      </c>
      <c r="G339">
        <v>1530.24</v>
      </c>
      <c r="H339" t="s">
        <v>34</v>
      </c>
      <c r="I339" t="s">
        <v>62</v>
      </c>
      <c r="J339">
        <v>2.9</v>
      </c>
      <c r="K339">
        <v>0</v>
      </c>
      <c r="L339">
        <v>0</v>
      </c>
    </row>
    <row r="340" spans="1:12" x14ac:dyDescent="0.25">
      <c r="A340" t="s">
        <v>868</v>
      </c>
      <c r="B340" s="1">
        <v>45596.920138888891</v>
      </c>
      <c r="C340" t="s">
        <v>47</v>
      </c>
      <c r="D340" t="s">
        <v>25</v>
      </c>
      <c r="E340" t="s">
        <v>33</v>
      </c>
      <c r="F340" t="s">
        <v>16</v>
      </c>
      <c r="G340">
        <v>3221.03</v>
      </c>
      <c r="H340" t="s">
        <v>22</v>
      </c>
      <c r="J340">
        <v>1.9</v>
      </c>
      <c r="K340">
        <v>61.2</v>
      </c>
      <c r="L340">
        <v>3159.83</v>
      </c>
    </row>
    <row r="341" spans="1:12" x14ac:dyDescent="0.25">
      <c r="A341" t="s">
        <v>869</v>
      </c>
      <c r="B341" s="1">
        <v>45597.239583333336</v>
      </c>
      <c r="C341" t="s">
        <v>43</v>
      </c>
      <c r="D341" t="s">
        <v>25</v>
      </c>
      <c r="E341" t="s">
        <v>33</v>
      </c>
      <c r="F341" t="s">
        <v>41</v>
      </c>
      <c r="G341">
        <v>3139.69</v>
      </c>
      <c r="H341" t="s">
        <v>22</v>
      </c>
      <c r="J341">
        <v>1.9</v>
      </c>
      <c r="K341">
        <v>59.65</v>
      </c>
      <c r="L341">
        <v>3080.04</v>
      </c>
    </row>
    <row r="342" spans="1:12" x14ac:dyDescent="0.25">
      <c r="A342" t="s">
        <v>870</v>
      </c>
      <c r="B342" s="1">
        <v>45597.301388888889</v>
      </c>
      <c r="C342" t="s">
        <v>60</v>
      </c>
      <c r="D342" t="s">
        <v>25</v>
      </c>
      <c r="E342" t="s">
        <v>39</v>
      </c>
      <c r="F342" t="s">
        <v>41</v>
      </c>
      <c r="G342">
        <v>3443.83</v>
      </c>
      <c r="H342" t="s">
        <v>34</v>
      </c>
      <c r="I342" t="s">
        <v>35</v>
      </c>
      <c r="J342">
        <v>3.2</v>
      </c>
      <c r="K342">
        <v>0</v>
      </c>
      <c r="L342">
        <v>0</v>
      </c>
    </row>
    <row r="343" spans="1:12" x14ac:dyDescent="0.25">
      <c r="A343" t="s">
        <v>871</v>
      </c>
      <c r="B343" s="1">
        <v>45598.438194444447</v>
      </c>
      <c r="C343" t="s">
        <v>60</v>
      </c>
      <c r="D343" t="s">
        <v>25</v>
      </c>
      <c r="E343" t="s">
        <v>28</v>
      </c>
      <c r="F343" t="s">
        <v>21</v>
      </c>
      <c r="G343">
        <v>4394.82</v>
      </c>
      <c r="H343" t="s">
        <v>22</v>
      </c>
      <c r="J343">
        <v>2.9</v>
      </c>
      <c r="K343">
        <v>127.45</v>
      </c>
      <c r="L343">
        <v>4267.37</v>
      </c>
    </row>
    <row r="344" spans="1:12" x14ac:dyDescent="0.25">
      <c r="A344" t="s">
        <v>872</v>
      </c>
      <c r="B344" s="1">
        <v>45599.15902777778</v>
      </c>
      <c r="C344" t="s">
        <v>37</v>
      </c>
      <c r="D344" t="s">
        <v>38</v>
      </c>
      <c r="E344" t="s">
        <v>39</v>
      </c>
      <c r="F344" t="s">
        <v>45</v>
      </c>
      <c r="G344">
        <v>3688.81</v>
      </c>
      <c r="H344" t="s">
        <v>22</v>
      </c>
      <c r="J344">
        <v>3.2</v>
      </c>
      <c r="K344">
        <v>118.04</v>
      </c>
      <c r="L344">
        <v>3570.77</v>
      </c>
    </row>
    <row r="345" spans="1:12" x14ac:dyDescent="0.25">
      <c r="A345" t="s">
        <v>873</v>
      </c>
      <c r="B345" s="1">
        <v>45599.529166666667</v>
      </c>
      <c r="C345" t="s">
        <v>37</v>
      </c>
      <c r="D345" t="s">
        <v>38</v>
      </c>
      <c r="E345" t="s">
        <v>44</v>
      </c>
      <c r="F345" t="s">
        <v>41</v>
      </c>
      <c r="G345">
        <v>3280.45</v>
      </c>
      <c r="H345" t="s">
        <v>22</v>
      </c>
      <c r="J345">
        <v>2.1</v>
      </c>
      <c r="K345">
        <v>68.89</v>
      </c>
      <c r="L345">
        <v>3211.56</v>
      </c>
    </row>
    <row r="346" spans="1:12" x14ac:dyDescent="0.25">
      <c r="A346" t="s">
        <v>874</v>
      </c>
      <c r="B346" s="1">
        <v>45600.684027777781</v>
      </c>
      <c r="C346" t="s">
        <v>13</v>
      </c>
      <c r="D346" t="s">
        <v>14</v>
      </c>
      <c r="E346" t="s">
        <v>28</v>
      </c>
      <c r="F346" t="s">
        <v>41</v>
      </c>
      <c r="G346">
        <v>204.18</v>
      </c>
      <c r="H346" t="s">
        <v>22</v>
      </c>
      <c r="J346">
        <v>2.9</v>
      </c>
      <c r="K346">
        <v>5.92</v>
      </c>
      <c r="L346">
        <v>198.26</v>
      </c>
    </row>
    <row r="347" spans="1:12" x14ac:dyDescent="0.25">
      <c r="A347" t="s">
        <v>875</v>
      </c>
      <c r="B347" s="1">
        <v>45600.945833333331</v>
      </c>
      <c r="C347" t="s">
        <v>43</v>
      </c>
      <c r="D347" t="s">
        <v>25</v>
      </c>
      <c r="E347" t="s">
        <v>44</v>
      </c>
      <c r="F347" t="s">
        <v>21</v>
      </c>
      <c r="G347">
        <v>3617.75</v>
      </c>
      <c r="H347" t="s">
        <v>34</v>
      </c>
      <c r="I347" t="s">
        <v>55</v>
      </c>
      <c r="J347">
        <v>2.1</v>
      </c>
      <c r="K347">
        <v>0</v>
      </c>
      <c r="L347">
        <v>0</v>
      </c>
    </row>
    <row r="348" spans="1:12" x14ac:dyDescent="0.25">
      <c r="A348" t="s">
        <v>876</v>
      </c>
      <c r="B348" s="1">
        <v>45601.196527777778</v>
      </c>
      <c r="C348" t="s">
        <v>43</v>
      </c>
      <c r="D348" t="s">
        <v>25</v>
      </c>
      <c r="E348" t="s">
        <v>39</v>
      </c>
      <c r="F348" t="s">
        <v>21</v>
      </c>
      <c r="G348">
        <v>2225.2600000000002</v>
      </c>
      <c r="H348" t="s">
        <v>22</v>
      </c>
      <c r="J348">
        <v>3.2</v>
      </c>
      <c r="K348">
        <v>71.209999999999994</v>
      </c>
      <c r="L348">
        <v>2154.0500000000002</v>
      </c>
    </row>
    <row r="349" spans="1:12" x14ac:dyDescent="0.25">
      <c r="A349" t="s">
        <v>877</v>
      </c>
      <c r="B349" s="1">
        <v>45601.334027777775</v>
      </c>
      <c r="C349" t="s">
        <v>31</v>
      </c>
      <c r="D349" t="s">
        <v>32</v>
      </c>
      <c r="E349" t="s">
        <v>44</v>
      </c>
      <c r="F349" t="s">
        <v>45</v>
      </c>
      <c r="G349">
        <v>2939.74</v>
      </c>
      <c r="H349" t="s">
        <v>22</v>
      </c>
      <c r="J349">
        <v>2.1</v>
      </c>
      <c r="K349">
        <v>61.73</v>
      </c>
      <c r="L349">
        <v>2878.01</v>
      </c>
    </row>
    <row r="350" spans="1:12" x14ac:dyDescent="0.25">
      <c r="A350" t="s">
        <v>878</v>
      </c>
      <c r="B350" s="1">
        <v>45601.850694444445</v>
      </c>
      <c r="C350" t="s">
        <v>47</v>
      </c>
      <c r="D350" t="s">
        <v>25</v>
      </c>
      <c r="E350" t="s">
        <v>15</v>
      </c>
      <c r="F350" t="s">
        <v>21</v>
      </c>
      <c r="G350">
        <v>3742</v>
      </c>
      <c r="H350" t="s">
        <v>17</v>
      </c>
      <c r="J350">
        <v>2.5</v>
      </c>
      <c r="K350">
        <v>0</v>
      </c>
      <c r="L350">
        <v>0</v>
      </c>
    </row>
    <row r="351" spans="1:12" x14ac:dyDescent="0.25">
      <c r="A351" t="s">
        <v>879</v>
      </c>
      <c r="B351" s="1">
        <v>45602.270138888889</v>
      </c>
      <c r="C351" t="s">
        <v>58</v>
      </c>
      <c r="D351" t="s">
        <v>25</v>
      </c>
      <c r="E351" t="s">
        <v>33</v>
      </c>
      <c r="F351" t="s">
        <v>41</v>
      </c>
      <c r="G351">
        <v>1312.93</v>
      </c>
      <c r="H351" t="s">
        <v>34</v>
      </c>
      <c r="I351" t="s">
        <v>100</v>
      </c>
      <c r="J351">
        <v>1.9</v>
      </c>
      <c r="K351">
        <v>0</v>
      </c>
      <c r="L351">
        <v>0</v>
      </c>
    </row>
    <row r="352" spans="1:12" x14ac:dyDescent="0.25">
      <c r="A352" t="s">
        <v>880</v>
      </c>
      <c r="B352" s="1">
        <v>45602.671527777777</v>
      </c>
      <c r="C352" t="s">
        <v>58</v>
      </c>
      <c r="D352" t="s">
        <v>25</v>
      </c>
      <c r="E352" t="s">
        <v>33</v>
      </c>
      <c r="F352" t="s">
        <v>29</v>
      </c>
      <c r="G352">
        <v>1281.07</v>
      </c>
      <c r="H352" t="s">
        <v>34</v>
      </c>
      <c r="I352" t="s">
        <v>78</v>
      </c>
      <c r="J352">
        <v>1.9</v>
      </c>
      <c r="K352">
        <v>0</v>
      </c>
      <c r="L352">
        <v>0</v>
      </c>
    </row>
    <row r="353" spans="1:12" x14ac:dyDescent="0.25">
      <c r="A353" t="s">
        <v>881</v>
      </c>
      <c r="B353" s="1">
        <v>45603.95</v>
      </c>
      <c r="C353" t="s">
        <v>24</v>
      </c>
      <c r="D353" t="s">
        <v>25</v>
      </c>
      <c r="E353" t="s">
        <v>39</v>
      </c>
      <c r="F353" t="s">
        <v>16</v>
      </c>
      <c r="G353">
        <v>4818.33</v>
      </c>
      <c r="H353" t="s">
        <v>22</v>
      </c>
      <c r="J353">
        <v>3.2</v>
      </c>
      <c r="K353">
        <v>154.19</v>
      </c>
      <c r="L353">
        <v>4664.1400000000003</v>
      </c>
    </row>
    <row r="354" spans="1:12" x14ac:dyDescent="0.25">
      <c r="A354" t="s">
        <v>882</v>
      </c>
      <c r="B354" s="1">
        <v>45604.408333333333</v>
      </c>
      <c r="C354" t="s">
        <v>43</v>
      </c>
      <c r="D354" t="s">
        <v>25</v>
      </c>
      <c r="E354" t="s">
        <v>44</v>
      </c>
      <c r="F354" t="s">
        <v>45</v>
      </c>
      <c r="G354">
        <v>1203.45</v>
      </c>
      <c r="H354" t="s">
        <v>34</v>
      </c>
      <c r="I354" t="s">
        <v>35</v>
      </c>
      <c r="J354">
        <v>2.1</v>
      </c>
      <c r="K354">
        <v>0</v>
      </c>
      <c r="L354">
        <v>0</v>
      </c>
    </row>
    <row r="355" spans="1:12" x14ac:dyDescent="0.25">
      <c r="A355" t="s">
        <v>883</v>
      </c>
      <c r="B355" s="1">
        <v>45604.89166666667</v>
      </c>
      <c r="C355" t="s">
        <v>37</v>
      </c>
      <c r="D355" t="s">
        <v>38</v>
      </c>
      <c r="E355" t="s">
        <v>28</v>
      </c>
      <c r="F355" t="s">
        <v>16</v>
      </c>
      <c r="G355">
        <v>4256.25</v>
      </c>
      <c r="H355" t="s">
        <v>22</v>
      </c>
      <c r="J355">
        <v>2.9</v>
      </c>
      <c r="K355">
        <v>123.43</v>
      </c>
      <c r="L355">
        <v>4132.82</v>
      </c>
    </row>
    <row r="356" spans="1:12" x14ac:dyDescent="0.25">
      <c r="A356" t="s">
        <v>884</v>
      </c>
      <c r="B356" s="1">
        <v>45605.086111111108</v>
      </c>
      <c r="C356" t="s">
        <v>47</v>
      </c>
      <c r="D356" t="s">
        <v>25</v>
      </c>
      <c r="E356" t="s">
        <v>15</v>
      </c>
      <c r="F356" t="s">
        <v>16</v>
      </c>
      <c r="G356">
        <v>2633.22</v>
      </c>
      <c r="H356" t="s">
        <v>34</v>
      </c>
      <c r="I356" t="s">
        <v>100</v>
      </c>
      <c r="J356">
        <v>2.5</v>
      </c>
      <c r="K356">
        <v>0</v>
      </c>
      <c r="L356">
        <v>0</v>
      </c>
    </row>
    <row r="357" spans="1:12" x14ac:dyDescent="0.25">
      <c r="A357" t="s">
        <v>885</v>
      </c>
      <c r="B357" s="1">
        <v>45605.224999999999</v>
      </c>
      <c r="C357" t="s">
        <v>13</v>
      </c>
      <c r="D357" t="s">
        <v>14</v>
      </c>
      <c r="E357" t="s">
        <v>15</v>
      </c>
      <c r="F357" t="s">
        <v>41</v>
      </c>
      <c r="G357">
        <v>3843.62</v>
      </c>
      <c r="H357" t="s">
        <v>22</v>
      </c>
      <c r="J357">
        <v>2.5</v>
      </c>
      <c r="K357">
        <v>96.09</v>
      </c>
      <c r="L357">
        <v>3747.53</v>
      </c>
    </row>
    <row r="358" spans="1:12" x14ac:dyDescent="0.25">
      <c r="A358" t="s">
        <v>886</v>
      </c>
      <c r="B358" s="1">
        <v>45605.34097222222</v>
      </c>
      <c r="C358" t="s">
        <v>13</v>
      </c>
      <c r="D358" t="s">
        <v>14</v>
      </c>
      <c r="E358" t="s">
        <v>39</v>
      </c>
      <c r="F358" t="s">
        <v>29</v>
      </c>
      <c r="G358">
        <v>1354.35</v>
      </c>
      <c r="H358" t="s">
        <v>17</v>
      </c>
      <c r="J358">
        <v>3.2</v>
      </c>
      <c r="K358">
        <v>0</v>
      </c>
      <c r="L358">
        <v>0</v>
      </c>
    </row>
    <row r="359" spans="1:12" x14ac:dyDescent="0.25">
      <c r="A359" t="s">
        <v>887</v>
      </c>
      <c r="B359" s="1">
        <v>45605.405555555553</v>
      </c>
      <c r="C359" t="s">
        <v>43</v>
      </c>
      <c r="D359" t="s">
        <v>25</v>
      </c>
      <c r="E359" t="s">
        <v>44</v>
      </c>
      <c r="F359" t="s">
        <v>41</v>
      </c>
      <c r="G359">
        <v>687.28</v>
      </c>
      <c r="H359" t="s">
        <v>22</v>
      </c>
      <c r="J359">
        <v>2.1</v>
      </c>
      <c r="K359">
        <v>14.43</v>
      </c>
      <c r="L359">
        <v>672.85</v>
      </c>
    </row>
    <row r="360" spans="1:12" x14ac:dyDescent="0.25">
      <c r="A360" t="s">
        <v>888</v>
      </c>
      <c r="B360" s="1">
        <v>45606.301388888889</v>
      </c>
      <c r="C360" t="s">
        <v>27</v>
      </c>
      <c r="D360" t="s">
        <v>25</v>
      </c>
      <c r="E360" t="s">
        <v>15</v>
      </c>
      <c r="F360" t="s">
        <v>29</v>
      </c>
      <c r="G360">
        <v>2280.34</v>
      </c>
      <c r="H360" t="s">
        <v>17</v>
      </c>
      <c r="J360">
        <v>2.5</v>
      </c>
      <c r="K360">
        <v>0</v>
      </c>
      <c r="L360">
        <v>0</v>
      </c>
    </row>
    <row r="361" spans="1:12" x14ac:dyDescent="0.25">
      <c r="A361" t="s">
        <v>889</v>
      </c>
      <c r="B361" s="1">
        <v>45606.837500000001</v>
      </c>
      <c r="C361" t="s">
        <v>43</v>
      </c>
      <c r="D361" t="s">
        <v>25</v>
      </c>
      <c r="E361" t="s">
        <v>39</v>
      </c>
      <c r="F361" t="s">
        <v>41</v>
      </c>
      <c r="G361">
        <v>183.96</v>
      </c>
      <c r="H361" t="s">
        <v>22</v>
      </c>
      <c r="J361">
        <v>3.2</v>
      </c>
      <c r="K361">
        <v>5.89</v>
      </c>
      <c r="L361">
        <v>178.07</v>
      </c>
    </row>
    <row r="362" spans="1:12" x14ac:dyDescent="0.25">
      <c r="A362" t="s">
        <v>890</v>
      </c>
      <c r="B362" s="1">
        <v>45607.47152777778</v>
      </c>
      <c r="C362" t="s">
        <v>37</v>
      </c>
      <c r="D362" t="s">
        <v>38</v>
      </c>
      <c r="E362" t="s">
        <v>44</v>
      </c>
      <c r="F362" t="s">
        <v>45</v>
      </c>
      <c r="G362">
        <v>401.94</v>
      </c>
      <c r="H362" t="s">
        <v>34</v>
      </c>
      <c r="I362" t="s">
        <v>100</v>
      </c>
      <c r="J362">
        <v>2.1</v>
      </c>
      <c r="K362">
        <v>0</v>
      </c>
      <c r="L362">
        <v>0</v>
      </c>
    </row>
    <row r="363" spans="1:12" x14ac:dyDescent="0.25">
      <c r="A363" t="s">
        <v>891</v>
      </c>
      <c r="B363" s="1">
        <v>45607.55972222222</v>
      </c>
      <c r="C363" t="s">
        <v>60</v>
      </c>
      <c r="D363" t="s">
        <v>25</v>
      </c>
      <c r="E363" t="s">
        <v>39</v>
      </c>
      <c r="F363" t="s">
        <v>21</v>
      </c>
      <c r="G363">
        <v>2806.47</v>
      </c>
      <c r="H363" t="s">
        <v>22</v>
      </c>
      <c r="J363">
        <v>3.2</v>
      </c>
      <c r="K363">
        <v>89.81</v>
      </c>
      <c r="L363">
        <v>2716.66</v>
      </c>
    </row>
    <row r="364" spans="1:12" x14ac:dyDescent="0.25">
      <c r="A364" t="s">
        <v>892</v>
      </c>
      <c r="B364" s="1">
        <v>45607.742361111108</v>
      </c>
      <c r="C364" t="s">
        <v>43</v>
      </c>
      <c r="D364" t="s">
        <v>25</v>
      </c>
      <c r="E364" t="s">
        <v>15</v>
      </c>
      <c r="F364" t="s">
        <v>16</v>
      </c>
      <c r="G364">
        <v>4130.42</v>
      </c>
      <c r="H364" t="s">
        <v>17</v>
      </c>
      <c r="J364">
        <v>2.5</v>
      </c>
      <c r="K364">
        <v>0</v>
      </c>
      <c r="L364">
        <v>0</v>
      </c>
    </row>
    <row r="365" spans="1:12" x14ac:dyDescent="0.25">
      <c r="A365" t="s">
        <v>893</v>
      </c>
      <c r="B365" s="1">
        <v>45607.763194444444</v>
      </c>
      <c r="C365" t="s">
        <v>58</v>
      </c>
      <c r="D365" t="s">
        <v>25</v>
      </c>
      <c r="E365" t="s">
        <v>33</v>
      </c>
      <c r="F365" t="s">
        <v>41</v>
      </c>
      <c r="G365">
        <v>1526.34</v>
      </c>
      <c r="H365" t="s">
        <v>22</v>
      </c>
      <c r="J365">
        <v>1.9</v>
      </c>
      <c r="K365">
        <v>29</v>
      </c>
      <c r="L365">
        <v>1497.34</v>
      </c>
    </row>
    <row r="366" spans="1:12" x14ac:dyDescent="0.25">
      <c r="A366" t="s">
        <v>894</v>
      </c>
      <c r="B366" s="1">
        <v>45608.821527777778</v>
      </c>
      <c r="C366" t="s">
        <v>58</v>
      </c>
      <c r="D366" t="s">
        <v>25</v>
      </c>
      <c r="E366" t="s">
        <v>28</v>
      </c>
      <c r="F366" t="s">
        <v>16</v>
      </c>
      <c r="G366">
        <v>4448.9799999999996</v>
      </c>
      <c r="H366" t="s">
        <v>22</v>
      </c>
      <c r="J366">
        <v>2.9</v>
      </c>
      <c r="K366">
        <v>129.02000000000001</v>
      </c>
      <c r="L366">
        <v>4319.96</v>
      </c>
    </row>
    <row r="367" spans="1:12" x14ac:dyDescent="0.25">
      <c r="A367" t="s">
        <v>895</v>
      </c>
      <c r="B367" s="1">
        <v>45609.315972222219</v>
      </c>
      <c r="C367" t="s">
        <v>27</v>
      </c>
      <c r="D367" t="s">
        <v>25</v>
      </c>
      <c r="E367" t="s">
        <v>15</v>
      </c>
      <c r="F367" t="s">
        <v>16</v>
      </c>
      <c r="G367">
        <v>339.64</v>
      </c>
      <c r="H367" t="s">
        <v>22</v>
      </c>
      <c r="J367">
        <v>2.5</v>
      </c>
      <c r="K367">
        <v>8.49</v>
      </c>
      <c r="L367">
        <v>331.15</v>
      </c>
    </row>
    <row r="368" spans="1:12" x14ac:dyDescent="0.25">
      <c r="A368" t="s">
        <v>896</v>
      </c>
      <c r="B368" s="1">
        <v>45609.438194444447</v>
      </c>
      <c r="C368" t="s">
        <v>19</v>
      </c>
      <c r="D368" t="s">
        <v>20</v>
      </c>
      <c r="E368" t="s">
        <v>39</v>
      </c>
      <c r="F368" t="s">
        <v>16</v>
      </c>
      <c r="G368">
        <v>922.53</v>
      </c>
      <c r="H368" t="s">
        <v>17</v>
      </c>
      <c r="J368">
        <v>3.2</v>
      </c>
      <c r="K368">
        <v>0</v>
      </c>
      <c r="L368">
        <v>0</v>
      </c>
    </row>
    <row r="369" spans="1:12" x14ac:dyDescent="0.25">
      <c r="A369" t="s">
        <v>897</v>
      </c>
      <c r="B369" s="1">
        <v>45609.535416666666</v>
      </c>
      <c r="C369" t="s">
        <v>37</v>
      </c>
      <c r="D369" t="s">
        <v>38</v>
      </c>
      <c r="E369" t="s">
        <v>15</v>
      </c>
      <c r="F369" t="s">
        <v>21</v>
      </c>
      <c r="G369">
        <v>2158.77</v>
      </c>
      <c r="H369" t="s">
        <v>17</v>
      </c>
      <c r="J369">
        <v>2.5</v>
      </c>
      <c r="K369">
        <v>0</v>
      </c>
      <c r="L369">
        <v>0</v>
      </c>
    </row>
    <row r="370" spans="1:12" x14ac:dyDescent="0.25">
      <c r="A370" t="s">
        <v>898</v>
      </c>
      <c r="B370" s="1">
        <v>45609.620138888888</v>
      </c>
      <c r="C370" t="s">
        <v>24</v>
      </c>
      <c r="D370" t="s">
        <v>25</v>
      </c>
      <c r="E370" t="s">
        <v>39</v>
      </c>
      <c r="F370" t="s">
        <v>45</v>
      </c>
      <c r="G370">
        <v>2737.61</v>
      </c>
      <c r="H370" t="s">
        <v>17</v>
      </c>
      <c r="J370">
        <v>3.2</v>
      </c>
      <c r="K370">
        <v>0</v>
      </c>
      <c r="L370">
        <v>0</v>
      </c>
    </row>
    <row r="371" spans="1:12" x14ac:dyDescent="0.25">
      <c r="A371" t="s">
        <v>899</v>
      </c>
      <c r="B371" s="1">
        <v>45610.652777777781</v>
      </c>
      <c r="C371" t="s">
        <v>43</v>
      </c>
      <c r="D371" t="s">
        <v>25</v>
      </c>
      <c r="E371" t="s">
        <v>28</v>
      </c>
      <c r="F371" t="s">
        <v>29</v>
      </c>
      <c r="G371">
        <v>1342.61</v>
      </c>
      <c r="H371" t="s">
        <v>22</v>
      </c>
      <c r="J371">
        <v>2.9</v>
      </c>
      <c r="K371">
        <v>38.94</v>
      </c>
      <c r="L371">
        <v>1303.67</v>
      </c>
    </row>
    <row r="372" spans="1:12" x14ac:dyDescent="0.25">
      <c r="A372" t="s">
        <v>900</v>
      </c>
      <c r="B372" s="1">
        <v>45610.79583333333</v>
      </c>
      <c r="C372" t="s">
        <v>31</v>
      </c>
      <c r="D372" t="s">
        <v>32</v>
      </c>
      <c r="E372" t="s">
        <v>33</v>
      </c>
      <c r="F372" t="s">
        <v>16</v>
      </c>
      <c r="G372">
        <v>3965.73</v>
      </c>
      <c r="H372" t="s">
        <v>22</v>
      </c>
      <c r="J372">
        <v>1.9</v>
      </c>
      <c r="K372">
        <v>75.349999999999994</v>
      </c>
      <c r="L372">
        <v>3890.38</v>
      </c>
    </row>
    <row r="373" spans="1:12" x14ac:dyDescent="0.25">
      <c r="A373" t="s">
        <v>901</v>
      </c>
      <c r="B373" s="1">
        <v>45610.822222222225</v>
      </c>
      <c r="C373" t="s">
        <v>27</v>
      </c>
      <c r="D373" t="s">
        <v>25</v>
      </c>
      <c r="E373" t="s">
        <v>15</v>
      </c>
      <c r="F373" t="s">
        <v>41</v>
      </c>
      <c r="G373">
        <v>2562.81</v>
      </c>
      <c r="H373" t="s">
        <v>17</v>
      </c>
      <c r="J373">
        <v>2.5</v>
      </c>
      <c r="K373">
        <v>0</v>
      </c>
      <c r="L373">
        <v>0</v>
      </c>
    </row>
    <row r="374" spans="1:12" x14ac:dyDescent="0.25">
      <c r="A374" t="s">
        <v>902</v>
      </c>
      <c r="B374" s="1">
        <v>45611.347916666666</v>
      </c>
      <c r="C374" t="s">
        <v>27</v>
      </c>
      <c r="D374" t="s">
        <v>25</v>
      </c>
      <c r="E374" t="s">
        <v>44</v>
      </c>
      <c r="F374" t="s">
        <v>29</v>
      </c>
      <c r="G374">
        <v>400.32</v>
      </c>
      <c r="H374" t="s">
        <v>17</v>
      </c>
      <c r="J374">
        <v>2.1</v>
      </c>
      <c r="K374">
        <v>0</v>
      </c>
      <c r="L374">
        <v>0</v>
      </c>
    </row>
    <row r="375" spans="1:12" x14ac:dyDescent="0.25">
      <c r="A375" t="s">
        <v>903</v>
      </c>
      <c r="B375" s="1">
        <v>45611.934027777781</v>
      </c>
      <c r="C375" t="s">
        <v>31</v>
      </c>
      <c r="D375" t="s">
        <v>32</v>
      </c>
      <c r="E375" t="s">
        <v>39</v>
      </c>
      <c r="F375" t="s">
        <v>45</v>
      </c>
      <c r="G375">
        <v>1906.25</v>
      </c>
      <c r="H375" t="s">
        <v>22</v>
      </c>
      <c r="J375">
        <v>3.2</v>
      </c>
      <c r="K375">
        <v>61</v>
      </c>
      <c r="L375">
        <v>1845.25</v>
      </c>
    </row>
    <row r="376" spans="1:12" x14ac:dyDescent="0.25">
      <c r="A376" t="s">
        <v>904</v>
      </c>
      <c r="B376" s="1">
        <v>45612.092361111114</v>
      </c>
      <c r="C376" t="s">
        <v>24</v>
      </c>
      <c r="D376" t="s">
        <v>25</v>
      </c>
      <c r="E376" t="s">
        <v>15</v>
      </c>
      <c r="F376" t="s">
        <v>41</v>
      </c>
      <c r="G376">
        <v>1035.8399999999999</v>
      </c>
      <c r="H376" t="s">
        <v>34</v>
      </c>
      <c r="I376" t="s">
        <v>78</v>
      </c>
      <c r="J376">
        <v>2.5</v>
      </c>
      <c r="K376">
        <v>0</v>
      </c>
      <c r="L376">
        <v>0</v>
      </c>
    </row>
    <row r="377" spans="1:12" x14ac:dyDescent="0.25">
      <c r="A377" t="s">
        <v>905</v>
      </c>
      <c r="B377" s="1">
        <v>45612.213194444441</v>
      </c>
      <c r="C377" t="s">
        <v>27</v>
      </c>
      <c r="D377" t="s">
        <v>25</v>
      </c>
      <c r="E377" t="s">
        <v>44</v>
      </c>
      <c r="F377" t="s">
        <v>41</v>
      </c>
      <c r="G377">
        <v>3116.58</v>
      </c>
      <c r="H377" t="s">
        <v>22</v>
      </c>
      <c r="J377">
        <v>2.1</v>
      </c>
      <c r="K377">
        <v>65.45</v>
      </c>
      <c r="L377">
        <v>3051.13</v>
      </c>
    </row>
    <row r="378" spans="1:12" x14ac:dyDescent="0.25">
      <c r="A378" t="s">
        <v>906</v>
      </c>
      <c r="B378" s="1">
        <v>45612.433333333334</v>
      </c>
      <c r="C378" t="s">
        <v>31</v>
      </c>
      <c r="D378" t="s">
        <v>32</v>
      </c>
      <c r="E378" t="s">
        <v>15</v>
      </c>
      <c r="F378" t="s">
        <v>21</v>
      </c>
      <c r="G378">
        <v>4959.8100000000004</v>
      </c>
      <c r="H378" t="s">
        <v>34</v>
      </c>
      <c r="I378" t="s">
        <v>62</v>
      </c>
      <c r="J378">
        <v>2.5</v>
      </c>
      <c r="K378">
        <v>0</v>
      </c>
      <c r="L378">
        <v>0</v>
      </c>
    </row>
    <row r="379" spans="1:12" x14ac:dyDescent="0.25">
      <c r="A379" t="s">
        <v>907</v>
      </c>
      <c r="B379" s="1">
        <v>45612.828472222223</v>
      </c>
      <c r="C379" t="s">
        <v>47</v>
      </c>
      <c r="D379" t="s">
        <v>25</v>
      </c>
      <c r="E379" t="s">
        <v>15</v>
      </c>
      <c r="F379" t="s">
        <v>45</v>
      </c>
      <c r="G379">
        <v>2755.3</v>
      </c>
      <c r="H379" t="s">
        <v>22</v>
      </c>
      <c r="J379">
        <v>2.5</v>
      </c>
      <c r="K379">
        <v>68.88</v>
      </c>
      <c r="L379">
        <v>2686.42</v>
      </c>
    </row>
    <row r="380" spans="1:12" x14ac:dyDescent="0.25">
      <c r="A380" t="s">
        <v>908</v>
      </c>
      <c r="B380" s="1">
        <v>45612.893750000003</v>
      </c>
      <c r="C380" t="s">
        <v>13</v>
      </c>
      <c r="D380" t="s">
        <v>14</v>
      </c>
      <c r="E380" t="s">
        <v>15</v>
      </c>
      <c r="F380" t="s">
        <v>41</v>
      </c>
      <c r="G380">
        <v>4861.7299999999996</v>
      </c>
      <c r="H380" t="s">
        <v>34</v>
      </c>
      <c r="I380" t="s">
        <v>100</v>
      </c>
      <c r="J380">
        <v>2.5</v>
      </c>
      <c r="K380">
        <v>0</v>
      </c>
      <c r="L380">
        <v>0</v>
      </c>
    </row>
    <row r="381" spans="1:12" x14ac:dyDescent="0.25">
      <c r="A381" t="s">
        <v>909</v>
      </c>
      <c r="B381" s="1">
        <v>45613.681944444441</v>
      </c>
      <c r="C381" t="s">
        <v>31</v>
      </c>
      <c r="D381" t="s">
        <v>32</v>
      </c>
      <c r="E381" t="s">
        <v>28</v>
      </c>
      <c r="F381" t="s">
        <v>41</v>
      </c>
      <c r="G381">
        <v>2249.1999999999998</v>
      </c>
      <c r="H381" t="s">
        <v>17</v>
      </c>
      <c r="J381">
        <v>2.9</v>
      </c>
      <c r="K381">
        <v>0</v>
      </c>
      <c r="L381">
        <v>0</v>
      </c>
    </row>
    <row r="382" spans="1:12" x14ac:dyDescent="0.25">
      <c r="A382" t="s">
        <v>910</v>
      </c>
      <c r="B382" s="1">
        <v>45613.834722222222</v>
      </c>
      <c r="C382" t="s">
        <v>47</v>
      </c>
      <c r="D382" t="s">
        <v>25</v>
      </c>
      <c r="E382" t="s">
        <v>15</v>
      </c>
      <c r="F382" t="s">
        <v>41</v>
      </c>
      <c r="G382">
        <v>2902.07</v>
      </c>
      <c r="H382" t="s">
        <v>22</v>
      </c>
      <c r="J382">
        <v>2.5</v>
      </c>
      <c r="K382">
        <v>72.55</v>
      </c>
      <c r="L382">
        <v>2829.52</v>
      </c>
    </row>
    <row r="383" spans="1:12" x14ac:dyDescent="0.25">
      <c r="A383" t="s">
        <v>911</v>
      </c>
      <c r="B383" s="1">
        <v>45614.618055555555</v>
      </c>
      <c r="C383" t="s">
        <v>27</v>
      </c>
      <c r="D383" t="s">
        <v>25</v>
      </c>
      <c r="E383" t="s">
        <v>28</v>
      </c>
      <c r="F383" t="s">
        <v>16</v>
      </c>
      <c r="G383">
        <v>1008.38</v>
      </c>
      <c r="H383" t="s">
        <v>22</v>
      </c>
      <c r="J383">
        <v>2.9</v>
      </c>
      <c r="K383">
        <v>29.24</v>
      </c>
      <c r="L383">
        <v>979.14</v>
      </c>
    </row>
    <row r="384" spans="1:12" x14ac:dyDescent="0.25">
      <c r="A384" t="s">
        <v>912</v>
      </c>
      <c r="B384" s="1">
        <v>45615.409722222219</v>
      </c>
      <c r="C384" t="s">
        <v>47</v>
      </c>
      <c r="D384" t="s">
        <v>25</v>
      </c>
      <c r="E384" t="s">
        <v>33</v>
      </c>
      <c r="F384" t="s">
        <v>41</v>
      </c>
      <c r="G384">
        <v>1766.19</v>
      </c>
      <c r="H384" t="s">
        <v>22</v>
      </c>
      <c r="J384">
        <v>1.9</v>
      </c>
      <c r="K384">
        <v>33.56</v>
      </c>
      <c r="L384">
        <v>1732.63</v>
      </c>
    </row>
    <row r="385" spans="1:12" x14ac:dyDescent="0.25">
      <c r="A385" t="s">
        <v>913</v>
      </c>
      <c r="B385" s="1">
        <v>45615.455555555556</v>
      </c>
      <c r="C385" t="s">
        <v>58</v>
      </c>
      <c r="D385" t="s">
        <v>25</v>
      </c>
      <c r="E385" t="s">
        <v>28</v>
      </c>
      <c r="F385" t="s">
        <v>21</v>
      </c>
      <c r="G385">
        <v>4333.5600000000004</v>
      </c>
      <c r="H385" t="s">
        <v>34</v>
      </c>
      <c r="I385" t="s">
        <v>55</v>
      </c>
      <c r="J385">
        <v>2.9</v>
      </c>
      <c r="K385">
        <v>0</v>
      </c>
      <c r="L385">
        <v>0</v>
      </c>
    </row>
    <row r="386" spans="1:12" x14ac:dyDescent="0.25">
      <c r="A386" t="s">
        <v>914</v>
      </c>
      <c r="B386" s="1">
        <v>45616.321527777778</v>
      </c>
      <c r="C386" t="s">
        <v>24</v>
      </c>
      <c r="D386" t="s">
        <v>25</v>
      </c>
      <c r="E386" t="s">
        <v>39</v>
      </c>
      <c r="F386" t="s">
        <v>16</v>
      </c>
      <c r="G386">
        <v>4777.67</v>
      </c>
      <c r="H386" t="s">
        <v>17</v>
      </c>
      <c r="J386">
        <v>3.2</v>
      </c>
      <c r="K386">
        <v>0</v>
      </c>
      <c r="L386">
        <v>0</v>
      </c>
    </row>
    <row r="387" spans="1:12" x14ac:dyDescent="0.25">
      <c r="A387" t="s">
        <v>915</v>
      </c>
      <c r="B387" s="1">
        <v>45617.561111111114</v>
      </c>
      <c r="C387" t="s">
        <v>43</v>
      </c>
      <c r="D387" t="s">
        <v>25</v>
      </c>
      <c r="E387" t="s">
        <v>15</v>
      </c>
      <c r="F387" t="s">
        <v>29</v>
      </c>
      <c r="G387">
        <v>730.29</v>
      </c>
      <c r="H387" t="s">
        <v>22</v>
      </c>
      <c r="J387">
        <v>2.5</v>
      </c>
      <c r="K387">
        <v>18.260000000000002</v>
      </c>
      <c r="L387">
        <v>712.03</v>
      </c>
    </row>
    <row r="388" spans="1:12" x14ac:dyDescent="0.25">
      <c r="A388" t="s">
        <v>916</v>
      </c>
      <c r="B388" s="1">
        <v>45618.378472222219</v>
      </c>
      <c r="C388" t="s">
        <v>43</v>
      </c>
      <c r="D388" t="s">
        <v>25</v>
      </c>
      <c r="E388" t="s">
        <v>28</v>
      </c>
      <c r="F388" t="s">
        <v>21</v>
      </c>
      <c r="G388">
        <v>3926.53</v>
      </c>
      <c r="H388" t="s">
        <v>34</v>
      </c>
      <c r="I388" t="s">
        <v>55</v>
      </c>
      <c r="J388">
        <v>2.9</v>
      </c>
      <c r="K388">
        <v>0</v>
      </c>
      <c r="L388">
        <v>0</v>
      </c>
    </row>
    <row r="389" spans="1:12" x14ac:dyDescent="0.25">
      <c r="A389" t="s">
        <v>917</v>
      </c>
      <c r="B389" s="1">
        <v>45618.743750000001</v>
      </c>
      <c r="C389" t="s">
        <v>19</v>
      </c>
      <c r="D389" t="s">
        <v>20</v>
      </c>
      <c r="E389" t="s">
        <v>15</v>
      </c>
      <c r="F389" t="s">
        <v>45</v>
      </c>
      <c r="G389">
        <v>3635.81</v>
      </c>
      <c r="H389" t="s">
        <v>22</v>
      </c>
      <c r="J389">
        <v>2.5</v>
      </c>
      <c r="K389">
        <v>90.9</v>
      </c>
      <c r="L389">
        <v>3544.91</v>
      </c>
    </row>
    <row r="390" spans="1:12" x14ac:dyDescent="0.25">
      <c r="A390" t="s">
        <v>918</v>
      </c>
      <c r="B390" s="1">
        <v>45619.021527777775</v>
      </c>
      <c r="C390" t="s">
        <v>13</v>
      </c>
      <c r="D390" t="s">
        <v>14</v>
      </c>
      <c r="E390" t="s">
        <v>39</v>
      </c>
      <c r="F390" t="s">
        <v>21</v>
      </c>
      <c r="G390">
        <v>2419.89</v>
      </c>
      <c r="H390" t="s">
        <v>34</v>
      </c>
      <c r="I390" t="s">
        <v>62</v>
      </c>
      <c r="J390">
        <v>3.2</v>
      </c>
      <c r="K390">
        <v>0</v>
      </c>
      <c r="L390">
        <v>0</v>
      </c>
    </row>
    <row r="391" spans="1:12" x14ac:dyDescent="0.25">
      <c r="A391" t="s">
        <v>919</v>
      </c>
      <c r="B391" s="1">
        <v>45619.125694444447</v>
      </c>
      <c r="C391" t="s">
        <v>47</v>
      </c>
      <c r="D391" t="s">
        <v>25</v>
      </c>
      <c r="E391" t="s">
        <v>44</v>
      </c>
      <c r="F391" t="s">
        <v>29</v>
      </c>
      <c r="G391">
        <v>706.29</v>
      </c>
      <c r="H391" t="s">
        <v>22</v>
      </c>
      <c r="J391">
        <v>2.1</v>
      </c>
      <c r="K391">
        <v>14.83</v>
      </c>
      <c r="L391">
        <v>691.46</v>
      </c>
    </row>
    <row r="392" spans="1:12" x14ac:dyDescent="0.25">
      <c r="A392" t="s">
        <v>920</v>
      </c>
      <c r="B392" s="1">
        <v>45619.280555555553</v>
      </c>
      <c r="C392" t="s">
        <v>47</v>
      </c>
      <c r="D392" t="s">
        <v>25</v>
      </c>
      <c r="E392" t="s">
        <v>39</v>
      </c>
      <c r="F392" t="s">
        <v>41</v>
      </c>
      <c r="G392">
        <v>1545.79</v>
      </c>
      <c r="H392" t="s">
        <v>17</v>
      </c>
      <c r="J392">
        <v>3.2</v>
      </c>
      <c r="K392">
        <v>0</v>
      </c>
      <c r="L392">
        <v>0</v>
      </c>
    </row>
    <row r="393" spans="1:12" x14ac:dyDescent="0.25">
      <c r="A393" t="s">
        <v>921</v>
      </c>
      <c r="B393" s="1">
        <v>45619.367361111108</v>
      </c>
      <c r="C393" t="s">
        <v>13</v>
      </c>
      <c r="D393" t="s">
        <v>14</v>
      </c>
      <c r="E393" t="s">
        <v>33</v>
      </c>
      <c r="F393" t="s">
        <v>41</v>
      </c>
      <c r="G393">
        <v>2973.68</v>
      </c>
      <c r="H393" t="s">
        <v>22</v>
      </c>
      <c r="J393">
        <v>1.9</v>
      </c>
      <c r="K393">
        <v>56.5</v>
      </c>
      <c r="L393">
        <v>2917.18</v>
      </c>
    </row>
    <row r="394" spans="1:12" x14ac:dyDescent="0.25">
      <c r="A394" t="s">
        <v>922</v>
      </c>
      <c r="B394" s="1">
        <v>45619.443055555559</v>
      </c>
      <c r="C394" t="s">
        <v>58</v>
      </c>
      <c r="D394" t="s">
        <v>25</v>
      </c>
      <c r="E394" t="s">
        <v>33</v>
      </c>
      <c r="F394" t="s">
        <v>16</v>
      </c>
      <c r="G394">
        <v>2939.15</v>
      </c>
      <c r="H394" t="s">
        <v>22</v>
      </c>
      <c r="J394">
        <v>1.9</v>
      </c>
      <c r="K394">
        <v>55.84</v>
      </c>
      <c r="L394">
        <v>2883.31</v>
      </c>
    </row>
    <row r="395" spans="1:12" x14ac:dyDescent="0.25">
      <c r="A395" t="s">
        <v>923</v>
      </c>
      <c r="B395" s="1">
        <v>45619.693055555559</v>
      </c>
      <c r="C395" t="s">
        <v>24</v>
      </c>
      <c r="D395" t="s">
        <v>25</v>
      </c>
      <c r="E395" t="s">
        <v>44</v>
      </c>
      <c r="F395" t="s">
        <v>21</v>
      </c>
      <c r="G395">
        <v>3814.93</v>
      </c>
      <c r="H395" t="s">
        <v>17</v>
      </c>
      <c r="J395">
        <v>2.1</v>
      </c>
      <c r="K395">
        <v>0</v>
      </c>
      <c r="L395">
        <v>0</v>
      </c>
    </row>
    <row r="396" spans="1:12" x14ac:dyDescent="0.25">
      <c r="A396" t="s">
        <v>924</v>
      </c>
      <c r="B396" s="1">
        <v>45620.421527777777</v>
      </c>
      <c r="C396" t="s">
        <v>31</v>
      </c>
      <c r="D396" t="s">
        <v>32</v>
      </c>
      <c r="E396" t="s">
        <v>33</v>
      </c>
      <c r="F396" t="s">
        <v>41</v>
      </c>
      <c r="G396">
        <v>228.45</v>
      </c>
      <c r="H396" t="s">
        <v>22</v>
      </c>
      <c r="J396">
        <v>1.9</v>
      </c>
      <c r="K396">
        <v>4.34</v>
      </c>
      <c r="L396">
        <v>224.11</v>
      </c>
    </row>
    <row r="397" spans="1:12" x14ac:dyDescent="0.25">
      <c r="A397" t="s">
        <v>925</v>
      </c>
      <c r="B397" s="1">
        <v>45620.684027777781</v>
      </c>
      <c r="C397" t="s">
        <v>13</v>
      </c>
      <c r="D397" t="s">
        <v>14</v>
      </c>
      <c r="E397" t="s">
        <v>39</v>
      </c>
      <c r="F397" t="s">
        <v>41</v>
      </c>
      <c r="G397">
        <v>585.55999999999995</v>
      </c>
      <c r="H397" t="s">
        <v>22</v>
      </c>
      <c r="J397">
        <v>3.2</v>
      </c>
      <c r="K397">
        <v>18.739999999999998</v>
      </c>
      <c r="L397">
        <v>566.82000000000005</v>
      </c>
    </row>
    <row r="398" spans="1:12" x14ac:dyDescent="0.25">
      <c r="A398" t="s">
        <v>926</v>
      </c>
      <c r="B398" s="1">
        <v>45621.245138888888</v>
      </c>
      <c r="C398" t="s">
        <v>43</v>
      </c>
      <c r="D398" t="s">
        <v>25</v>
      </c>
      <c r="E398" t="s">
        <v>15</v>
      </c>
      <c r="F398" t="s">
        <v>29</v>
      </c>
      <c r="G398">
        <v>4059.37</v>
      </c>
      <c r="H398" t="s">
        <v>22</v>
      </c>
      <c r="J398">
        <v>2.5</v>
      </c>
      <c r="K398">
        <v>101.48</v>
      </c>
      <c r="L398">
        <v>3957.89</v>
      </c>
    </row>
    <row r="399" spans="1:12" x14ac:dyDescent="0.25">
      <c r="A399" t="s">
        <v>927</v>
      </c>
      <c r="B399" s="1">
        <v>45621.86041666667</v>
      </c>
      <c r="C399" t="s">
        <v>37</v>
      </c>
      <c r="D399" t="s">
        <v>38</v>
      </c>
      <c r="E399" t="s">
        <v>39</v>
      </c>
      <c r="F399" t="s">
        <v>29</v>
      </c>
      <c r="G399">
        <v>2204.42</v>
      </c>
      <c r="H399" t="s">
        <v>34</v>
      </c>
      <c r="I399" t="s">
        <v>55</v>
      </c>
      <c r="J399">
        <v>3.2</v>
      </c>
      <c r="K399">
        <v>0</v>
      </c>
      <c r="L399">
        <v>0</v>
      </c>
    </row>
    <row r="400" spans="1:12" x14ac:dyDescent="0.25">
      <c r="A400" t="s">
        <v>928</v>
      </c>
      <c r="B400" s="1">
        <v>45622.177083333336</v>
      </c>
      <c r="C400" t="s">
        <v>31</v>
      </c>
      <c r="D400" t="s">
        <v>32</v>
      </c>
      <c r="E400" t="s">
        <v>44</v>
      </c>
      <c r="F400" t="s">
        <v>21</v>
      </c>
      <c r="G400">
        <v>994.39</v>
      </c>
      <c r="H400" t="s">
        <v>17</v>
      </c>
      <c r="J400">
        <v>2.1</v>
      </c>
      <c r="K400">
        <v>0</v>
      </c>
      <c r="L400">
        <v>0</v>
      </c>
    </row>
    <row r="401" spans="1:12" x14ac:dyDescent="0.25">
      <c r="A401" t="s">
        <v>929</v>
      </c>
      <c r="B401" s="1">
        <v>45622.938194444447</v>
      </c>
      <c r="C401" t="s">
        <v>43</v>
      </c>
      <c r="D401" t="s">
        <v>25</v>
      </c>
      <c r="E401" t="s">
        <v>28</v>
      </c>
      <c r="F401" t="s">
        <v>41</v>
      </c>
      <c r="G401">
        <v>1478.24</v>
      </c>
      <c r="H401" t="s">
        <v>34</v>
      </c>
      <c r="I401" t="s">
        <v>35</v>
      </c>
      <c r="J401">
        <v>2.9</v>
      </c>
      <c r="K401">
        <v>0</v>
      </c>
      <c r="L401">
        <v>0</v>
      </c>
    </row>
    <row r="402" spans="1:12" x14ac:dyDescent="0.25">
      <c r="A402" t="s">
        <v>930</v>
      </c>
      <c r="B402" s="1">
        <v>45623.111111111109</v>
      </c>
      <c r="C402" t="s">
        <v>43</v>
      </c>
      <c r="D402" t="s">
        <v>25</v>
      </c>
      <c r="E402" t="s">
        <v>39</v>
      </c>
      <c r="F402" t="s">
        <v>16</v>
      </c>
      <c r="G402">
        <v>592.21</v>
      </c>
      <c r="H402" t="s">
        <v>22</v>
      </c>
      <c r="J402">
        <v>3.2</v>
      </c>
      <c r="K402">
        <v>18.95</v>
      </c>
      <c r="L402">
        <v>573.26</v>
      </c>
    </row>
    <row r="403" spans="1:12" x14ac:dyDescent="0.25">
      <c r="A403" t="s">
        <v>931</v>
      </c>
      <c r="B403" s="1">
        <v>45623.321527777778</v>
      </c>
      <c r="C403" t="s">
        <v>24</v>
      </c>
      <c r="D403" t="s">
        <v>25</v>
      </c>
      <c r="E403" t="s">
        <v>39</v>
      </c>
      <c r="F403" t="s">
        <v>16</v>
      </c>
      <c r="G403">
        <v>2571.27</v>
      </c>
      <c r="H403" t="s">
        <v>22</v>
      </c>
      <c r="J403">
        <v>3.2</v>
      </c>
      <c r="K403">
        <v>82.28</v>
      </c>
      <c r="L403">
        <v>2488.9899999999998</v>
      </c>
    </row>
    <row r="404" spans="1:12" x14ac:dyDescent="0.25">
      <c r="A404" t="s">
        <v>932</v>
      </c>
      <c r="B404" s="1">
        <v>45623.724999999999</v>
      </c>
      <c r="C404" t="s">
        <v>24</v>
      </c>
      <c r="D404" t="s">
        <v>25</v>
      </c>
      <c r="E404" t="s">
        <v>33</v>
      </c>
      <c r="F404" t="s">
        <v>21</v>
      </c>
      <c r="G404">
        <v>3467.75</v>
      </c>
      <c r="H404" t="s">
        <v>22</v>
      </c>
      <c r="J404">
        <v>1.9</v>
      </c>
      <c r="K404">
        <v>65.89</v>
      </c>
      <c r="L404">
        <v>3401.86</v>
      </c>
    </row>
    <row r="405" spans="1:12" x14ac:dyDescent="0.25">
      <c r="A405" t="s">
        <v>933</v>
      </c>
      <c r="B405" s="1">
        <v>45623.839583333334</v>
      </c>
      <c r="C405" t="s">
        <v>31</v>
      </c>
      <c r="D405" t="s">
        <v>32</v>
      </c>
      <c r="E405" t="s">
        <v>39</v>
      </c>
      <c r="F405" t="s">
        <v>16</v>
      </c>
      <c r="G405">
        <v>4007.49</v>
      </c>
      <c r="H405" t="s">
        <v>22</v>
      </c>
      <c r="J405">
        <v>3.2</v>
      </c>
      <c r="K405">
        <v>128.24</v>
      </c>
      <c r="L405">
        <v>3879.25</v>
      </c>
    </row>
    <row r="406" spans="1:12" x14ac:dyDescent="0.25">
      <c r="A406" t="s">
        <v>934</v>
      </c>
      <c r="B406" s="1">
        <v>45623.90625</v>
      </c>
      <c r="C406" t="s">
        <v>27</v>
      </c>
      <c r="D406" t="s">
        <v>25</v>
      </c>
      <c r="E406" t="s">
        <v>15</v>
      </c>
      <c r="F406" t="s">
        <v>45</v>
      </c>
      <c r="G406">
        <v>3151.5</v>
      </c>
      <c r="H406" t="s">
        <v>17</v>
      </c>
      <c r="J406">
        <v>2.5</v>
      </c>
      <c r="K406">
        <v>0</v>
      </c>
      <c r="L406">
        <v>0</v>
      </c>
    </row>
    <row r="407" spans="1:12" x14ac:dyDescent="0.25">
      <c r="A407" t="s">
        <v>935</v>
      </c>
      <c r="B407" s="1">
        <v>45624.42083333333</v>
      </c>
      <c r="C407" t="s">
        <v>13</v>
      </c>
      <c r="D407" t="s">
        <v>14</v>
      </c>
      <c r="E407" t="s">
        <v>39</v>
      </c>
      <c r="F407" t="s">
        <v>21</v>
      </c>
      <c r="G407">
        <v>2897.37</v>
      </c>
      <c r="H407" t="s">
        <v>17</v>
      </c>
      <c r="J407">
        <v>3.2</v>
      </c>
      <c r="K407">
        <v>0</v>
      </c>
      <c r="L407">
        <v>0</v>
      </c>
    </row>
    <row r="408" spans="1:12" x14ac:dyDescent="0.25">
      <c r="A408" t="s">
        <v>936</v>
      </c>
      <c r="B408" s="1">
        <v>45624.424305555556</v>
      </c>
      <c r="C408" t="s">
        <v>13</v>
      </c>
      <c r="D408" t="s">
        <v>14</v>
      </c>
      <c r="E408" t="s">
        <v>33</v>
      </c>
      <c r="F408" t="s">
        <v>21</v>
      </c>
      <c r="G408">
        <v>1123.95</v>
      </c>
      <c r="H408" t="s">
        <v>17</v>
      </c>
      <c r="J408">
        <v>1.9</v>
      </c>
      <c r="K408">
        <v>0</v>
      </c>
      <c r="L408">
        <v>0</v>
      </c>
    </row>
    <row r="409" spans="1:12" x14ac:dyDescent="0.25">
      <c r="A409" t="s">
        <v>937</v>
      </c>
      <c r="B409" s="1">
        <v>45625.263888888891</v>
      </c>
      <c r="C409" t="s">
        <v>13</v>
      </c>
      <c r="D409" t="s">
        <v>14</v>
      </c>
      <c r="E409" t="s">
        <v>28</v>
      </c>
      <c r="F409" t="s">
        <v>41</v>
      </c>
      <c r="G409">
        <v>845.3</v>
      </c>
      <c r="H409" t="s">
        <v>17</v>
      </c>
      <c r="J409">
        <v>2.9</v>
      </c>
      <c r="K409">
        <v>0</v>
      </c>
      <c r="L409">
        <v>0</v>
      </c>
    </row>
    <row r="410" spans="1:12" x14ac:dyDescent="0.25">
      <c r="A410" t="s">
        <v>938</v>
      </c>
      <c r="B410" s="1">
        <v>45625.759722222225</v>
      </c>
      <c r="C410" t="s">
        <v>13</v>
      </c>
      <c r="D410" t="s">
        <v>14</v>
      </c>
      <c r="E410" t="s">
        <v>28</v>
      </c>
      <c r="F410" t="s">
        <v>29</v>
      </c>
      <c r="G410">
        <v>2095.25</v>
      </c>
      <c r="H410" t="s">
        <v>22</v>
      </c>
      <c r="J410">
        <v>2.9</v>
      </c>
      <c r="K410">
        <v>60.76</v>
      </c>
      <c r="L410">
        <v>2034.49</v>
      </c>
    </row>
    <row r="411" spans="1:12" x14ac:dyDescent="0.25">
      <c r="A411" t="s">
        <v>939</v>
      </c>
      <c r="B411" s="1">
        <v>45625.761111111111</v>
      </c>
      <c r="C411" t="s">
        <v>47</v>
      </c>
      <c r="D411" t="s">
        <v>25</v>
      </c>
      <c r="E411" t="s">
        <v>33</v>
      </c>
      <c r="F411" t="s">
        <v>16</v>
      </c>
      <c r="G411">
        <v>2827.7</v>
      </c>
      <c r="H411" t="s">
        <v>17</v>
      </c>
      <c r="J411">
        <v>1.9</v>
      </c>
      <c r="K411">
        <v>0</v>
      </c>
      <c r="L411">
        <v>0</v>
      </c>
    </row>
    <row r="412" spans="1:12" x14ac:dyDescent="0.25">
      <c r="A412" t="s">
        <v>940</v>
      </c>
      <c r="B412" s="1">
        <v>45625.884722222225</v>
      </c>
      <c r="C412" t="s">
        <v>27</v>
      </c>
      <c r="D412" t="s">
        <v>25</v>
      </c>
      <c r="E412" t="s">
        <v>15</v>
      </c>
      <c r="F412" t="s">
        <v>41</v>
      </c>
      <c r="G412">
        <v>3997.98</v>
      </c>
      <c r="H412" t="s">
        <v>22</v>
      </c>
      <c r="J412">
        <v>2.5</v>
      </c>
      <c r="K412">
        <v>99.95</v>
      </c>
      <c r="L412">
        <v>3898.03</v>
      </c>
    </row>
    <row r="413" spans="1:12" x14ac:dyDescent="0.25">
      <c r="A413" t="s">
        <v>941</v>
      </c>
      <c r="B413" s="1">
        <v>45626.002083333333</v>
      </c>
      <c r="C413" t="s">
        <v>31</v>
      </c>
      <c r="D413" t="s">
        <v>32</v>
      </c>
      <c r="E413" t="s">
        <v>15</v>
      </c>
      <c r="F413" t="s">
        <v>16</v>
      </c>
      <c r="G413">
        <v>1907.47</v>
      </c>
      <c r="H413" t="s">
        <v>17</v>
      </c>
      <c r="J413">
        <v>2.5</v>
      </c>
      <c r="K413">
        <v>0</v>
      </c>
      <c r="L413">
        <v>0</v>
      </c>
    </row>
    <row r="414" spans="1:12" x14ac:dyDescent="0.25">
      <c r="A414" t="s">
        <v>942</v>
      </c>
      <c r="B414" s="1">
        <v>45626.459722222222</v>
      </c>
      <c r="C414" t="s">
        <v>27</v>
      </c>
      <c r="D414" t="s">
        <v>25</v>
      </c>
      <c r="E414" t="s">
        <v>28</v>
      </c>
      <c r="F414" t="s">
        <v>45</v>
      </c>
      <c r="G414">
        <v>4191.6899999999996</v>
      </c>
      <c r="H414" t="s">
        <v>22</v>
      </c>
      <c r="J414">
        <v>2.9</v>
      </c>
      <c r="K414">
        <v>121.56</v>
      </c>
      <c r="L414">
        <v>4070.13</v>
      </c>
    </row>
    <row r="415" spans="1:12" x14ac:dyDescent="0.25">
      <c r="A415" t="s">
        <v>943</v>
      </c>
      <c r="B415" s="1">
        <v>45626.463194444441</v>
      </c>
      <c r="C415" t="s">
        <v>27</v>
      </c>
      <c r="D415" t="s">
        <v>25</v>
      </c>
      <c r="E415" t="s">
        <v>33</v>
      </c>
      <c r="F415" t="s">
        <v>16</v>
      </c>
      <c r="G415">
        <v>2648.92</v>
      </c>
      <c r="H415" t="s">
        <v>22</v>
      </c>
      <c r="J415">
        <v>1.9</v>
      </c>
      <c r="K415">
        <v>50.33</v>
      </c>
      <c r="L415">
        <v>2598.59</v>
      </c>
    </row>
    <row r="416" spans="1:12" x14ac:dyDescent="0.25">
      <c r="A416" t="s">
        <v>944</v>
      </c>
      <c r="B416" s="1">
        <v>45626.645833333336</v>
      </c>
      <c r="C416" t="s">
        <v>24</v>
      </c>
      <c r="D416" t="s">
        <v>25</v>
      </c>
      <c r="E416" t="s">
        <v>39</v>
      </c>
      <c r="F416" t="s">
        <v>21</v>
      </c>
      <c r="G416">
        <v>1434.22</v>
      </c>
      <c r="H416" t="s">
        <v>22</v>
      </c>
      <c r="J416">
        <v>3.2</v>
      </c>
      <c r="K416">
        <v>45.9</v>
      </c>
      <c r="L416">
        <v>1388.32</v>
      </c>
    </row>
    <row r="417" spans="1:12" x14ac:dyDescent="0.25">
      <c r="A417" t="s">
        <v>945</v>
      </c>
      <c r="B417" s="1">
        <v>45627.09097222222</v>
      </c>
      <c r="C417" t="s">
        <v>43</v>
      </c>
      <c r="D417" t="s">
        <v>25</v>
      </c>
      <c r="E417" t="s">
        <v>15</v>
      </c>
      <c r="F417" t="s">
        <v>45</v>
      </c>
      <c r="G417">
        <v>3801.79</v>
      </c>
      <c r="H417" t="s">
        <v>34</v>
      </c>
      <c r="I417" t="s">
        <v>100</v>
      </c>
      <c r="J417">
        <v>2.5</v>
      </c>
      <c r="K417">
        <v>0</v>
      </c>
      <c r="L417">
        <v>0</v>
      </c>
    </row>
    <row r="418" spans="1:12" x14ac:dyDescent="0.25">
      <c r="A418" t="s">
        <v>946</v>
      </c>
      <c r="B418" s="1">
        <v>45627.093055555553</v>
      </c>
      <c r="C418" t="s">
        <v>37</v>
      </c>
      <c r="D418" t="s">
        <v>38</v>
      </c>
      <c r="E418" t="s">
        <v>44</v>
      </c>
      <c r="F418" t="s">
        <v>21</v>
      </c>
      <c r="G418">
        <v>2108.16</v>
      </c>
      <c r="H418" t="s">
        <v>22</v>
      </c>
      <c r="J418">
        <v>2.1</v>
      </c>
      <c r="K418">
        <v>44.27</v>
      </c>
      <c r="L418">
        <v>2063.89</v>
      </c>
    </row>
    <row r="419" spans="1:12" x14ac:dyDescent="0.25">
      <c r="A419" t="s">
        <v>947</v>
      </c>
      <c r="B419" s="1">
        <v>45627.161805555559</v>
      </c>
      <c r="C419" t="s">
        <v>43</v>
      </c>
      <c r="D419" t="s">
        <v>25</v>
      </c>
      <c r="E419" t="s">
        <v>33</v>
      </c>
      <c r="F419" t="s">
        <v>16</v>
      </c>
      <c r="G419">
        <v>4695.87</v>
      </c>
      <c r="H419" t="s">
        <v>22</v>
      </c>
      <c r="J419">
        <v>1.9</v>
      </c>
      <c r="K419">
        <v>89.22</v>
      </c>
      <c r="L419">
        <v>4606.6499999999996</v>
      </c>
    </row>
    <row r="420" spans="1:12" x14ac:dyDescent="0.25">
      <c r="A420" t="s">
        <v>948</v>
      </c>
      <c r="B420" s="1">
        <v>45627.469444444447</v>
      </c>
      <c r="C420" t="s">
        <v>31</v>
      </c>
      <c r="D420" t="s">
        <v>32</v>
      </c>
      <c r="E420" t="s">
        <v>39</v>
      </c>
      <c r="F420" t="s">
        <v>29</v>
      </c>
      <c r="G420">
        <v>268.42</v>
      </c>
      <c r="H420" t="s">
        <v>22</v>
      </c>
      <c r="J420">
        <v>3.2</v>
      </c>
      <c r="K420">
        <v>8.59</v>
      </c>
      <c r="L420">
        <v>259.83</v>
      </c>
    </row>
    <row r="421" spans="1:12" x14ac:dyDescent="0.25">
      <c r="A421" t="s">
        <v>949</v>
      </c>
      <c r="B421" s="1">
        <v>45627.645138888889</v>
      </c>
      <c r="C421" t="s">
        <v>58</v>
      </c>
      <c r="D421" t="s">
        <v>25</v>
      </c>
      <c r="E421" t="s">
        <v>33</v>
      </c>
      <c r="F421" t="s">
        <v>16</v>
      </c>
      <c r="G421">
        <v>1520.97</v>
      </c>
      <c r="H421" t="s">
        <v>17</v>
      </c>
      <c r="J421">
        <v>1.9</v>
      </c>
      <c r="K421">
        <v>0</v>
      </c>
      <c r="L421">
        <v>0</v>
      </c>
    </row>
    <row r="422" spans="1:12" x14ac:dyDescent="0.25">
      <c r="A422" t="s">
        <v>950</v>
      </c>
      <c r="B422" s="1">
        <v>45627.65</v>
      </c>
      <c r="C422" t="s">
        <v>19</v>
      </c>
      <c r="D422" t="s">
        <v>20</v>
      </c>
      <c r="E422" t="s">
        <v>15</v>
      </c>
      <c r="F422" t="s">
        <v>41</v>
      </c>
      <c r="G422">
        <v>869.28</v>
      </c>
      <c r="H422" t="s">
        <v>34</v>
      </c>
      <c r="I422" t="s">
        <v>35</v>
      </c>
      <c r="J422">
        <v>2.5</v>
      </c>
      <c r="K422">
        <v>0</v>
      </c>
      <c r="L422">
        <v>0</v>
      </c>
    </row>
    <row r="423" spans="1:12" x14ac:dyDescent="0.25">
      <c r="A423" t="s">
        <v>951</v>
      </c>
      <c r="B423" s="1">
        <v>45627.767361111109</v>
      </c>
      <c r="C423" t="s">
        <v>43</v>
      </c>
      <c r="D423" t="s">
        <v>25</v>
      </c>
      <c r="E423" t="s">
        <v>44</v>
      </c>
      <c r="F423" t="s">
        <v>45</v>
      </c>
      <c r="G423">
        <v>3854.78</v>
      </c>
      <c r="H423" t="s">
        <v>17</v>
      </c>
      <c r="J423">
        <v>2.1</v>
      </c>
      <c r="K423">
        <v>0</v>
      </c>
      <c r="L423">
        <v>0</v>
      </c>
    </row>
    <row r="424" spans="1:12" x14ac:dyDescent="0.25">
      <c r="A424" t="s">
        <v>952</v>
      </c>
      <c r="B424" s="1">
        <v>45627.916666666664</v>
      </c>
      <c r="C424" t="s">
        <v>31</v>
      </c>
      <c r="D424" t="s">
        <v>32</v>
      </c>
      <c r="E424" t="s">
        <v>15</v>
      </c>
      <c r="F424" t="s">
        <v>29</v>
      </c>
      <c r="G424">
        <v>887.67</v>
      </c>
      <c r="H424" t="s">
        <v>17</v>
      </c>
      <c r="J424">
        <v>2.5</v>
      </c>
      <c r="K424">
        <v>0</v>
      </c>
      <c r="L424">
        <v>0</v>
      </c>
    </row>
    <row r="425" spans="1:12" x14ac:dyDescent="0.25">
      <c r="A425" t="s">
        <v>953</v>
      </c>
      <c r="B425" s="1">
        <v>45628.489583333336</v>
      </c>
      <c r="C425" t="s">
        <v>43</v>
      </c>
      <c r="D425" t="s">
        <v>25</v>
      </c>
      <c r="E425" t="s">
        <v>28</v>
      </c>
      <c r="F425" t="s">
        <v>41</v>
      </c>
      <c r="G425">
        <v>3799.01</v>
      </c>
      <c r="H425" t="s">
        <v>22</v>
      </c>
      <c r="J425">
        <v>2.9</v>
      </c>
      <c r="K425">
        <v>110.17</v>
      </c>
      <c r="L425">
        <v>3688.84</v>
      </c>
    </row>
    <row r="426" spans="1:12" x14ac:dyDescent="0.25">
      <c r="A426" t="s">
        <v>954</v>
      </c>
      <c r="B426" s="1">
        <v>45629.157638888886</v>
      </c>
      <c r="C426" t="s">
        <v>24</v>
      </c>
      <c r="D426" t="s">
        <v>25</v>
      </c>
      <c r="E426" t="s">
        <v>15</v>
      </c>
      <c r="F426" t="s">
        <v>29</v>
      </c>
      <c r="G426">
        <v>510.39</v>
      </c>
      <c r="H426" t="s">
        <v>17</v>
      </c>
      <c r="J426">
        <v>2.5</v>
      </c>
      <c r="K426">
        <v>0</v>
      </c>
      <c r="L426">
        <v>0</v>
      </c>
    </row>
    <row r="427" spans="1:12" x14ac:dyDescent="0.25">
      <c r="A427" t="s">
        <v>955</v>
      </c>
      <c r="B427" s="1">
        <v>45629.511805555558</v>
      </c>
      <c r="C427" t="s">
        <v>60</v>
      </c>
      <c r="D427" t="s">
        <v>25</v>
      </c>
      <c r="E427" t="s">
        <v>33</v>
      </c>
      <c r="F427" t="s">
        <v>41</v>
      </c>
      <c r="G427">
        <v>4553.9799999999996</v>
      </c>
      <c r="H427" t="s">
        <v>34</v>
      </c>
      <c r="I427" t="s">
        <v>62</v>
      </c>
      <c r="J427">
        <v>1.9</v>
      </c>
      <c r="K427">
        <v>0</v>
      </c>
      <c r="L427">
        <v>0</v>
      </c>
    </row>
    <row r="428" spans="1:12" x14ac:dyDescent="0.25">
      <c r="A428" t="s">
        <v>956</v>
      </c>
      <c r="B428" s="1">
        <v>45629.625694444447</v>
      </c>
      <c r="C428" t="s">
        <v>60</v>
      </c>
      <c r="D428" t="s">
        <v>25</v>
      </c>
      <c r="E428" t="s">
        <v>33</v>
      </c>
      <c r="F428" t="s">
        <v>45</v>
      </c>
      <c r="G428">
        <v>2062.58</v>
      </c>
      <c r="H428" t="s">
        <v>22</v>
      </c>
      <c r="J428">
        <v>1.9</v>
      </c>
      <c r="K428">
        <v>39.19</v>
      </c>
      <c r="L428">
        <v>2023.39</v>
      </c>
    </row>
    <row r="429" spans="1:12" x14ac:dyDescent="0.25">
      <c r="A429" t="s">
        <v>957</v>
      </c>
      <c r="B429" s="1">
        <v>45629.679861111108</v>
      </c>
      <c r="C429" t="s">
        <v>43</v>
      </c>
      <c r="D429" t="s">
        <v>25</v>
      </c>
      <c r="E429" t="s">
        <v>28</v>
      </c>
      <c r="F429" t="s">
        <v>41</v>
      </c>
      <c r="G429">
        <v>4992.95</v>
      </c>
      <c r="H429" t="s">
        <v>34</v>
      </c>
      <c r="I429" t="s">
        <v>55</v>
      </c>
      <c r="J429">
        <v>2.9</v>
      </c>
      <c r="K429">
        <v>0</v>
      </c>
      <c r="L429">
        <v>0</v>
      </c>
    </row>
    <row r="430" spans="1:12" x14ac:dyDescent="0.25">
      <c r="A430" t="s">
        <v>958</v>
      </c>
      <c r="B430" s="1">
        <v>45630.005555555559</v>
      </c>
      <c r="C430" t="s">
        <v>60</v>
      </c>
      <c r="D430" t="s">
        <v>25</v>
      </c>
      <c r="E430" t="s">
        <v>39</v>
      </c>
      <c r="F430" t="s">
        <v>29</v>
      </c>
      <c r="G430">
        <v>2948.38</v>
      </c>
      <c r="H430" t="s">
        <v>22</v>
      </c>
      <c r="J430">
        <v>3.2</v>
      </c>
      <c r="K430">
        <v>94.35</v>
      </c>
      <c r="L430">
        <v>2854.03</v>
      </c>
    </row>
    <row r="431" spans="1:12" x14ac:dyDescent="0.25">
      <c r="A431" t="s">
        <v>959</v>
      </c>
      <c r="B431" s="1">
        <v>45630.263194444444</v>
      </c>
      <c r="C431" t="s">
        <v>58</v>
      </c>
      <c r="D431" t="s">
        <v>25</v>
      </c>
      <c r="E431" t="s">
        <v>28</v>
      </c>
      <c r="F431" t="s">
        <v>21</v>
      </c>
      <c r="G431">
        <v>2437.65</v>
      </c>
      <c r="H431" t="s">
        <v>34</v>
      </c>
      <c r="I431" t="s">
        <v>35</v>
      </c>
      <c r="J431">
        <v>2.9</v>
      </c>
      <c r="K431">
        <v>0</v>
      </c>
      <c r="L431">
        <v>0</v>
      </c>
    </row>
    <row r="432" spans="1:12" x14ac:dyDescent="0.25">
      <c r="A432" t="s">
        <v>960</v>
      </c>
      <c r="B432" s="1">
        <v>45630.336805555555</v>
      </c>
      <c r="C432" t="s">
        <v>13</v>
      </c>
      <c r="D432" t="s">
        <v>14</v>
      </c>
      <c r="E432" t="s">
        <v>15</v>
      </c>
      <c r="F432" t="s">
        <v>29</v>
      </c>
      <c r="G432">
        <v>1861.39</v>
      </c>
      <c r="H432" t="s">
        <v>34</v>
      </c>
      <c r="I432" t="s">
        <v>62</v>
      </c>
      <c r="J432">
        <v>2.5</v>
      </c>
      <c r="K432">
        <v>0</v>
      </c>
      <c r="L432">
        <v>0</v>
      </c>
    </row>
    <row r="433" spans="1:12" x14ac:dyDescent="0.25">
      <c r="A433" t="s">
        <v>961</v>
      </c>
      <c r="B433" s="1">
        <v>45630.388194444444</v>
      </c>
      <c r="C433" t="s">
        <v>43</v>
      </c>
      <c r="D433" t="s">
        <v>25</v>
      </c>
      <c r="E433" t="s">
        <v>33</v>
      </c>
      <c r="F433" t="s">
        <v>16</v>
      </c>
      <c r="G433">
        <v>841.56</v>
      </c>
      <c r="H433" t="s">
        <v>34</v>
      </c>
      <c r="I433" t="s">
        <v>62</v>
      </c>
      <c r="J433">
        <v>1.9</v>
      </c>
      <c r="K433">
        <v>0</v>
      </c>
      <c r="L433">
        <v>0</v>
      </c>
    </row>
    <row r="434" spans="1:12" x14ac:dyDescent="0.25">
      <c r="A434" t="s">
        <v>962</v>
      </c>
      <c r="B434" s="1">
        <v>45630.455555555556</v>
      </c>
      <c r="C434" t="s">
        <v>19</v>
      </c>
      <c r="D434" t="s">
        <v>20</v>
      </c>
      <c r="E434" t="s">
        <v>44</v>
      </c>
      <c r="F434" t="s">
        <v>45</v>
      </c>
      <c r="G434">
        <v>1889.83</v>
      </c>
      <c r="H434" t="s">
        <v>22</v>
      </c>
      <c r="J434">
        <v>2.1</v>
      </c>
      <c r="K434">
        <v>39.69</v>
      </c>
      <c r="L434">
        <v>1850.14</v>
      </c>
    </row>
    <row r="435" spans="1:12" x14ac:dyDescent="0.25">
      <c r="A435" t="s">
        <v>963</v>
      </c>
      <c r="B435" s="1">
        <v>45630.461111111108</v>
      </c>
      <c r="C435" t="s">
        <v>13</v>
      </c>
      <c r="D435" t="s">
        <v>14</v>
      </c>
      <c r="E435" t="s">
        <v>39</v>
      </c>
      <c r="F435" t="s">
        <v>41</v>
      </c>
      <c r="G435">
        <v>4249.38</v>
      </c>
      <c r="H435" t="s">
        <v>34</v>
      </c>
      <c r="I435" t="s">
        <v>78</v>
      </c>
      <c r="J435">
        <v>3.2</v>
      </c>
      <c r="K435">
        <v>0</v>
      </c>
      <c r="L435">
        <v>0</v>
      </c>
    </row>
    <row r="436" spans="1:12" x14ac:dyDescent="0.25">
      <c r="A436" t="s">
        <v>964</v>
      </c>
      <c r="B436" s="1">
        <v>45630.646527777775</v>
      </c>
      <c r="C436" t="s">
        <v>13</v>
      </c>
      <c r="D436" t="s">
        <v>14</v>
      </c>
      <c r="E436" t="s">
        <v>39</v>
      </c>
      <c r="F436" t="s">
        <v>45</v>
      </c>
      <c r="G436">
        <v>1724.64</v>
      </c>
      <c r="H436" t="s">
        <v>17</v>
      </c>
      <c r="J436">
        <v>3.2</v>
      </c>
      <c r="K436">
        <v>0</v>
      </c>
      <c r="L436">
        <v>0</v>
      </c>
    </row>
    <row r="437" spans="1:12" x14ac:dyDescent="0.25">
      <c r="A437" t="s">
        <v>965</v>
      </c>
      <c r="B437" s="1">
        <v>45631.072222222225</v>
      </c>
      <c r="C437" t="s">
        <v>24</v>
      </c>
      <c r="D437" t="s">
        <v>25</v>
      </c>
      <c r="E437" t="s">
        <v>39</v>
      </c>
      <c r="F437" t="s">
        <v>45</v>
      </c>
      <c r="G437">
        <v>1929.6</v>
      </c>
      <c r="H437" t="s">
        <v>22</v>
      </c>
      <c r="J437">
        <v>3.2</v>
      </c>
      <c r="K437">
        <v>61.75</v>
      </c>
      <c r="L437">
        <v>1867.85</v>
      </c>
    </row>
    <row r="438" spans="1:12" x14ac:dyDescent="0.25">
      <c r="A438" t="s">
        <v>966</v>
      </c>
      <c r="B438" s="1">
        <v>45631.156944444447</v>
      </c>
      <c r="C438" t="s">
        <v>47</v>
      </c>
      <c r="D438" t="s">
        <v>25</v>
      </c>
      <c r="E438" t="s">
        <v>33</v>
      </c>
      <c r="F438" t="s">
        <v>21</v>
      </c>
      <c r="G438">
        <v>3337.8</v>
      </c>
      <c r="H438" t="s">
        <v>22</v>
      </c>
      <c r="J438">
        <v>1.9</v>
      </c>
      <c r="K438">
        <v>63.42</v>
      </c>
      <c r="L438">
        <v>3274.38</v>
      </c>
    </row>
    <row r="439" spans="1:12" x14ac:dyDescent="0.25">
      <c r="A439" t="s">
        <v>967</v>
      </c>
      <c r="B439" s="1">
        <v>45631.163888888892</v>
      </c>
      <c r="C439" t="s">
        <v>27</v>
      </c>
      <c r="D439" t="s">
        <v>25</v>
      </c>
      <c r="E439" t="s">
        <v>39</v>
      </c>
      <c r="F439" t="s">
        <v>41</v>
      </c>
      <c r="G439">
        <v>4449.67</v>
      </c>
      <c r="H439" t="s">
        <v>17</v>
      </c>
      <c r="J439">
        <v>3.2</v>
      </c>
      <c r="K439">
        <v>0</v>
      </c>
      <c r="L439">
        <v>0</v>
      </c>
    </row>
    <row r="440" spans="1:12" x14ac:dyDescent="0.25">
      <c r="A440" t="s">
        <v>968</v>
      </c>
      <c r="B440" s="1">
        <v>45632.431944444441</v>
      </c>
      <c r="C440" t="s">
        <v>27</v>
      </c>
      <c r="D440" t="s">
        <v>25</v>
      </c>
      <c r="E440" t="s">
        <v>39</v>
      </c>
      <c r="F440" t="s">
        <v>16</v>
      </c>
      <c r="G440">
        <v>2703.93</v>
      </c>
      <c r="H440" t="s">
        <v>22</v>
      </c>
      <c r="J440">
        <v>3.2</v>
      </c>
      <c r="K440">
        <v>86.53</v>
      </c>
      <c r="L440">
        <v>2617.4</v>
      </c>
    </row>
    <row r="441" spans="1:12" x14ac:dyDescent="0.25">
      <c r="A441" t="s">
        <v>969</v>
      </c>
      <c r="B441" s="1">
        <v>45632.878472222219</v>
      </c>
      <c r="C441" t="s">
        <v>13</v>
      </c>
      <c r="D441" t="s">
        <v>14</v>
      </c>
      <c r="E441" t="s">
        <v>39</v>
      </c>
      <c r="F441" t="s">
        <v>41</v>
      </c>
      <c r="G441">
        <v>4767.4799999999996</v>
      </c>
      <c r="H441" t="s">
        <v>17</v>
      </c>
      <c r="J441">
        <v>3.2</v>
      </c>
      <c r="K441">
        <v>0</v>
      </c>
      <c r="L441">
        <v>0</v>
      </c>
    </row>
    <row r="442" spans="1:12" x14ac:dyDescent="0.25">
      <c r="A442" t="s">
        <v>970</v>
      </c>
      <c r="B442" s="1">
        <v>45633.630555555559</v>
      </c>
      <c r="C442" t="s">
        <v>27</v>
      </c>
      <c r="D442" t="s">
        <v>25</v>
      </c>
      <c r="E442" t="s">
        <v>44</v>
      </c>
      <c r="F442" t="s">
        <v>29</v>
      </c>
      <c r="G442">
        <v>3032.69</v>
      </c>
      <c r="H442" t="s">
        <v>22</v>
      </c>
      <c r="J442">
        <v>2.1</v>
      </c>
      <c r="K442">
        <v>63.69</v>
      </c>
      <c r="L442">
        <v>2969</v>
      </c>
    </row>
    <row r="443" spans="1:12" x14ac:dyDescent="0.25">
      <c r="A443" t="s">
        <v>971</v>
      </c>
      <c r="B443" s="1">
        <v>45634.272916666669</v>
      </c>
      <c r="C443" t="s">
        <v>37</v>
      </c>
      <c r="D443" t="s">
        <v>38</v>
      </c>
      <c r="E443" t="s">
        <v>15</v>
      </c>
      <c r="F443" t="s">
        <v>16</v>
      </c>
      <c r="G443">
        <v>4590.33</v>
      </c>
      <c r="H443" t="s">
        <v>22</v>
      </c>
      <c r="J443">
        <v>2.5</v>
      </c>
      <c r="K443">
        <v>114.76</v>
      </c>
      <c r="L443">
        <v>4475.57</v>
      </c>
    </row>
    <row r="444" spans="1:12" x14ac:dyDescent="0.25">
      <c r="A444" t="s">
        <v>972</v>
      </c>
      <c r="B444" s="1">
        <v>45634.439583333333</v>
      </c>
      <c r="C444" t="s">
        <v>13</v>
      </c>
      <c r="D444" t="s">
        <v>14</v>
      </c>
      <c r="E444" t="s">
        <v>33</v>
      </c>
      <c r="F444" t="s">
        <v>41</v>
      </c>
      <c r="G444">
        <v>2169.91</v>
      </c>
      <c r="H444" t="s">
        <v>22</v>
      </c>
      <c r="J444">
        <v>1.9</v>
      </c>
      <c r="K444">
        <v>41.23</v>
      </c>
      <c r="L444">
        <v>2128.6799999999998</v>
      </c>
    </row>
    <row r="445" spans="1:12" x14ac:dyDescent="0.25">
      <c r="A445" t="s">
        <v>973</v>
      </c>
      <c r="B445" s="1">
        <v>45635.162499999999</v>
      </c>
      <c r="C445" t="s">
        <v>27</v>
      </c>
      <c r="D445" t="s">
        <v>25</v>
      </c>
      <c r="E445" t="s">
        <v>39</v>
      </c>
      <c r="F445" t="s">
        <v>16</v>
      </c>
      <c r="G445">
        <v>3471.43</v>
      </c>
      <c r="H445" t="s">
        <v>22</v>
      </c>
      <c r="J445">
        <v>3.2</v>
      </c>
      <c r="K445">
        <v>111.09</v>
      </c>
      <c r="L445">
        <v>3360.34</v>
      </c>
    </row>
    <row r="446" spans="1:12" x14ac:dyDescent="0.25">
      <c r="A446" t="s">
        <v>974</v>
      </c>
      <c r="B446" s="1">
        <v>45635.850694444445</v>
      </c>
      <c r="C446" t="s">
        <v>37</v>
      </c>
      <c r="D446" t="s">
        <v>38</v>
      </c>
      <c r="E446" t="s">
        <v>33</v>
      </c>
      <c r="F446" t="s">
        <v>29</v>
      </c>
      <c r="G446">
        <v>4764.42</v>
      </c>
      <c r="H446" t="s">
        <v>22</v>
      </c>
      <c r="J446">
        <v>1.9</v>
      </c>
      <c r="K446">
        <v>90.52</v>
      </c>
      <c r="L446">
        <v>4673.8999999999996</v>
      </c>
    </row>
    <row r="447" spans="1:12" x14ac:dyDescent="0.25">
      <c r="A447" t="s">
        <v>975</v>
      </c>
      <c r="B447" s="1">
        <v>45635.913888888892</v>
      </c>
      <c r="C447" t="s">
        <v>31</v>
      </c>
      <c r="D447" t="s">
        <v>32</v>
      </c>
      <c r="E447" t="s">
        <v>15</v>
      </c>
      <c r="F447" t="s">
        <v>29</v>
      </c>
      <c r="G447">
        <v>1187.8499999999999</v>
      </c>
      <c r="H447" t="s">
        <v>17</v>
      </c>
      <c r="J447">
        <v>2.5</v>
      </c>
      <c r="K447">
        <v>0</v>
      </c>
      <c r="L447">
        <v>0</v>
      </c>
    </row>
    <row r="448" spans="1:12" x14ac:dyDescent="0.25">
      <c r="A448" t="s">
        <v>976</v>
      </c>
      <c r="B448" s="1">
        <v>45635.953472222223</v>
      </c>
      <c r="C448" t="s">
        <v>13</v>
      </c>
      <c r="D448" t="s">
        <v>14</v>
      </c>
      <c r="E448" t="s">
        <v>28</v>
      </c>
      <c r="F448" t="s">
        <v>16</v>
      </c>
      <c r="G448">
        <v>2547.36</v>
      </c>
      <c r="H448" t="s">
        <v>22</v>
      </c>
      <c r="J448">
        <v>2.9</v>
      </c>
      <c r="K448">
        <v>73.87</v>
      </c>
      <c r="L448">
        <v>2473.4899999999998</v>
      </c>
    </row>
    <row r="449" spans="1:12" x14ac:dyDescent="0.25">
      <c r="A449" t="s">
        <v>977</v>
      </c>
      <c r="B449" s="1">
        <v>45635.988888888889</v>
      </c>
      <c r="C449" t="s">
        <v>13</v>
      </c>
      <c r="D449" t="s">
        <v>14</v>
      </c>
      <c r="E449" t="s">
        <v>15</v>
      </c>
      <c r="F449" t="s">
        <v>45</v>
      </c>
      <c r="G449">
        <v>3713.92</v>
      </c>
      <c r="H449" t="s">
        <v>22</v>
      </c>
      <c r="J449">
        <v>2.5</v>
      </c>
      <c r="K449">
        <v>92.85</v>
      </c>
      <c r="L449">
        <v>3621.07</v>
      </c>
    </row>
    <row r="450" spans="1:12" x14ac:dyDescent="0.25">
      <c r="A450" t="s">
        <v>978</v>
      </c>
      <c r="B450" s="1">
        <v>45636.143750000003</v>
      </c>
      <c r="C450" t="s">
        <v>13</v>
      </c>
      <c r="D450" t="s">
        <v>14</v>
      </c>
      <c r="E450" t="s">
        <v>28</v>
      </c>
      <c r="F450" t="s">
        <v>41</v>
      </c>
      <c r="G450">
        <v>1980.72</v>
      </c>
      <c r="H450" t="s">
        <v>22</v>
      </c>
      <c r="J450">
        <v>2.9</v>
      </c>
      <c r="K450">
        <v>57.44</v>
      </c>
      <c r="L450">
        <v>1923.28</v>
      </c>
    </row>
    <row r="451" spans="1:12" x14ac:dyDescent="0.25">
      <c r="A451" t="s">
        <v>979</v>
      </c>
      <c r="B451" s="1">
        <v>45636.197916666664</v>
      </c>
      <c r="C451" t="s">
        <v>27</v>
      </c>
      <c r="D451" t="s">
        <v>25</v>
      </c>
      <c r="E451" t="s">
        <v>33</v>
      </c>
      <c r="F451" t="s">
        <v>45</v>
      </c>
      <c r="G451">
        <v>3474.62</v>
      </c>
      <c r="H451" t="s">
        <v>22</v>
      </c>
      <c r="J451">
        <v>1.9</v>
      </c>
      <c r="K451">
        <v>66.02</v>
      </c>
      <c r="L451">
        <v>3408.6</v>
      </c>
    </row>
    <row r="452" spans="1:12" x14ac:dyDescent="0.25">
      <c r="A452" t="s">
        <v>980</v>
      </c>
      <c r="B452" s="1">
        <v>45636.865972222222</v>
      </c>
      <c r="C452" t="s">
        <v>37</v>
      </c>
      <c r="D452" t="s">
        <v>38</v>
      </c>
      <c r="E452" t="s">
        <v>15</v>
      </c>
      <c r="F452" t="s">
        <v>29</v>
      </c>
      <c r="G452">
        <v>3112.99</v>
      </c>
      <c r="H452" t="s">
        <v>22</v>
      </c>
      <c r="J452">
        <v>2.5</v>
      </c>
      <c r="K452">
        <v>77.819999999999993</v>
      </c>
      <c r="L452">
        <v>3035.17</v>
      </c>
    </row>
    <row r="453" spans="1:12" x14ac:dyDescent="0.25">
      <c r="A453" t="s">
        <v>981</v>
      </c>
      <c r="B453" s="1">
        <v>45636.975694444445</v>
      </c>
      <c r="C453" t="s">
        <v>43</v>
      </c>
      <c r="D453" t="s">
        <v>25</v>
      </c>
      <c r="E453" t="s">
        <v>33</v>
      </c>
      <c r="F453" t="s">
        <v>45</v>
      </c>
      <c r="G453">
        <v>2528.6</v>
      </c>
      <c r="H453" t="s">
        <v>22</v>
      </c>
      <c r="J453">
        <v>1.9</v>
      </c>
      <c r="K453">
        <v>48.04</v>
      </c>
      <c r="L453">
        <v>2480.56</v>
      </c>
    </row>
    <row r="454" spans="1:12" x14ac:dyDescent="0.25">
      <c r="A454" t="s">
        <v>982</v>
      </c>
      <c r="B454" s="1">
        <v>45636.988194444442</v>
      </c>
      <c r="C454" t="s">
        <v>47</v>
      </c>
      <c r="D454" t="s">
        <v>25</v>
      </c>
      <c r="E454" t="s">
        <v>33</v>
      </c>
      <c r="F454" t="s">
        <v>16</v>
      </c>
      <c r="G454">
        <v>4113.8599999999997</v>
      </c>
      <c r="H454" t="s">
        <v>22</v>
      </c>
      <c r="J454">
        <v>1.9</v>
      </c>
      <c r="K454">
        <v>78.16</v>
      </c>
      <c r="L454">
        <v>4035.7</v>
      </c>
    </row>
    <row r="455" spans="1:12" x14ac:dyDescent="0.25">
      <c r="A455" t="s">
        <v>983</v>
      </c>
      <c r="B455" s="1">
        <v>45637.057638888888</v>
      </c>
      <c r="C455" t="s">
        <v>24</v>
      </c>
      <c r="D455" t="s">
        <v>25</v>
      </c>
      <c r="E455" t="s">
        <v>28</v>
      </c>
      <c r="F455" t="s">
        <v>29</v>
      </c>
      <c r="G455">
        <v>443.35</v>
      </c>
      <c r="H455" t="s">
        <v>22</v>
      </c>
      <c r="J455">
        <v>2.9</v>
      </c>
      <c r="K455">
        <v>12.86</v>
      </c>
      <c r="L455">
        <v>430.49</v>
      </c>
    </row>
    <row r="456" spans="1:12" x14ac:dyDescent="0.25">
      <c r="A456" t="s">
        <v>984</v>
      </c>
      <c r="B456" s="1">
        <v>45637.3125</v>
      </c>
      <c r="C456" t="s">
        <v>60</v>
      </c>
      <c r="D456" t="s">
        <v>25</v>
      </c>
      <c r="E456" t="s">
        <v>33</v>
      </c>
      <c r="F456" t="s">
        <v>45</v>
      </c>
      <c r="G456">
        <v>1646.75</v>
      </c>
      <c r="H456" t="s">
        <v>17</v>
      </c>
      <c r="J456">
        <v>1.9</v>
      </c>
      <c r="K456">
        <v>0</v>
      </c>
      <c r="L456">
        <v>0</v>
      </c>
    </row>
    <row r="457" spans="1:12" x14ac:dyDescent="0.25">
      <c r="A457" t="s">
        <v>985</v>
      </c>
      <c r="B457" s="1">
        <v>45637.645833333336</v>
      </c>
      <c r="C457" t="s">
        <v>24</v>
      </c>
      <c r="D457" t="s">
        <v>25</v>
      </c>
      <c r="E457" t="s">
        <v>33</v>
      </c>
      <c r="F457" t="s">
        <v>29</v>
      </c>
      <c r="G457">
        <v>3239.82</v>
      </c>
      <c r="H457" t="s">
        <v>34</v>
      </c>
      <c r="I457" t="s">
        <v>78</v>
      </c>
      <c r="J457">
        <v>1.9</v>
      </c>
      <c r="K457">
        <v>0</v>
      </c>
      <c r="L457">
        <v>0</v>
      </c>
    </row>
    <row r="458" spans="1:12" x14ac:dyDescent="0.25">
      <c r="A458" t="s">
        <v>986</v>
      </c>
      <c r="B458" s="1">
        <v>45638.521527777775</v>
      </c>
      <c r="C458" t="s">
        <v>27</v>
      </c>
      <c r="D458" t="s">
        <v>25</v>
      </c>
      <c r="E458" t="s">
        <v>33</v>
      </c>
      <c r="F458" t="s">
        <v>21</v>
      </c>
      <c r="G458">
        <v>3142.79</v>
      </c>
      <c r="H458" t="s">
        <v>34</v>
      </c>
      <c r="I458" t="s">
        <v>55</v>
      </c>
      <c r="J458">
        <v>1.9</v>
      </c>
      <c r="K458">
        <v>0</v>
      </c>
      <c r="L458">
        <v>0</v>
      </c>
    </row>
    <row r="459" spans="1:12" x14ac:dyDescent="0.25">
      <c r="A459" t="s">
        <v>987</v>
      </c>
      <c r="B459" s="1">
        <v>45638.684027777781</v>
      </c>
      <c r="C459" t="s">
        <v>19</v>
      </c>
      <c r="D459" t="s">
        <v>20</v>
      </c>
      <c r="E459" t="s">
        <v>33</v>
      </c>
      <c r="F459" t="s">
        <v>45</v>
      </c>
      <c r="G459">
        <v>3896.34</v>
      </c>
      <c r="H459" t="s">
        <v>22</v>
      </c>
      <c r="J459">
        <v>1.9</v>
      </c>
      <c r="K459">
        <v>74.03</v>
      </c>
      <c r="L459">
        <v>3822.31</v>
      </c>
    </row>
    <row r="460" spans="1:12" x14ac:dyDescent="0.25">
      <c r="A460" t="s">
        <v>988</v>
      </c>
      <c r="B460" s="1">
        <v>45638.722916666666</v>
      </c>
      <c r="C460" t="s">
        <v>58</v>
      </c>
      <c r="D460" t="s">
        <v>25</v>
      </c>
      <c r="E460" t="s">
        <v>44</v>
      </c>
      <c r="F460" t="s">
        <v>41</v>
      </c>
      <c r="G460">
        <v>2508.96</v>
      </c>
      <c r="H460" t="s">
        <v>22</v>
      </c>
      <c r="J460">
        <v>2.1</v>
      </c>
      <c r="K460">
        <v>52.69</v>
      </c>
      <c r="L460">
        <v>2456.27</v>
      </c>
    </row>
    <row r="461" spans="1:12" x14ac:dyDescent="0.25">
      <c r="A461" t="s">
        <v>989</v>
      </c>
      <c r="B461" s="1">
        <v>45638.896527777775</v>
      </c>
      <c r="C461" t="s">
        <v>19</v>
      </c>
      <c r="D461" t="s">
        <v>20</v>
      </c>
      <c r="E461" t="s">
        <v>28</v>
      </c>
      <c r="F461" t="s">
        <v>45</v>
      </c>
      <c r="G461">
        <v>4790.3900000000003</v>
      </c>
      <c r="H461" t="s">
        <v>34</v>
      </c>
      <c r="I461" t="s">
        <v>62</v>
      </c>
      <c r="J461">
        <v>2.9</v>
      </c>
      <c r="K461">
        <v>0</v>
      </c>
      <c r="L461">
        <v>0</v>
      </c>
    </row>
    <row r="462" spans="1:12" x14ac:dyDescent="0.25">
      <c r="A462" t="s">
        <v>990</v>
      </c>
      <c r="B462" s="1">
        <v>45638.924305555556</v>
      </c>
      <c r="C462" t="s">
        <v>37</v>
      </c>
      <c r="D462" t="s">
        <v>38</v>
      </c>
      <c r="E462" t="s">
        <v>33</v>
      </c>
      <c r="F462" t="s">
        <v>41</v>
      </c>
      <c r="G462">
        <v>3367.28</v>
      </c>
      <c r="H462" t="s">
        <v>22</v>
      </c>
      <c r="J462">
        <v>1.9</v>
      </c>
      <c r="K462">
        <v>63.98</v>
      </c>
      <c r="L462">
        <v>3303.3</v>
      </c>
    </row>
    <row r="463" spans="1:12" x14ac:dyDescent="0.25">
      <c r="A463" t="s">
        <v>991</v>
      </c>
      <c r="B463" s="1">
        <v>45639.713194444441</v>
      </c>
      <c r="C463" t="s">
        <v>47</v>
      </c>
      <c r="D463" t="s">
        <v>25</v>
      </c>
      <c r="E463" t="s">
        <v>28</v>
      </c>
      <c r="F463" t="s">
        <v>16</v>
      </c>
      <c r="G463">
        <v>3091.43</v>
      </c>
      <c r="H463" t="s">
        <v>22</v>
      </c>
      <c r="J463">
        <v>2.9</v>
      </c>
      <c r="K463">
        <v>89.65</v>
      </c>
      <c r="L463">
        <v>3001.78</v>
      </c>
    </row>
    <row r="464" spans="1:12" x14ac:dyDescent="0.25">
      <c r="A464" t="s">
        <v>992</v>
      </c>
      <c r="B464" s="1">
        <v>45639.900694444441</v>
      </c>
      <c r="C464" t="s">
        <v>43</v>
      </c>
      <c r="D464" t="s">
        <v>25</v>
      </c>
      <c r="E464" t="s">
        <v>33</v>
      </c>
      <c r="F464" t="s">
        <v>21</v>
      </c>
      <c r="G464">
        <v>236.63</v>
      </c>
      <c r="H464" t="s">
        <v>34</v>
      </c>
      <c r="I464" t="s">
        <v>100</v>
      </c>
      <c r="J464">
        <v>1.9</v>
      </c>
      <c r="K464">
        <v>0</v>
      </c>
      <c r="L464">
        <v>0</v>
      </c>
    </row>
    <row r="465" spans="1:12" x14ac:dyDescent="0.25">
      <c r="A465" t="s">
        <v>993</v>
      </c>
      <c r="B465" s="1">
        <v>45640.293055555558</v>
      </c>
      <c r="C465" t="s">
        <v>19</v>
      </c>
      <c r="D465" t="s">
        <v>20</v>
      </c>
      <c r="E465" t="s">
        <v>28</v>
      </c>
      <c r="F465" t="s">
        <v>29</v>
      </c>
      <c r="G465">
        <v>104.5</v>
      </c>
      <c r="H465" t="s">
        <v>22</v>
      </c>
      <c r="J465">
        <v>2.9</v>
      </c>
      <c r="K465">
        <v>3.03</v>
      </c>
      <c r="L465">
        <v>101.47</v>
      </c>
    </row>
    <row r="466" spans="1:12" x14ac:dyDescent="0.25">
      <c r="A466" t="s">
        <v>994</v>
      </c>
      <c r="B466" s="1">
        <v>45640.533333333333</v>
      </c>
      <c r="C466" t="s">
        <v>24</v>
      </c>
      <c r="D466" t="s">
        <v>25</v>
      </c>
      <c r="E466" t="s">
        <v>15</v>
      </c>
      <c r="F466" t="s">
        <v>45</v>
      </c>
      <c r="G466">
        <v>3921.1</v>
      </c>
      <c r="H466" t="s">
        <v>34</v>
      </c>
      <c r="I466" t="s">
        <v>35</v>
      </c>
      <c r="J466">
        <v>2.5</v>
      </c>
      <c r="K466">
        <v>0</v>
      </c>
      <c r="L466">
        <v>0</v>
      </c>
    </row>
    <row r="467" spans="1:12" x14ac:dyDescent="0.25">
      <c r="A467" t="s">
        <v>995</v>
      </c>
      <c r="B467" s="1">
        <v>45640.963194444441</v>
      </c>
      <c r="C467" t="s">
        <v>13</v>
      </c>
      <c r="D467" t="s">
        <v>14</v>
      </c>
      <c r="E467" t="s">
        <v>39</v>
      </c>
      <c r="F467" t="s">
        <v>21</v>
      </c>
      <c r="G467">
        <v>566.65</v>
      </c>
      <c r="H467" t="s">
        <v>34</v>
      </c>
      <c r="I467" t="s">
        <v>35</v>
      </c>
      <c r="J467">
        <v>3.2</v>
      </c>
      <c r="K467">
        <v>0</v>
      </c>
      <c r="L467">
        <v>0</v>
      </c>
    </row>
    <row r="468" spans="1:12" x14ac:dyDescent="0.25">
      <c r="A468" t="s">
        <v>996</v>
      </c>
      <c r="B468" s="1">
        <v>45641.271527777775</v>
      </c>
      <c r="C468" t="s">
        <v>24</v>
      </c>
      <c r="D468" t="s">
        <v>25</v>
      </c>
      <c r="E468" t="s">
        <v>44</v>
      </c>
      <c r="F468" t="s">
        <v>29</v>
      </c>
      <c r="G468">
        <v>4364.99</v>
      </c>
      <c r="H468" t="s">
        <v>22</v>
      </c>
      <c r="J468">
        <v>2.1</v>
      </c>
      <c r="K468">
        <v>91.66</v>
      </c>
      <c r="L468">
        <v>4273.33</v>
      </c>
    </row>
    <row r="469" spans="1:12" x14ac:dyDescent="0.25">
      <c r="A469" t="s">
        <v>997</v>
      </c>
      <c r="B469" s="1">
        <v>45641.313194444447</v>
      </c>
      <c r="C469" t="s">
        <v>19</v>
      </c>
      <c r="D469" t="s">
        <v>20</v>
      </c>
      <c r="E469" t="s">
        <v>44</v>
      </c>
      <c r="F469" t="s">
        <v>29</v>
      </c>
      <c r="G469">
        <v>2311.14</v>
      </c>
      <c r="H469" t="s">
        <v>22</v>
      </c>
      <c r="J469">
        <v>2.1</v>
      </c>
      <c r="K469">
        <v>48.53</v>
      </c>
      <c r="L469">
        <v>2262.61</v>
      </c>
    </row>
    <row r="470" spans="1:12" x14ac:dyDescent="0.25">
      <c r="A470" t="s">
        <v>998</v>
      </c>
      <c r="B470" s="1">
        <v>45641.55</v>
      </c>
      <c r="C470" t="s">
        <v>27</v>
      </c>
      <c r="D470" t="s">
        <v>25</v>
      </c>
      <c r="E470" t="s">
        <v>33</v>
      </c>
      <c r="F470" t="s">
        <v>21</v>
      </c>
      <c r="G470">
        <v>1605.55</v>
      </c>
      <c r="H470" t="s">
        <v>22</v>
      </c>
      <c r="J470">
        <v>1.9</v>
      </c>
      <c r="K470">
        <v>30.51</v>
      </c>
      <c r="L470">
        <v>1575.04</v>
      </c>
    </row>
    <row r="471" spans="1:12" x14ac:dyDescent="0.25">
      <c r="A471" t="s">
        <v>999</v>
      </c>
      <c r="B471" s="1">
        <v>45642.11041666667</v>
      </c>
      <c r="C471" t="s">
        <v>37</v>
      </c>
      <c r="D471" t="s">
        <v>38</v>
      </c>
      <c r="E471" t="s">
        <v>28</v>
      </c>
      <c r="F471" t="s">
        <v>45</v>
      </c>
      <c r="G471">
        <v>4727.16</v>
      </c>
      <c r="H471" t="s">
        <v>22</v>
      </c>
      <c r="J471">
        <v>2.9</v>
      </c>
      <c r="K471">
        <v>137.09</v>
      </c>
      <c r="L471">
        <v>4590.07</v>
      </c>
    </row>
    <row r="472" spans="1:12" x14ac:dyDescent="0.25">
      <c r="A472" t="s">
        <v>1000</v>
      </c>
      <c r="B472" s="1">
        <v>45642.464583333334</v>
      </c>
      <c r="C472" t="s">
        <v>31</v>
      </c>
      <c r="D472" t="s">
        <v>32</v>
      </c>
      <c r="E472" t="s">
        <v>28</v>
      </c>
      <c r="F472" t="s">
        <v>41</v>
      </c>
      <c r="G472">
        <v>1222.81</v>
      </c>
      <c r="H472" t="s">
        <v>17</v>
      </c>
      <c r="J472">
        <v>2.9</v>
      </c>
      <c r="K472">
        <v>0</v>
      </c>
      <c r="L472">
        <v>0</v>
      </c>
    </row>
    <row r="473" spans="1:12" x14ac:dyDescent="0.25">
      <c r="A473" t="s">
        <v>1001</v>
      </c>
      <c r="B473" s="1">
        <v>45642.646527777775</v>
      </c>
      <c r="C473" t="s">
        <v>27</v>
      </c>
      <c r="D473" t="s">
        <v>25</v>
      </c>
      <c r="E473" t="s">
        <v>44</v>
      </c>
      <c r="F473" t="s">
        <v>41</v>
      </c>
      <c r="G473">
        <v>279.60000000000002</v>
      </c>
      <c r="H473" t="s">
        <v>22</v>
      </c>
      <c r="J473">
        <v>2.1</v>
      </c>
      <c r="K473">
        <v>5.87</v>
      </c>
      <c r="L473">
        <v>273.73</v>
      </c>
    </row>
    <row r="474" spans="1:12" x14ac:dyDescent="0.25">
      <c r="A474" t="s">
        <v>1002</v>
      </c>
      <c r="B474" s="1">
        <v>45642.73333333333</v>
      </c>
      <c r="C474" t="s">
        <v>43</v>
      </c>
      <c r="D474" t="s">
        <v>25</v>
      </c>
      <c r="E474" t="s">
        <v>15</v>
      </c>
      <c r="F474" t="s">
        <v>45</v>
      </c>
      <c r="G474">
        <v>4273.21</v>
      </c>
      <c r="H474" t="s">
        <v>17</v>
      </c>
      <c r="J474">
        <v>2.5</v>
      </c>
      <c r="K474">
        <v>0</v>
      </c>
      <c r="L474">
        <v>0</v>
      </c>
    </row>
    <row r="475" spans="1:12" x14ac:dyDescent="0.25">
      <c r="A475" t="s">
        <v>1003</v>
      </c>
      <c r="B475" s="1">
        <v>45642.997916666667</v>
      </c>
      <c r="C475" t="s">
        <v>27</v>
      </c>
      <c r="D475" t="s">
        <v>25</v>
      </c>
      <c r="E475" t="s">
        <v>15</v>
      </c>
      <c r="F475" t="s">
        <v>16</v>
      </c>
      <c r="G475">
        <v>573.55999999999995</v>
      </c>
      <c r="H475" t="s">
        <v>34</v>
      </c>
      <c r="I475" t="s">
        <v>55</v>
      </c>
      <c r="J475">
        <v>2.5</v>
      </c>
      <c r="K475">
        <v>0</v>
      </c>
      <c r="L475">
        <v>0</v>
      </c>
    </row>
    <row r="476" spans="1:12" x14ac:dyDescent="0.25">
      <c r="A476" t="s">
        <v>1004</v>
      </c>
      <c r="B476" s="1">
        <v>45643.146527777775</v>
      </c>
      <c r="C476" t="s">
        <v>43</v>
      </c>
      <c r="D476" t="s">
        <v>25</v>
      </c>
      <c r="E476" t="s">
        <v>28</v>
      </c>
      <c r="F476" t="s">
        <v>41</v>
      </c>
      <c r="G476">
        <v>1617.34</v>
      </c>
      <c r="H476" t="s">
        <v>22</v>
      </c>
      <c r="J476">
        <v>2.9</v>
      </c>
      <c r="K476">
        <v>46.9</v>
      </c>
      <c r="L476">
        <v>1570.44</v>
      </c>
    </row>
    <row r="477" spans="1:12" x14ac:dyDescent="0.25">
      <c r="A477" t="s">
        <v>1005</v>
      </c>
      <c r="B477" s="1">
        <v>45643.167361111111</v>
      </c>
      <c r="C477" t="s">
        <v>43</v>
      </c>
      <c r="D477" t="s">
        <v>25</v>
      </c>
      <c r="E477" t="s">
        <v>39</v>
      </c>
      <c r="F477" t="s">
        <v>41</v>
      </c>
      <c r="G477">
        <v>446.73</v>
      </c>
      <c r="H477" t="s">
        <v>22</v>
      </c>
      <c r="J477">
        <v>3.2</v>
      </c>
      <c r="K477">
        <v>14.3</v>
      </c>
      <c r="L477">
        <v>432.43</v>
      </c>
    </row>
    <row r="478" spans="1:12" x14ac:dyDescent="0.25">
      <c r="A478" t="s">
        <v>1006</v>
      </c>
      <c r="B478" s="1">
        <v>45643.28125</v>
      </c>
      <c r="C478" t="s">
        <v>58</v>
      </c>
      <c r="D478" t="s">
        <v>25</v>
      </c>
      <c r="E478" t="s">
        <v>15</v>
      </c>
      <c r="F478" t="s">
        <v>45</v>
      </c>
      <c r="G478">
        <v>1288.57</v>
      </c>
      <c r="H478" t="s">
        <v>22</v>
      </c>
      <c r="J478">
        <v>2.5</v>
      </c>
      <c r="K478">
        <v>32.21</v>
      </c>
      <c r="L478">
        <v>1256.3599999999999</v>
      </c>
    </row>
    <row r="479" spans="1:12" x14ac:dyDescent="0.25">
      <c r="A479" t="s">
        <v>1007</v>
      </c>
      <c r="B479" s="1">
        <v>45643.736111111109</v>
      </c>
      <c r="C479" t="s">
        <v>43</v>
      </c>
      <c r="D479" t="s">
        <v>25</v>
      </c>
      <c r="E479" t="s">
        <v>39</v>
      </c>
      <c r="F479" t="s">
        <v>45</v>
      </c>
      <c r="G479">
        <v>1507.97</v>
      </c>
      <c r="H479" t="s">
        <v>22</v>
      </c>
      <c r="J479">
        <v>3.2</v>
      </c>
      <c r="K479">
        <v>48.26</v>
      </c>
      <c r="L479">
        <v>1459.71</v>
      </c>
    </row>
    <row r="480" spans="1:12" x14ac:dyDescent="0.25">
      <c r="A480" t="s">
        <v>1008</v>
      </c>
      <c r="B480" s="1">
        <v>45643.829861111109</v>
      </c>
      <c r="C480" t="s">
        <v>31</v>
      </c>
      <c r="D480" t="s">
        <v>32</v>
      </c>
      <c r="E480" t="s">
        <v>39</v>
      </c>
      <c r="F480" t="s">
        <v>16</v>
      </c>
      <c r="G480">
        <v>4447.04</v>
      </c>
      <c r="H480" t="s">
        <v>22</v>
      </c>
      <c r="J480">
        <v>3.2</v>
      </c>
      <c r="K480">
        <v>142.31</v>
      </c>
      <c r="L480">
        <v>4304.7299999999996</v>
      </c>
    </row>
    <row r="481" spans="1:12" x14ac:dyDescent="0.25">
      <c r="A481" t="s">
        <v>1009</v>
      </c>
      <c r="B481" s="1">
        <v>45645.037499999999</v>
      </c>
      <c r="C481" t="s">
        <v>47</v>
      </c>
      <c r="D481" t="s">
        <v>25</v>
      </c>
      <c r="E481" t="s">
        <v>44</v>
      </c>
      <c r="F481" t="s">
        <v>45</v>
      </c>
      <c r="G481">
        <v>3038.57</v>
      </c>
      <c r="H481" t="s">
        <v>22</v>
      </c>
      <c r="J481">
        <v>2.1</v>
      </c>
      <c r="K481">
        <v>63.81</v>
      </c>
      <c r="L481">
        <v>2974.76</v>
      </c>
    </row>
    <row r="482" spans="1:12" x14ac:dyDescent="0.25">
      <c r="A482" t="s">
        <v>1010</v>
      </c>
      <c r="B482" s="1">
        <v>45645.439583333333</v>
      </c>
      <c r="C482" t="s">
        <v>60</v>
      </c>
      <c r="D482" t="s">
        <v>25</v>
      </c>
      <c r="E482" t="s">
        <v>39</v>
      </c>
      <c r="F482" t="s">
        <v>16</v>
      </c>
      <c r="G482">
        <v>3766.91</v>
      </c>
      <c r="H482" t="s">
        <v>17</v>
      </c>
      <c r="J482">
        <v>3.2</v>
      </c>
      <c r="K482">
        <v>0</v>
      </c>
      <c r="L482">
        <v>0</v>
      </c>
    </row>
    <row r="483" spans="1:12" x14ac:dyDescent="0.25">
      <c r="A483" t="s">
        <v>1011</v>
      </c>
      <c r="B483" s="1">
        <v>45645.467361111114</v>
      </c>
      <c r="C483" t="s">
        <v>43</v>
      </c>
      <c r="D483" t="s">
        <v>25</v>
      </c>
      <c r="E483" t="s">
        <v>15</v>
      </c>
      <c r="F483" t="s">
        <v>29</v>
      </c>
      <c r="G483">
        <v>4278.7</v>
      </c>
      <c r="H483" t="s">
        <v>22</v>
      </c>
      <c r="J483">
        <v>2.5</v>
      </c>
      <c r="K483">
        <v>106.97</v>
      </c>
      <c r="L483">
        <v>4171.7299999999996</v>
      </c>
    </row>
    <row r="484" spans="1:12" x14ac:dyDescent="0.25">
      <c r="A484" t="s">
        <v>1012</v>
      </c>
      <c r="B484" s="1">
        <v>45645.706250000003</v>
      </c>
      <c r="C484" t="s">
        <v>27</v>
      </c>
      <c r="D484" t="s">
        <v>25</v>
      </c>
      <c r="E484" t="s">
        <v>15</v>
      </c>
      <c r="F484" t="s">
        <v>16</v>
      </c>
      <c r="G484">
        <v>461.3</v>
      </c>
      <c r="H484" t="s">
        <v>17</v>
      </c>
      <c r="J484">
        <v>2.5</v>
      </c>
      <c r="K484">
        <v>0</v>
      </c>
      <c r="L484">
        <v>0</v>
      </c>
    </row>
    <row r="485" spans="1:12" x14ac:dyDescent="0.25">
      <c r="A485" t="s">
        <v>1013</v>
      </c>
      <c r="B485" s="1">
        <v>45645.905555555553</v>
      </c>
      <c r="C485" t="s">
        <v>58</v>
      </c>
      <c r="D485" t="s">
        <v>25</v>
      </c>
      <c r="E485" t="s">
        <v>39</v>
      </c>
      <c r="F485" t="s">
        <v>41</v>
      </c>
      <c r="G485">
        <v>634.20000000000005</v>
      </c>
      <c r="H485" t="s">
        <v>22</v>
      </c>
      <c r="J485">
        <v>3.2</v>
      </c>
      <c r="K485">
        <v>20.29</v>
      </c>
      <c r="L485">
        <v>613.91</v>
      </c>
    </row>
    <row r="486" spans="1:12" x14ac:dyDescent="0.25">
      <c r="A486" t="s">
        <v>1014</v>
      </c>
      <c r="B486" s="1">
        <v>45646.82708333333</v>
      </c>
      <c r="C486" t="s">
        <v>27</v>
      </c>
      <c r="D486" t="s">
        <v>25</v>
      </c>
      <c r="E486" t="s">
        <v>15</v>
      </c>
      <c r="F486" t="s">
        <v>41</v>
      </c>
      <c r="G486">
        <v>2060.1799999999998</v>
      </c>
      <c r="H486" t="s">
        <v>22</v>
      </c>
      <c r="J486">
        <v>2.5</v>
      </c>
      <c r="K486">
        <v>51.5</v>
      </c>
      <c r="L486">
        <v>2008.68</v>
      </c>
    </row>
    <row r="487" spans="1:12" x14ac:dyDescent="0.25">
      <c r="A487" t="s">
        <v>1015</v>
      </c>
      <c r="B487" s="1">
        <v>45647.347916666666</v>
      </c>
      <c r="C487" t="s">
        <v>13</v>
      </c>
      <c r="D487" t="s">
        <v>14</v>
      </c>
      <c r="E487" t="s">
        <v>15</v>
      </c>
      <c r="F487" t="s">
        <v>45</v>
      </c>
      <c r="G487">
        <v>1057.1300000000001</v>
      </c>
      <c r="H487" t="s">
        <v>22</v>
      </c>
      <c r="J487">
        <v>2.5</v>
      </c>
      <c r="K487">
        <v>26.43</v>
      </c>
      <c r="L487">
        <v>1030.7</v>
      </c>
    </row>
    <row r="488" spans="1:12" x14ac:dyDescent="0.25">
      <c r="A488" t="s">
        <v>1016</v>
      </c>
      <c r="B488" s="1">
        <v>45647.756249999999</v>
      </c>
      <c r="C488" t="s">
        <v>19</v>
      </c>
      <c r="D488" t="s">
        <v>20</v>
      </c>
      <c r="E488" t="s">
        <v>33</v>
      </c>
      <c r="F488" t="s">
        <v>21</v>
      </c>
      <c r="G488">
        <v>4040.42</v>
      </c>
      <c r="H488" t="s">
        <v>34</v>
      </c>
      <c r="I488" t="s">
        <v>35</v>
      </c>
      <c r="J488">
        <v>1.9</v>
      </c>
      <c r="K488">
        <v>0</v>
      </c>
      <c r="L488">
        <v>0</v>
      </c>
    </row>
    <row r="489" spans="1:12" x14ac:dyDescent="0.25">
      <c r="A489" t="s">
        <v>1017</v>
      </c>
      <c r="B489" s="1">
        <v>45647.945833333331</v>
      </c>
      <c r="C489" t="s">
        <v>60</v>
      </c>
      <c r="D489" t="s">
        <v>25</v>
      </c>
      <c r="E489" t="s">
        <v>15</v>
      </c>
      <c r="F489" t="s">
        <v>45</v>
      </c>
      <c r="G489">
        <v>4531.1400000000003</v>
      </c>
      <c r="H489" t="s">
        <v>17</v>
      </c>
      <c r="J489">
        <v>2.5</v>
      </c>
      <c r="K489">
        <v>0</v>
      </c>
      <c r="L489">
        <v>0</v>
      </c>
    </row>
    <row r="490" spans="1:12" x14ac:dyDescent="0.25">
      <c r="A490" t="s">
        <v>1018</v>
      </c>
      <c r="B490" s="1">
        <v>45648.2</v>
      </c>
      <c r="C490" t="s">
        <v>43</v>
      </c>
      <c r="D490" t="s">
        <v>25</v>
      </c>
      <c r="E490" t="s">
        <v>15</v>
      </c>
      <c r="F490" t="s">
        <v>45</v>
      </c>
      <c r="G490">
        <v>36.200000000000003</v>
      </c>
      <c r="H490" t="s">
        <v>22</v>
      </c>
      <c r="J490">
        <v>2.5</v>
      </c>
      <c r="K490">
        <v>0.91</v>
      </c>
      <c r="L490">
        <v>35.29</v>
      </c>
    </row>
    <row r="491" spans="1:12" x14ac:dyDescent="0.25">
      <c r="A491" t="s">
        <v>1019</v>
      </c>
      <c r="B491" s="1">
        <v>45648.399305555555</v>
      </c>
      <c r="C491" t="s">
        <v>27</v>
      </c>
      <c r="D491" t="s">
        <v>25</v>
      </c>
      <c r="E491" t="s">
        <v>44</v>
      </c>
      <c r="F491" t="s">
        <v>16</v>
      </c>
      <c r="G491">
        <v>3328</v>
      </c>
      <c r="H491" t="s">
        <v>34</v>
      </c>
      <c r="I491" t="s">
        <v>35</v>
      </c>
      <c r="J491">
        <v>2.1</v>
      </c>
      <c r="K491">
        <v>0</v>
      </c>
      <c r="L491">
        <v>0</v>
      </c>
    </row>
    <row r="492" spans="1:12" x14ac:dyDescent="0.25">
      <c r="A492" t="s">
        <v>1020</v>
      </c>
      <c r="B492" s="1">
        <v>45648.412499999999</v>
      </c>
      <c r="C492" t="s">
        <v>19</v>
      </c>
      <c r="D492" t="s">
        <v>20</v>
      </c>
      <c r="E492" t="s">
        <v>28</v>
      </c>
      <c r="F492" t="s">
        <v>45</v>
      </c>
      <c r="G492">
        <v>3915.35</v>
      </c>
      <c r="H492" t="s">
        <v>22</v>
      </c>
      <c r="J492">
        <v>2.9</v>
      </c>
      <c r="K492">
        <v>113.55</v>
      </c>
      <c r="L492">
        <v>3801.8</v>
      </c>
    </row>
    <row r="493" spans="1:12" x14ac:dyDescent="0.25">
      <c r="A493" t="s">
        <v>1021</v>
      </c>
      <c r="B493" s="1">
        <v>45648.832638888889</v>
      </c>
      <c r="C493" t="s">
        <v>58</v>
      </c>
      <c r="D493" t="s">
        <v>25</v>
      </c>
      <c r="E493" t="s">
        <v>33</v>
      </c>
      <c r="F493" t="s">
        <v>29</v>
      </c>
      <c r="G493">
        <v>2277.4299999999998</v>
      </c>
      <c r="H493" t="s">
        <v>34</v>
      </c>
      <c r="I493" t="s">
        <v>100</v>
      </c>
      <c r="J493">
        <v>1.9</v>
      </c>
      <c r="K493">
        <v>0</v>
      </c>
      <c r="L493">
        <v>0</v>
      </c>
    </row>
    <row r="494" spans="1:12" x14ac:dyDescent="0.25">
      <c r="A494" t="s">
        <v>1022</v>
      </c>
      <c r="B494" s="1">
        <v>45649.194444444445</v>
      </c>
      <c r="C494" t="s">
        <v>43</v>
      </c>
      <c r="D494" t="s">
        <v>25</v>
      </c>
      <c r="E494" t="s">
        <v>28</v>
      </c>
      <c r="F494" t="s">
        <v>41</v>
      </c>
      <c r="G494">
        <v>2874.58</v>
      </c>
      <c r="H494" t="s">
        <v>34</v>
      </c>
      <c r="I494" t="s">
        <v>55</v>
      </c>
      <c r="J494">
        <v>2.9</v>
      </c>
      <c r="K494">
        <v>0</v>
      </c>
      <c r="L494">
        <v>0</v>
      </c>
    </row>
    <row r="495" spans="1:12" x14ac:dyDescent="0.25">
      <c r="A495" t="s">
        <v>1023</v>
      </c>
      <c r="B495" s="1">
        <v>45649.49722222222</v>
      </c>
      <c r="C495" t="s">
        <v>58</v>
      </c>
      <c r="D495" t="s">
        <v>25</v>
      </c>
      <c r="E495" t="s">
        <v>44</v>
      </c>
      <c r="F495" t="s">
        <v>21</v>
      </c>
      <c r="G495">
        <v>430.56</v>
      </c>
      <c r="H495" t="s">
        <v>17</v>
      </c>
      <c r="J495">
        <v>2.1</v>
      </c>
      <c r="K495">
        <v>0</v>
      </c>
      <c r="L495">
        <v>0</v>
      </c>
    </row>
    <row r="496" spans="1:12" x14ac:dyDescent="0.25">
      <c r="A496" t="s">
        <v>1024</v>
      </c>
      <c r="B496" s="1">
        <v>45649.757638888892</v>
      </c>
      <c r="C496" t="s">
        <v>43</v>
      </c>
      <c r="D496" t="s">
        <v>25</v>
      </c>
      <c r="E496" t="s">
        <v>28</v>
      </c>
      <c r="F496" t="s">
        <v>29</v>
      </c>
      <c r="G496">
        <v>4175.3599999999997</v>
      </c>
      <c r="H496" t="s">
        <v>34</v>
      </c>
      <c r="I496" t="s">
        <v>55</v>
      </c>
      <c r="J496">
        <v>2.9</v>
      </c>
      <c r="K496">
        <v>0</v>
      </c>
      <c r="L496">
        <v>0</v>
      </c>
    </row>
    <row r="497" spans="1:12" x14ac:dyDescent="0.25">
      <c r="A497" t="s">
        <v>1025</v>
      </c>
      <c r="B497" s="1">
        <v>45650.34375</v>
      </c>
      <c r="C497" t="s">
        <v>47</v>
      </c>
      <c r="D497" t="s">
        <v>25</v>
      </c>
      <c r="E497" t="s">
        <v>28</v>
      </c>
      <c r="F497" t="s">
        <v>16</v>
      </c>
      <c r="G497">
        <v>3371.75</v>
      </c>
      <c r="H497" t="s">
        <v>22</v>
      </c>
      <c r="J497">
        <v>2.9</v>
      </c>
      <c r="K497">
        <v>97.78</v>
      </c>
      <c r="L497">
        <v>3273.97</v>
      </c>
    </row>
    <row r="498" spans="1:12" x14ac:dyDescent="0.25">
      <c r="A498" t="s">
        <v>1026</v>
      </c>
      <c r="B498" s="1">
        <v>45651.90347222222</v>
      </c>
      <c r="C498" t="s">
        <v>31</v>
      </c>
      <c r="D498" t="s">
        <v>32</v>
      </c>
      <c r="E498" t="s">
        <v>33</v>
      </c>
      <c r="F498" t="s">
        <v>29</v>
      </c>
      <c r="G498">
        <v>2675.36</v>
      </c>
      <c r="H498" t="s">
        <v>22</v>
      </c>
      <c r="J498">
        <v>1.9</v>
      </c>
      <c r="K498">
        <v>50.83</v>
      </c>
      <c r="L498">
        <v>2624.53</v>
      </c>
    </row>
    <row r="499" spans="1:12" x14ac:dyDescent="0.25">
      <c r="A499" t="s">
        <v>1027</v>
      </c>
      <c r="B499" s="1">
        <v>45652.280555555553</v>
      </c>
      <c r="C499" t="s">
        <v>43</v>
      </c>
      <c r="D499" t="s">
        <v>25</v>
      </c>
      <c r="E499" t="s">
        <v>39</v>
      </c>
      <c r="F499" t="s">
        <v>16</v>
      </c>
      <c r="G499">
        <v>1750.53</v>
      </c>
      <c r="H499" t="s">
        <v>22</v>
      </c>
      <c r="J499">
        <v>3.2</v>
      </c>
      <c r="K499">
        <v>56.02</v>
      </c>
      <c r="L499">
        <v>1694.51</v>
      </c>
    </row>
    <row r="500" spans="1:12" x14ac:dyDescent="0.25">
      <c r="A500" t="s">
        <v>1028</v>
      </c>
      <c r="B500" s="1">
        <v>45652.387499999997</v>
      </c>
      <c r="C500" t="s">
        <v>19</v>
      </c>
      <c r="D500" t="s">
        <v>20</v>
      </c>
      <c r="E500" t="s">
        <v>39</v>
      </c>
      <c r="F500" t="s">
        <v>45</v>
      </c>
      <c r="G500">
        <v>4927.59</v>
      </c>
      <c r="H500" t="s">
        <v>22</v>
      </c>
      <c r="J500">
        <v>3.2</v>
      </c>
      <c r="K500">
        <v>157.68</v>
      </c>
      <c r="L500">
        <v>4769.91</v>
      </c>
    </row>
    <row r="501" spans="1:12" x14ac:dyDescent="0.25">
      <c r="A501" t="s">
        <v>1029</v>
      </c>
      <c r="B501" s="1">
        <v>45652.507638888892</v>
      </c>
      <c r="C501" t="s">
        <v>37</v>
      </c>
      <c r="D501" t="s">
        <v>38</v>
      </c>
      <c r="E501" t="s">
        <v>15</v>
      </c>
      <c r="F501" t="s">
        <v>41</v>
      </c>
      <c r="G501">
        <v>4303.3100000000004</v>
      </c>
      <c r="H501" t="s">
        <v>22</v>
      </c>
      <c r="J501">
        <v>2.5</v>
      </c>
      <c r="K501">
        <v>107.58</v>
      </c>
      <c r="L501">
        <v>4195.7299999999996</v>
      </c>
    </row>
    <row r="502" spans="1:12" x14ac:dyDescent="0.25">
      <c r="A502" t="s">
        <v>1030</v>
      </c>
      <c r="B502" s="1">
        <v>45652.620833333334</v>
      </c>
      <c r="C502" t="s">
        <v>19</v>
      </c>
      <c r="D502" t="s">
        <v>20</v>
      </c>
      <c r="E502" t="s">
        <v>33</v>
      </c>
      <c r="F502" t="s">
        <v>41</v>
      </c>
      <c r="G502">
        <v>4882.34</v>
      </c>
      <c r="H502" t="s">
        <v>34</v>
      </c>
      <c r="I502" t="s">
        <v>35</v>
      </c>
      <c r="J502">
        <v>1.9</v>
      </c>
      <c r="K502">
        <v>0</v>
      </c>
      <c r="L502">
        <v>0</v>
      </c>
    </row>
    <row r="503" spans="1:12" x14ac:dyDescent="0.25">
      <c r="A503" t="s">
        <v>1031</v>
      </c>
      <c r="B503" s="1">
        <v>45653.189583333333</v>
      </c>
      <c r="C503" t="s">
        <v>24</v>
      </c>
      <c r="D503" t="s">
        <v>25</v>
      </c>
      <c r="E503" t="s">
        <v>33</v>
      </c>
      <c r="F503" t="s">
        <v>21</v>
      </c>
      <c r="G503">
        <v>4990.63</v>
      </c>
      <c r="H503" t="s">
        <v>34</v>
      </c>
      <c r="I503" t="s">
        <v>100</v>
      </c>
      <c r="J503">
        <v>1.9</v>
      </c>
      <c r="K503">
        <v>0</v>
      </c>
      <c r="L503">
        <v>0</v>
      </c>
    </row>
    <row r="504" spans="1:12" x14ac:dyDescent="0.25">
      <c r="A504" t="s">
        <v>1032</v>
      </c>
      <c r="B504" s="1">
        <v>45653.405555555553</v>
      </c>
      <c r="C504" t="s">
        <v>43</v>
      </c>
      <c r="D504" t="s">
        <v>25</v>
      </c>
      <c r="E504" t="s">
        <v>28</v>
      </c>
      <c r="F504" t="s">
        <v>29</v>
      </c>
      <c r="G504">
        <v>4620.32</v>
      </c>
      <c r="H504" t="s">
        <v>17</v>
      </c>
      <c r="J504">
        <v>2.9</v>
      </c>
      <c r="K504">
        <v>0</v>
      </c>
      <c r="L504">
        <v>0</v>
      </c>
    </row>
    <row r="505" spans="1:12" x14ac:dyDescent="0.25">
      <c r="A505" t="s">
        <v>1033</v>
      </c>
      <c r="B505" s="1">
        <v>45653.602083333331</v>
      </c>
      <c r="C505" t="s">
        <v>31</v>
      </c>
      <c r="D505" t="s">
        <v>32</v>
      </c>
      <c r="E505" t="s">
        <v>15</v>
      </c>
      <c r="F505" t="s">
        <v>41</v>
      </c>
      <c r="G505">
        <v>2213.1799999999998</v>
      </c>
      <c r="H505" t="s">
        <v>17</v>
      </c>
      <c r="J505">
        <v>2.5</v>
      </c>
      <c r="K505">
        <v>0</v>
      </c>
      <c r="L505">
        <v>0</v>
      </c>
    </row>
    <row r="506" spans="1:12" x14ac:dyDescent="0.25">
      <c r="A506" t="s">
        <v>1034</v>
      </c>
      <c r="B506" s="1">
        <v>45654.128472222219</v>
      </c>
      <c r="C506" t="s">
        <v>19</v>
      </c>
      <c r="D506" t="s">
        <v>20</v>
      </c>
      <c r="E506" t="s">
        <v>44</v>
      </c>
      <c r="F506" t="s">
        <v>16</v>
      </c>
      <c r="G506">
        <v>3285.41</v>
      </c>
      <c r="H506" t="s">
        <v>17</v>
      </c>
      <c r="J506">
        <v>2.1</v>
      </c>
      <c r="K506">
        <v>0</v>
      </c>
      <c r="L506">
        <v>0</v>
      </c>
    </row>
    <row r="507" spans="1:12" x14ac:dyDescent="0.25">
      <c r="A507" t="s">
        <v>1035</v>
      </c>
      <c r="B507" s="1">
        <v>45654.166666666664</v>
      </c>
      <c r="C507" t="s">
        <v>24</v>
      </c>
      <c r="D507" t="s">
        <v>25</v>
      </c>
      <c r="E507" t="s">
        <v>33</v>
      </c>
      <c r="F507" t="s">
        <v>16</v>
      </c>
      <c r="G507">
        <v>1872.27</v>
      </c>
      <c r="H507" t="s">
        <v>17</v>
      </c>
      <c r="J507">
        <v>1.9</v>
      </c>
      <c r="K507">
        <v>0</v>
      </c>
      <c r="L507">
        <v>0</v>
      </c>
    </row>
    <row r="508" spans="1:12" x14ac:dyDescent="0.25">
      <c r="A508" t="s">
        <v>1036</v>
      </c>
      <c r="B508" s="1">
        <v>45654.383333333331</v>
      </c>
      <c r="C508" t="s">
        <v>60</v>
      </c>
      <c r="D508" t="s">
        <v>25</v>
      </c>
      <c r="E508" t="s">
        <v>28</v>
      </c>
      <c r="F508" t="s">
        <v>41</v>
      </c>
      <c r="G508">
        <v>2329.7800000000002</v>
      </c>
      <c r="H508" t="s">
        <v>22</v>
      </c>
      <c r="J508">
        <v>2.9</v>
      </c>
      <c r="K508">
        <v>67.56</v>
      </c>
      <c r="L508">
        <v>2262.2199999999998</v>
      </c>
    </row>
    <row r="509" spans="1:12" x14ac:dyDescent="0.25">
      <c r="A509" t="s">
        <v>1037</v>
      </c>
      <c r="B509" s="1">
        <v>45654.763194444444</v>
      </c>
      <c r="C509" t="s">
        <v>43</v>
      </c>
      <c r="D509" t="s">
        <v>25</v>
      </c>
      <c r="E509" t="s">
        <v>28</v>
      </c>
      <c r="F509" t="s">
        <v>21</v>
      </c>
      <c r="G509">
        <v>1662.89</v>
      </c>
      <c r="H509" t="s">
        <v>22</v>
      </c>
      <c r="J509">
        <v>2.9</v>
      </c>
      <c r="K509">
        <v>48.22</v>
      </c>
      <c r="L509">
        <v>1614.67</v>
      </c>
    </row>
    <row r="510" spans="1:12" x14ac:dyDescent="0.25">
      <c r="A510" t="s">
        <v>1038</v>
      </c>
      <c r="B510" s="1">
        <v>45654.902777777781</v>
      </c>
      <c r="C510" t="s">
        <v>37</v>
      </c>
      <c r="D510" t="s">
        <v>38</v>
      </c>
      <c r="E510" t="s">
        <v>15</v>
      </c>
      <c r="F510" t="s">
        <v>41</v>
      </c>
      <c r="G510">
        <v>1333.41</v>
      </c>
      <c r="H510" t="s">
        <v>22</v>
      </c>
      <c r="J510">
        <v>2.5</v>
      </c>
      <c r="K510">
        <v>33.340000000000003</v>
      </c>
      <c r="L510">
        <v>1300.07</v>
      </c>
    </row>
    <row r="511" spans="1:12" x14ac:dyDescent="0.25">
      <c r="A511" t="s">
        <v>1039</v>
      </c>
      <c r="B511" s="1">
        <v>45655.053472222222</v>
      </c>
      <c r="C511" t="s">
        <v>58</v>
      </c>
      <c r="D511" t="s">
        <v>25</v>
      </c>
      <c r="E511" t="s">
        <v>28</v>
      </c>
      <c r="F511" t="s">
        <v>16</v>
      </c>
      <c r="G511">
        <v>4386.47</v>
      </c>
      <c r="H511" t="s">
        <v>22</v>
      </c>
      <c r="J511">
        <v>2.9</v>
      </c>
      <c r="K511">
        <v>127.21</v>
      </c>
      <c r="L511">
        <v>4259.26</v>
      </c>
    </row>
    <row r="512" spans="1:12" x14ac:dyDescent="0.25">
      <c r="A512" t="s">
        <v>1040</v>
      </c>
      <c r="B512" s="1">
        <v>45655.375694444447</v>
      </c>
      <c r="C512" t="s">
        <v>31</v>
      </c>
      <c r="D512" t="s">
        <v>32</v>
      </c>
      <c r="E512" t="s">
        <v>44</v>
      </c>
      <c r="F512" t="s">
        <v>29</v>
      </c>
      <c r="G512">
        <v>4285.51</v>
      </c>
      <c r="H512" t="s">
        <v>22</v>
      </c>
      <c r="J512">
        <v>2.1</v>
      </c>
      <c r="K512">
        <v>90</v>
      </c>
      <c r="L512">
        <v>4195.51</v>
      </c>
    </row>
    <row r="513" spans="1:12" x14ac:dyDescent="0.25">
      <c r="A513" t="s">
        <v>1041</v>
      </c>
      <c r="B513" s="1">
        <v>45656.540972222225</v>
      </c>
      <c r="C513" t="s">
        <v>31</v>
      </c>
      <c r="D513" t="s">
        <v>32</v>
      </c>
      <c r="E513" t="s">
        <v>39</v>
      </c>
      <c r="F513" t="s">
        <v>29</v>
      </c>
      <c r="G513">
        <v>2824.15</v>
      </c>
      <c r="H513" t="s">
        <v>17</v>
      </c>
      <c r="J513">
        <v>3.2</v>
      </c>
      <c r="K513">
        <v>0</v>
      </c>
      <c r="L513">
        <v>0</v>
      </c>
    </row>
    <row r="514" spans="1:12" x14ac:dyDescent="0.25">
      <c r="A514" t="s">
        <v>1042</v>
      </c>
      <c r="B514" s="1">
        <v>45656.588888888888</v>
      </c>
      <c r="C514" t="s">
        <v>13</v>
      </c>
      <c r="D514" t="s">
        <v>14</v>
      </c>
      <c r="E514" t="s">
        <v>33</v>
      </c>
      <c r="F514" t="s">
        <v>41</v>
      </c>
      <c r="G514">
        <v>3475.41</v>
      </c>
      <c r="H514" t="s">
        <v>34</v>
      </c>
      <c r="I514" t="s">
        <v>55</v>
      </c>
      <c r="J514">
        <v>1.9</v>
      </c>
      <c r="K514">
        <v>0</v>
      </c>
      <c r="L514">
        <v>0</v>
      </c>
    </row>
    <row r="515" spans="1:12" x14ac:dyDescent="0.25">
      <c r="A515" t="s">
        <v>1043</v>
      </c>
      <c r="B515" s="1">
        <v>45656.720833333333</v>
      </c>
      <c r="C515" t="s">
        <v>27</v>
      </c>
      <c r="D515" t="s">
        <v>25</v>
      </c>
      <c r="E515" t="s">
        <v>44</v>
      </c>
      <c r="F515" t="s">
        <v>29</v>
      </c>
      <c r="G515">
        <v>814.66</v>
      </c>
      <c r="H515" t="s">
        <v>22</v>
      </c>
      <c r="J515">
        <v>2.1</v>
      </c>
      <c r="K515">
        <v>17.11</v>
      </c>
      <c r="L515">
        <v>797.55</v>
      </c>
    </row>
    <row r="516" spans="1:12" x14ac:dyDescent="0.25">
      <c r="A516" t="s">
        <v>1044</v>
      </c>
      <c r="B516" s="1">
        <v>45656.999305555553</v>
      </c>
      <c r="C516" t="s">
        <v>13</v>
      </c>
      <c r="D516" t="s">
        <v>14</v>
      </c>
      <c r="E516" t="s">
        <v>44</v>
      </c>
      <c r="F516" t="s">
        <v>29</v>
      </c>
      <c r="G516">
        <v>1056.47</v>
      </c>
      <c r="H516" t="s">
        <v>22</v>
      </c>
      <c r="J516">
        <v>2.1</v>
      </c>
      <c r="K516">
        <v>22.19</v>
      </c>
      <c r="L516">
        <v>1034.28</v>
      </c>
    </row>
  </sheetData>
  <pageMargins left="0.7" right="0.7" top="0.75" bottom="0.75" header="0.3" footer="0.3"/>
  <pageSetup paperSize="9" scale="36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A00F-C396-4558-8508-8FD8B991BBCA}">
  <sheetPr>
    <tabColor theme="7" tint="0.39997558519241921"/>
  </sheetPr>
  <dimension ref="A1:M1001"/>
  <sheetViews>
    <sheetView view="pageBreakPreview" zoomScale="130" zoomScaleNormal="100" zoomScaleSheetLayoutView="130" workbookViewId="0">
      <selection activeCell="AI69" sqref="AI69"/>
    </sheetView>
  </sheetViews>
  <sheetFormatPr defaultRowHeight="15" x14ac:dyDescent="0.25"/>
  <cols>
    <col min="1" max="1" width="15.85546875" bestFit="1" customWidth="1"/>
    <col min="2" max="2" width="16.5703125" style="2" bestFit="1" customWidth="1"/>
    <col min="3" max="3" width="9.42578125" style="2" bestFit="1" customWidth="1"/>
    <col min="4" max="4" width="13.42578125" style="2" bestFit="1" customWidth="1"/>
    <col min="5" max="5" width="14.5703125" bestFit="1" customWidth="1"/>
    <col min="6" max="6" width="14.42578125" customWidth="1"/>
    <col min="7" max="7" width="19" customWidth="1"/>
    <col min="8" max="8" width="17" style="2" bestFit="1" customWidth="1"/>
    <col min="9" max="9" width="8.5703125" bestFit="1" customWidth="1"/>
    <col min="10" max="10" width="22.5703125" bestFit="1" customWidth="1"/>
    <col min="11" max="12" width="18.28515625" bestFit="1" customWidth="1"/>
    <col min="13" max="13" width="20.140625" bestFit="1" customWidth="1"/>
    <col min="14" max="14" width="22.5703125" bestFit="1" customWidth="1"/>
    <col min="15" max="15" width="14.140625" bestFit="1" customWidth="1"/>
    <col min="16" max="16" width="22.5703125" bestFit="1" customWidth="1"/>
    <col min="17" max="18" width="18.28515625" bestFit="1" customWidth="1"/>
  </cols>
  <sheetData>
    <row r="1" spans="1:13" x14ac:dyDescent="0.25">
      <c r="A1" t="s">
        <v>0</v>
      </c>
      <c r="B1" s="2" t="s">
        <v>1</v>
      </c>
      <c r="C1" s="2" t="s">
        <v>2</v>
      </c>
      <c r="D1" s="2" t="s">
        <v>3</v>
      </c>
      <c r="E1" t="s">
        <v>4</v>
      </c>
      <c r="F1" t="s">
        <v>6</v>
      </c>
      <c r="G1" s="2" t="s">
        <v>7</v>
      </c>
      <c r="H1" t="s">
        <v>8</v>
      </c>
      <c r="I1" t="s">
        <v>9</v>
      </c>
      <c r="J1" t="s">
        <v>1111</v>
      </c>
      <c r="K1" t="s">
        <v>1116</v>
      </c>
      <c r="L1" t="s">
        <v>1117</v>
      </c>
      <c r="M1" t="s">
        <v>1118</v>
      </c>
    </row>
    <row r="2" spans="1:13" x14ac:dyDescent="0.25">
      <c r="A2" t="s">
        <v>12</v>
      </c>
      <c r="B2" s="3">
        <v>45292.913194444445</v>
      </c>
      <c r="C2" s="2" t="s">
        <v>13</v>
      </c>
      <c r="D2" s="2" t="s">
        <v>14</v>
      </c>
      <c r="E2" t="s">
        <v>15</v>
      </c>
      <c r="F2">
        <v>280.48</v>
      </c>
      <c r="G2" s="2" t="s">
        <v>17</v>
      </c>
      <c r="H2"/>
      <c r="I2">
        <v>2.5</v>
      </c>
      <c r="J2">
        <v>8.7999999999999995E-2</v>
      </c>
      <c r="K2">
        <v>0</v>
      </c>
      <c r="L2">
        <v>0</v>
      </c>
      <c r="M2">
        <v>0</v>
      </c>
    </row>
    <row r="3" spans="1:13" x14ac:dyDescent="0.25">
      <c r="A3" t="s">
        <v>18</v>
      </c>
      <c r="B3" s="3">
        <v>45294.355555555558</v>
      </c>
      <c r="C3" s="2" t="s">
        <v>19</v>
      </c>
      <c r="D3" s="2" t="s">
        <v>20</v>
      </c>
      <c r="E3" t="s">
        <v>15</v>
      </c>
      <c r="F3">
        <v>4887.84</v>
      </c>
      <c r="G3" s="2" t="s">
        <v>22</v>
      </c>
      <c r="H3"/>
      <c r="I3">
        <v>2.5</v>
      </c>
      <c r="J3">
        <v>8.7999999999999995E-2</v>
      </c>
      <c r="K3">
        <v>10.7536</v>
      </c>
      <c r="L3">
        <v>419.37632000000002</v>
      </c>
      <c r="M3">
        <v>430.12992000000003</v>
      </c>
    </row>
    <row r="4" spans="1:13" x14ac:dyDescent="0.25">
      <c r="A4" t="s">
        <v>23</v>
      </c>
      <c r="B4" s="3">
        <v>45294.427083333336</v>
      </c>
      <c r="C4" s="2" t="s">
        <v>24</v>
      </c>
      <c r="D4" s="2" t="s">
        <v>25</v>
      </c>
      <c r="E4" t="s">
        <v>15</v>
      </c>
      <c r="F4">
        <v>4202.1499999999996</v>
      </c>
      <c r="G4" s="2" t="s">
        <v>22</v>
      </c>
      <c r="H4"/>
      <c r="I4">
        <v>2.5</v>
      </c>
      <c r="J4">
        <v>1</v>
      </c>
      <c r="K4">
        <v>105.05</v>
      </c>
      <c r="L4">
        <v>4097.1000000000004</v>
      </c>
      <c r="M4">
        <v>4202.1500000000005</v>
      </c>
    </row>
    <row r="5" spans="1:13" x14ac:dyDescent="0.25">
      <c r="A5" t="s">
        <v>26</v>
      </c>
      <c r="B5" s="3">
        <v>45294.436805555553</v>
      </c>
      <c r="C5" s="2" t="s">
        <v>27</v>
      </c>
      <c r="D5" s="2" t="s">
        <v>25</v>
      </c>
      <c r="E5" t="s">
        <v>28</v>
      </c>
      <c r="F5">
        <v>4643.8500000000004</v>
      </c>
      <c r="G5" s="2" t="s">
        <v>17</v>
      </c>
      <c r="H5"/>
      <c r="I5">
        <v>2.9</v>
      </c>
      <c r="J5">
        <v>1</v>
      </c>
      <c r="K5">
        <v>0</v>
      </c>
      <c r="L5">
        <v>0</v>
      </c>
      <c r="M5">
        <v>0</v>
      </c>
    </row>
    <row r="6" spans="1:13" x14ac:dyDescent="0.25">
      <c r="A6" t="s">
        <v>30</v>
      </c>
      <c r="B6" s="3">
        <v>45295.007638888892</v>
      </c>
      <c r="C6" s="2" t="s">
        <v>31</v>
      </c>
      <c r="D6" s="2" t="s">
        <v>32</v>
      </c>
      <c r="E6" t="s">
        <v>33</v>
      </c>
      <c r="F6">
        <v>2086.9499999999998</v>
      </c>
      <c r="G6" s="2" t="s">
        <v>34</v>
      </c>
      <c r="H6" t="s">
        <v>35</v>
      </c>
      <c r="I6">
        <v>1.9</v>
      </c>
      <c r="J6">
        <v>1.17</v>
      </c>
      <c r="K6">
        <v>0</v>
      </c>
      <c r="L6">
        <v>0</v>
      </c>
      <c r="M6">
        <v>0</v>
      </c>
    </row>
    <row r="7" spans="1:13" x14ac:dyDescent="0.25">
      <c r="A7" t="s">
        <v>36</v>
      </c>
      <c r="B7" s="3">
        <v>45295.154861111114</v>
      </c>
      <c r="C7" s="2" t="s">
        <v>37</v>
      </c>
      <c r="D7" s="2" t="s">
        <v>38</v>
      </c>
      <c r="E7" t="s">
        <v>39</v>
      </c>
      <c r="F7">
        <v>3624.74</v>
      </c>
      <c r="G7" s="2" t="s">
        <v>17</v>
      </c>
      <c r="H7"/>
      <c r="I7">
        <v>3.2</v>
      </c>
      <c r="J7">
        <v>0.23</v>
      </c>
      <c r="K7">
        <v>0</v>
      </c>
      <c r="L7">
        <v>0</v>
      </c>
      <c r="M7">
        <v>0</v>
      </c>
    </row>
    <row r="8" spans="1:13" x14ac:dyDescent="0.25">
      <c r="A8" t="s">
        <v>40</v>
      </c>
      <c r="B8" s="3">
        <v>45295.384722222225</v>
      </c>
      <c r="C8" s="2" t="s">
        <v>24</v>
      </c>
      <c r="D8" s="2" t="s">
        <v>25</v>
      </c>
      <c r="E8" t="s">
        <v>39</v>
      </c>
      <c r="F8">
        <v>3859.9</v>
      </c>
      <c r="G8" s="2" t="s">
        <v>22</v>
      </c>
      <c r="H8"/>
      <c r="I8">
        <v>3.2</v>
      </c>
      <c r="J8">
        <v>1</v>
      </c>
      <c r="K8">
        <v>123.52</v>
      </c>
      <c r="L8">
        <v>3736.38</v>
      </c>
      <c r="M8">
        <v>3859.9</v>
      </c>
    </row>
    <row r="9" spans="1:13" x14ac:dyDescent="0.25">
      <c r="A9" t="s">
        <v>42</v>
      </c>
      <c r="B9" s="3">
        <v>45296.226388888892</v>
      </c>
      <c r="C9" s="2" t="s">
        <v>43</v>
      </c>
      <c r="D9" s="2" t="s">
        <v>25</v>
      </c>
      <c r="E9" t="s">
        <v>44</v>
      </c>
      <c r="F9">
        <v>2674.57</v>
      </c>
      <c r="G9" s="2" t="s">
        <v>22</v>
      </c>
      <c r="H9"/>
      <c r="I9">
        <v>2.1</v>
      </c>
      <c r="J9">
        <v>1</v>
      </c>
      <c r="K9">
        <v>56.17</v>
      </c>
      <c r="L9">
        <v>2618.4</v>
      </c>
      <c r="M9">
        <v>2674.57</v>
      </c>
    </row>
    <row r="10" spans="1:13" x14ac:dyDescent="0.25">
      <c r="A10" t="s">
        <v>46</v>
      </c>
      <c r="B10" s="3">
        <v>45296.466666666667</v>
      </c>
      <c r="C10" s="2" t="s">
        <v>47</v>
      </c>
      <c r="D10" s="2" t="s">
        <v>25</v>
      </c>
      <c r="E10" t="s">
        <v>33</v>
      </c>
      <c r="F10">
        <v>3700.48</v>
      </c>
      <c r="G10" s="2" t="s">
        <v>22</v>
      </c>
      <c r="H10"/>
      <c r="I10">
        <v>1.9</v>
      </c>
      <c r="J10">
        <v>1</v>
      </c>
      <c r="K10">
        <v>70.31</v>
      </c>
      <c r="L10">
        <v>3630.17</v>
      </c>
      <c r="M10">
        <v>3700.48</v>
      </c>
    </row>
    <row r="11" spans="1:13" x14ac:dyDescent="0.25">
      <c r="A11" t="s">
        <v>48</v>
      </c>
      <c r="B11" s="3">
        <v>45296.57708333333</v>
      </c>
      <c r="C11" s="2" t="s">
        <v>47</v>
      </c>
      <c r="D11" s="2" t="s">
        <v>25</v>
      </c>
      <c r="E11" t="s">
        <v>33</v>
      </c>
      <c r="F11">
        <v>3985.87</v>
      </c>
      <c r="G11" s="2" t="s">
        <v>17</v>
      </c>
      <c r="H11"/>
      <c r="I11">
        <v>1.9</v>
      </c>
      <c r="J11">
        <v>1</v>
      </c>
      <c r="K11">
        <v>0</v>
      </c>
      <c r="L11">
        <v>0</v>
      </c>
      <c r="M11">
        <v>0</v>
      </c>
    </row>
    <row r="12" spans="1:13" x14ac:dyDescent="0.25">
      <c r="A12" t="s">
        <v>49</v>
      </c>
      <c r="B12" s="3">
        <v>45297.874305555553</v>
      </c>
      <c r="C12" s="2" t="s">
        <v>27</v>
      </c>
      <c r="D12" s="2" t="s">
        <v>25</v>
      </c>
      <c r="E12" t="s">
        <v>33</v>
      </c>
      <c r="F12">
        <v>4260.84</v>
      </c>
      <c r="G12" s="2" t="s">
        <v>22</v>
      </c>
      <c r="H12"/>
      <c r="I12">
        <v>1.9</v>
      </c>
      <c r="J12">
        <v>1</v>
      </c>
      <c r="K12">
        <v>80.959999999999994</v>
      </c>
      <c r="L12">
        <v>4179.88</v>
      </c>
      <c r="M12">
        <v>4260.84</v>
      </c>
    </row>
    <row r="13" spans="1:13" x14ac:dyDescent="0.25">
      <c r="A13" t="s">
        <v>50</v>
      </c>
      <c r="B13" s="3">
        <v>45298.27847222222</v>
      </c>
      <c r="C13" s="2" t="s">
        <v>43</v>
      </c>
      <c r="D13" s="2" t="s">
        <v>25</v>
      </c>
      <c r="E13" t="s">
        <v>28</v>
      </c>
      <c r="F13">
        <v>4007.09</v>
      </c>
      <c r="G13" s="2" t="s">
        <v>22</v>
      </c>
      <c r="H13"/>
      <c r="I13">
        <v>2.9</v>
      </c>
      <c r="J13">
        <v>1</v>
      </c>
      <c r="K13">
        <v>116.21</v>
      </c>
      <c r="L13">
        <v>3890.88</v>
      </c>
      <c r="M13">
        <v>4007.09</v>
      </c>
    </row>
    <row r="14" spans="1:13" x14ac:dyDescent="0.25">
      <c r="A14" t="s">
        <v>51</v>
      </c>
      <c r="B14" s="3">
        <v>45299.243055555555</v>
      </c>
      <c r="C14" s="2" t="s">
        <v>47</v>
      </c>
      <c r="D14" s="2" t="s">
        <v>25</v>
      </c>
      <c r="E14" t="s">
        <v>33</v>
      </c>
      <c r="F14">
        <v>1985.08</v>
      </c>
      <c r="G14" s="2" t="s">
        <v>22</v>
      </c>
      <c r="H14"/>
      <c r="I14">
        <v>1.9</v>
      </c>
      <c r="J14">
        <v>1</v>
      </c>
      <c r="K14">
        <v>37.72</v>
      </c>
      <c r="L14">
        <v>1947.36</v>
      </c>
      <c r="M14">
        <v>1985.08</v>
      </c>
    </row>
    <row r="15" spans="1:13" x14ac:dyDescent="0.25">
      <c r="A15" t="s">
        <v>52</v>
      </c>
      <c r="B15" s="3">
        <v>45299.290972222225</v>
      </c>
      <c r="C15" s="2" t="s">
        <v>24</v>
      </c>
      <c r="D15" s="2" t="s">
        <v>25</v>
      </c>
      <c r="E15" t="s">
        <v>28</v>
      </c>
      <c r="F15">
        <v>4573.0600000000004</v>
      </c>
      <c r="G15" s="2" t="s">
        <v>17</v>
      </c>
      <c r="H15"/>
      <c r="I15">
        <v>2.9</v>
      </c>
      <c r="J15">
        <v>1</v>
      </c>
      <c r="K15">
        <v>0</v>
      </c>
      <c r="L15">
        <v>0</v>
      </c>
      <c r="M15">
        <v>0</v>
      </c>
    </row>
    <row r="16" spans="1:13" x14ac:dyDescent="0.25">
      <c r="A16" t="s">
        <v>53</v>
      </c>
      <c r="B16" s="3">
        <v>45299.815972222219</v>
      </c>
      <c r="C16" s="2" t="s">
        <v>13</v>
      </c>
      <c r="D16" s="2" t="s">
        <v>14</v>
      </c>
      <c r="E16" t="s">
        <v>28</v>
      </c>
      <c r="F16">
        <v>2717.22</v>
      </c>
      <c r="G16" s="2" t="s">
        <v>17</v>
      </c>
      <c r="H16"/>
      <c r="I16">
        <v>2.9</v>
      </c>
      <c r="J16">
        <v>8.7999999999999995E-2</v>
      </c>
      <c r="K16">
        <v>0</v>
      </c>
      <c r="L16">
        <v>0</v>
      </c>
      <c r="M16">
        <v>0</v>
      </c>
    </row>
    <row r="17" spans="1:13" x14ac:dyDescent="0.25">
      <c r="A17" t="s">
        <v>54</v>
      </c>
      <c r="B17" s="3">
        <v>45299.972916666666</v>
      </c>
      <c r="C17" s="2" t="s">
        <v>47</v>
      </c>
      <c r="D17" s="2" t="s">
        <v>25</v>
      </c>
      <c r="E17" t="s">
        <v>33</v>
      </c>
      <c r="F17">
        <v>885.72</v>
      </c>
      <c r="G17" s="2" t="s">
        <v>34</v>
      </c>
      <c r="H17" t="s">
        <v>55</v>
      </c>
      <c r="I17">
        <v>1.9</v>
      </c>
      <c r="J17">
        <v>1</v>
      </c>
      <c r="K17">
        <v>0</v>
      </c>
      <c r="L17">
        <v>0</v>
      </c>
      <c r="M17">
        <v>0</v>
      </c>
    </row>
    <row r="18" spans="1:13" x14ac:dyDescent="0.25">
      <c r="A18" t="s">
        <v>56</v>
      </c>
      <c r="B18" s="3">
        <v>45300.300694444442</v>
      </c>
      <c r="C18" s="2" t="s">
        <v>31</v>
      </c>
      <c r="D18" s="2" t="s">
        <v>32</v>
      </c>
      <c r="E18" t="s">
        <v>28</v>
      </c>
      <c r="F18">
        <v>177.55</v>
      </c>
      <c r="G18" s="2" t="s">
        <v>17</v>
      </c>
      <c r="H18"/>
      <c r="I18">
        <v>2.9</v>
      </c>
      <c r="J18">
        <v>1.17</v>
      </c>
      <c r="K18">
        <v>0</v>
      </c>
      <c r="L18">
        <v>0</v>
      </c>
      <c r="M18">
        <v>0</v>
      </c>
    </row>
    <row r="19" spans="1:13" x14ac:dyDescent="0.25">
      <c r="A19" t="s">
        <v>57</v>
      </c>
      <c r="B19" s="3">
        <v>45301.658333333333</v>
      </c>
      <c r="C19" s="2" t="s">
        <v>58</v>
      </c>
      <c r="D19" s="2" t="s">
        <v>25</v>
      </c>
      <c r="E19" t="s">
        <v>28</v>
      </c>
      <c r="F19">
        <v>548.01</v>
      </c>
      <c r="G19" s="2" t="s">
        <v>17</v>
      </c>
      <c r="H19"/>
      <c r="I19">
        <v>2.9</v>
      </c>
      <c r="J19">
        <v>1</v>
      </c>
      <c r="K19">
        <v>0</v>
      </c>
      <c r="L19">
        <v>0</v>
      </c>
      <c r="M19">
        <v>0</v>
      </c>
    </row>
    <row r="20" spans="1:13" x14ac:dyDescent="0.25">
      <c r="A20" t="s">
        <v>59</v>
      </c>
      <c r="B20" s="3">
        <v>45301.694444444445</v>
      </c>
      <c r="C20" s="2" t="s">
        <v>60</v>
      </c>
      <c r="D20" s="2" t="s">
        <v>25</v>
      </c>
      <c r="E20" t="s">
        <v>33</v>
      </c>
      <c r="F20">
        <v>2031.62</v>
      </c>
      <c r="G20" s="2" t="s">
        <v>17</v>
      </c>
      <c r="H20"/>
      <c r="I20">
        <v>1.9</v>
      </c>
      <c r="J20">
        <v>1</v>
      </c>
      <c r="K20">
        <v>0</v>
      </c>
      <c r="L20">
        <v>0</v>
      </c>
      <c r="M20">
        <v>0</v>
      </c>
    </row>
    <row r="21" spans="1:13" x14ac:dyDescent="0.25">
      <c r="A21" t="s">
        <v>61</v>
      </c>
      <c r="B21" s="3">
        <v>45301.864583333336</v>
      </c>
      <c r="C21" s="2" t="s">
        <v>13</v>
      </c>
      <c r="D21" s="2" t="s">
        <v>14</v>
      </c>
      <c r="E21" t="s">
        <v>44</v>
      </c>
      <c r="F21">
        <v>2501.0300000000002</v>
      </c>
      <c r="G21" s="2" t="s">
        <v>34</v>
      </c>
      <c r="H21" t="s">
        <v>62</v>
      </c>
      <c r="I21">
        <v>2.1</v>
      </c>
      <c r="J21">
        <v>8.7999999999999995E-2</v>
      </c>
      <c r="K21">
        <v>0</v>
      </c>
      <c r="L21">
        <v>0</v>
      </c>
      <c r="M21">
        <v>0</v>
      </c>
    </row>
    <row r="22" spans="1:13" x14ac:dyDescent="0.25">
      <c r="A22" t="s">
        <v>63</v>
      </c>
      <c r="B22" s="3">
        <v>45302.040972222225</v>
      </c>
      <c r="C22" s="2" t="s">
        <v>13</v>
      </c>
      <c r="D22" s="2" t="s">
        <v>14</v>
      </c>
      <c r="E22" t="s">
        <v>33</v>
      </c>
      <c r="F22">
        <v>4535.16</v>
      </c>
      <c r="G22" s="2" t="s">
        <v>34</v>
      </c>
      <c r="H22" t="s">
        <v>35</v>
      </c>
      <c r="I22">
        <v>1.9</v>
      </c>
      <c r="J22">
        <v>8.7999999999999995E-2</v>
      </c>
      <c r="K22">
        <v>0</v>
      </c>
      <c r="L22">
        <v>0</v>
      </c>
      <c r="M22">
        <v>0</v>
      </c>
    </row>
    <row r="23" spans="1:13" x14ac:dyDescent="0.25">
      <c r="A23" t="s">
        <v>64</v>
      </c>
      <c r="B23" s="3">
        <v>45302.427777777775</v>
      </c>
      <c r="C23" s="2" t="s">
        <v>31</v>
      </c>
      <c r="D23" s="2" t="s">
        <v>32</v>
      </c>
      <c r="E23" t="s">
        <v>28</v>
      </c>
      <c r="F23">
        <v>858.82</v>
      </c>
      <c r="G23" s="2" t="s">
        <v>34</v>
      </c>
      <c r="H23" t="s">
        <v>35</v>
      </c>
      <c r="I23">
        <v>2.9</v>
      </c>
      <c r="J23">
        <v>1.17</v>
      </c>
      <c r="K23">
        <v>0</v>
      </c>
      <c r="L23">
        <v>0</v>
      </c>
      <c r="M23">
        <v>0</v>
      </c>
    </row>
    <row r="24" spans="1:13" x14ac:dyDescent="0.25">
      <c r="A24" t="s">
        <v>65</v>
      </c>
      <c r="B24" s="3">
        <v>45302.933333333334</v>
      </c>
      <c r="C24" s="2" t="s">
        <v>37</v>
      </c>
      <c r="D24" s="2" t="s">
        <v>38</v>
      </c>
      <c r="E24" t="s">
        <v>44</v>
      </c>
      <c r="F24">
        <v>4494.33</v>
      </c>
      <c r="G24" s="2" t="s">
        <v>34</v>
      </c>
      <c r="H24" t="s">
        <v>55</v>
      </c>
      <c r="I24">
        <v>2.1</v>
      </c>
      <c r="J24">
        <v>0.23</v>
      </c>
      <c r="K24">
        <v>0</v>
      </c>
      <c r="L24">
        <v>0</v>
      </c>
      <c r="M24">
        <v>0</v>
      </c>
    </row>
    <row r="25" spans="1:13" x14ac:dyDescent="0.25">
      <c r="A25" t="s">
        <v>66</v>
      </c>
      <c r="B25" s="3">
        <v>45303.395138888889</v>
      </c>
      <c r="C25" s="2" t="s">
        <v>13</v>
      </c>
      <c r="D25" s="2" t="s">
        <v>14</v>
      </c>
      <c r="E25" t="s">
        <v>15</v>
      </c>
      <c r="F25">
        <v>1902.59</v>
      </c>
      <c r="G25" s="2" t="s">
        <v>22</v>
      </c>
      <c r="H25"/>
      <c r="I25">
        <v>2.5</v>
      </c>
      <c r="J25">
        <v>8.7999999999999995E-2</v>
      </c>
      <c r="K25">
        <v>4.1852799999999997</v>
      </c>
      <c r="L25">
        <v>163.24263999999999</v>
      </c>
      <c r="M25">
        <v>167.42792</v>
      </c>
    </row>
    <row r="26" spans="1:13" x14ac:dyDescent="0.25">
      <c r="A26" t="s">
        <v>67</v>
      </c>
      <c r="B26" s="3">
        <v>45303.783333333333</v>
      </c>
      <c r="C26" s="2" t="s">
        <v>47</v>
      </c>
      <c r="D26" s="2" t="s">
        <v>25</v>
      </c>
      <c r="E26" t="s">
        <v>44</v>
      </c>
      <c r="F26">
        <v>1010.77</v>
      </c>
      <c r="G26" s="2" t="s">
        <v>22</v>
      </c>
      <c r="H26"/>
      <c r="I26">
        <v>2.1</v>
      </c>
      <c r="J26">
        <v>1</v>
      </c>
      <c r="K26">
        <v>21.23</v>
      </c>
      <c r="L26">
        <v>989.54</v>
      </c>
      <c r="M26">
        <v>1010.77</v>
      </c>
    </row>
    <row r="27" spans="1:13" x14ac:dyDescent="0.25">
      <c r="A27" t="s">
        <v>68</v>
      </c>
      <c r="B27" s="3">
        <v>45304.240972222222</v>
      </c>
      <c r="C27" s="2" t="s">
        <v>37</v>
      </c>
      <c r="D27" s="2" t="s">
        <v>38</v>
      </c>
      <c r="E27" t="s">
        <v>15</v>
      </c>
      <c r="F27">
        <v>1341.36</v>
      </c>
      <c r="G27" s="2" t="s">
        <v>22</v>
      </c>
      <c r="H27"/>
      <c r="I27">
        <v>2.5</v>
      </c>
      <c r="J27">
        <v>0.23</v>
      </c>
      <c r="K27">
        <v>7.7119000000000009</v>
      </c>
      <c r="L27">
        <v>300.80090000000001</v>
      </c>
      <c r="M27">
        <v>308.51280000000003</v>
      </c>
    </row>
    <row r="28" spans="1:13" x14ac:dyDescent="0.25">
      <c r="A28" t="s">
        <v>69</v>
      </c>
      <c r="B28" s="3">
        <v>45304.702777777777</v>
      </c>
      <c r="C28" s="2" t="s">
        <v>37</v>
      </c>
      <c r="D28" s="2" t="s">
        <v>38</v>
      </c>
      <c r="E28" t="s">
        <v>33</v>
      </c>
      <c r="F28">
        <v>2233.33</v>
      </c>
      <c r="G28" s="2" t="s">
        <v>22</v>
      </c>
      <c r="H28"/>
      <c r="I28">
        <v>1.9</v>
      </c>
      <c r="J28">
        <v>0.23</v>
      </c>
      <c r="K28">
        <v>9.7589000000000006</v>
      </c>
      <c r="L28">
        <v>503.90700000000004</v>
      </c>
      <c r="M28">
        <v>513.66590000000008</v>
      </c>
    </row>
    <row r="29" spans="1:13" x14ac:dyDescent="0.25">
      <c r="A29" t="s">
        <v>70</v>
      </c>
      <c r="B29" s="3">
        <v>45304.883333333331</v>
      </c>
      <c r="C29" s="2" t="s">
        <v>58</v>
      </c>
      <c r="D29" s="2" t="s">
        <v>25</v>
      </c>
      <c r="E29" t="s">
        <v>39</v>
      </c>
      <c r="F29">
        <v>4323.12</v>
      </c>
      <c r="G29" s="2" t="s">
        <v>22</v>
      </c>
      <c r="H29"/>
      <c r="I29">
        <v>3.2</v>
      </c>
      <c r="J29">
        <v>1</v>
      </c>
      <c r="K29">
        <v>138.34</v>
      </c>
      <c r="L29">
        <v>4184.78</v>
      </c>
      <c r="M29">
        <v>4323.12</v>
      </c>
    </row>
    <row r="30" spans="1:13" x14ac:dyDescent="0.25">
      <c r="A30" t="s">
        <v>71</v>
      </c>
      <c r="B30" s="3">
        <v>45306.158333333333</v>
      </c>
      <c r="C30" s="2" t="s">
        <v>47</v>
      </c>
      <c r="D30" s="2" t="s">
        <v>25</v>
      </c>
      <c r="E30" t="s">
        <v>15</v>
      </c>
      <c r="F30">
        <v>2998.47</v>
      </c>
      <c r="G30" s="2" t="s">
        <v>22</v>
      </c>
      <c r="H30"/>
      <c r="I30">
        <v>2.5</v>
      </c>
      <c r="J30">
        <v>1</v>
      </c>
      <c r="K30">
        <v>74.959999999999994</v>
      </c>
      <c r="L30">
        <v>2923.51</v>
      </c>
      <c r="M30">
        <v>2998.4700000000003</v>
      </c>
    </row>
    <row r="31" spans="1:13" x14ac:dyDescent="0.25">
      <c r="A31" t="s">
        <v>72</v>
      </c>
      <c r="B31" s="3">
        <v>45307.529861111114</v>
      </c>
      <c r="C31" s="2" t="s">
        <v>58</v>
      </c>
      <c r="D31" s="2" t="s">
        <v>25</v>
      </c>
      <c r="E31" t="s">
        <v>44</v>
      </c>
      <c r="F31">
        <v>1081.43</v>
      </c>
      <c r="G31" s="2" t="s">
        <v>22</v>
      </c>
      <c r="H31"/>
      <c r="I31">
        <v>2.1</v>
      </c>
      <c r="J31">
        <v>1</v>
      </c>
      <c r="K31">
        <v>22.71</v>
      </c>
      <c r="L31">
        <v>1058.72</v>
      </c>
      <c r="M31">
        <v>1081.43</v>
      </c>
    </row>
    <row r="32" spans="1:13" x14ac:dyDescent="0.25">
      <c r="A32" t="s">
        <v>73</v>
      </c>
      <c r="B32" s="3">
        <v>45307.589583333334</v>
      </c>
      <c r="C32" s="2" t="s">
        <v>60</v>
      </c>
      <c r="D32" s="2" t="s">
        <v>25</v>
      </c>
      <c r="E32" t="s">
        <v>33</v>
      </c>
      <c r="F32">
        <v>433.04</v>
      </c>
      <c r="G32" s="2" t="s">
        <v>22</v>
      </c>
      <c r="H32"/>
      <c r="I32">
        <v>1.9</v>
      </c>
      <c r="J32">
        <v>1</v>
      </c>
      <c r="K32">
        <v>8.23</v>
      </c>
      <c r="L32">
        <v>424.81</v>
      </c>
      <c r="M32">
        <v>433.04</v>
      </c>
    </row>
    <row r="33" spans="1:13" x14ac:dyDescent="0.25">
      <c r="A33" t="s">
        <v>74</v>
      </c>
      <c r="B33" s="3">
        <v>45308.254166666666</v>
      </c>
      <c r="C33" s="2" t="s">
        <v>43</v>
      </c>
      <c r="D33" s="2" t="s">
        <v>25</v>
      </c>
      <c r="E33" t="s">
        <v>44</v>
      </c>
      <c r="F33">
        <v>168.77</v>
      </c>
      <c r="G33" s="2" t="s">
        <v>34</v>
      </c>
      <c r="H33" t="s">
        <v>55</v>
      </c>
      <c r="I33">
        <v>2.1</v>
      </c>
      <c r="J33">
        <v>1</v>
      </c>
      <c r="K33">
        <v>0</v>
      </c>
      <c r="L33">
        <v>0</v>
      </c>
      <c r="M33">
        <v>0</v>
      </c>
    </row>
    <row r="34" spans="1:13" x14ac:dyDescent="0.25">
      <c r="A34" t="s">
        <v>75</v>
      </c>
      <c r="B34" s="3">
        <v>45308.434027777781</v>
      </c>
      <c r="C34" s="2" t="s">
        <v>47</v>
      </c>
      <c r="D34" s="2" t="s">
        <v>25</v>
      </c>
      <c r="E34" t="s">
        <v>28</v>
      </c>
      <c r="F34">
        <v>4566.55</v>
      </c>
      <c r="G34" s="2" t="s">
        <v>17</v>
      </c>
      <c r="H34"/>
      <c r="I34">
        <v>2.9</v>
      </c>
      <c r="J34">
        <v>1</v>
      </c>
      <c r="K34">
        <v>0</v>
      </c>
      <c r="L34">
        <v>0</v>
      </c>
      <c r="M34">
        <v>0</v>
      </c>
    </row>
    <row r="35" spans="1:13" x14ac:dyDescent="0.25">
      <c r="A35" t="s">
        <v>76</v>
      </c>
      <c r="B35" s="3">
        <v>45308.580555555556</v>
      </c>
      <c r="C35" s="2" t="s">
        <v>31</v>
      </c>
      <c r="D35" s="2" t="s">
        <v>32</v>
      </c>
      <c r="E35" t="s">
        <v>15</v>
      </c>
      <c r="F35">
        <v>1579.65</v>
      </c>
      <c r="G35" s="2" t="s">
        <v>34</v>
      </c>
      <c r="H35" t="s">
        <v>55</v>
      </c>
      <c r="I35">
        <v>2.5</v>
      </c>
      <c r="J35">
        <v>1.17</v>
      </c>
      <c r="K35">
        <v>0</v>
      </c>
      <c r="L35">
        <v>0</v>
      </c>
      <c r="M35">
        <v>0</v>
      </c>
    </row>
    <row r="36" spans="1:13" x14ac:dyDescent="0.25">
      <c r="A36" t="s">
        <v>77</v>
      </c>
      <c r="B36" s="3">
        <v>45308.965277777781</v>
      </c>
      <c r="C36" s="2" t="s">
        <v>13</v>
      </c>
      <c r="D36" s="2" t="s">
        <v>14</v>
      </c>
      <c r="E36" t="s">
        <v>39</v>
      </c>
      <c r="F36">
        <v>3011.99</v>
      </c>
      <c r="G36" s="2" t="s">
        <v>34</v>
      </c>
      <c r="H36" t="s">
        <v>78</v>
      </c>
      <c r="I36">
        <v>3.2</v>
      </c>
      <c r="J36">
        <v>8.7999999999999995E-2</v>
      </c>
      <c r="K36">
        <v>0</v>
      </c>
      <c r="L36">
        <v>0</v>
      </c>
      <c r="M36">
        <v>0</v>
      </c>
    </row>
    <row r="37" spans="1:13" x14ac:dyDescent="0.25">
      <c r="A37" t="s">
        <v>79</v>
      </c>
      <c r="B37" s="3">
        <v>45309.169444444444</v>
      </c>
      <c r="C37" s="2" t="s">
        <v>24</v>
      </c>
      <c r="D37" s="2" t="s">
        <v>25</v>
      </c>
      <c r="E37" t="s">
        <v>39</v>
      </c>
      <c r="F37">
        <v>1920.44</v>
      </c>
      <c r="G37" s="2" t="s">
        <v>17</v>
      </c>
      <c r="H37"/>
      <c r="I37">
        <v>3.2</v>
      </c>
      <c r="J37">
        <v>1</v>
      </c>
      <c r="K37">
        <v>0</v>
      </c>
      <c r="L37">
        <v>0</v>
      </c>
      <c r="M37">
        <v>0</v>
      </c>
    </row>
    <row r="38" spans="1:13" x14ac:dyDescent="0.25">
      <c r="A38" t="s">
        <v>80</v>
      </c>
      <c r="B38" s="3">
        <v>45309.270138888889</v>
      </c>
      <c r="C38" s="2" t="s">
        <v>31</v>
      </c>
      <c r="D38" s="2" t="s">
        <v>32</v>
      </c>
      <c r="E38" t="s">
        <v>33</v>
      </c>
      <c r="F38">
        <v>2369.4</v>
      </c>
      <c r="G38" s="2" t="s">
        <v>22</v>
      </c>
      <c r="H38"/>
      <c r="I38">
        <v>1.9</v>
      </c>
      <c r="J38">
        <v>1.17</v>
      </c>
      <c r="K38">
        <v>52.673400000000001</v>
      </c>
      <c r="L38">
        <v>2719.5245999999997</v>
      </c>
      <c r="M38">
        <v>2772.1979999999999</v>
      </c>
    </row>
    <row r="39" spans="1:13" x14ac:dyDescent="0.25">
      <c r="A39" t="s">
        <v>81</v>
      </c>
      <c r="B39" s="3">
        <v>45309.890277777777</v>
      </c>
      <c r="C39" s="2" t="s">
        <v>37</v>
      </c>
      <c r="D39" s="2" t="s">
        <v>38</v>
      </c>
      <c r="E39" t="s">
        <v>15</v>
      </c>
      <c r="F39">
        <v>4875.16</v>
      </c>
      <c r="G39" s="2" t="s">
        <v>17</v>
      </c>
      <c r="H39"/>
      <c r="I39">
        <v>2.5</v>
      </c>
      <c r="J39">
        <v>0.23</v>
      </c>
      <c r="K39">
        <v>0</v>
      </c>
      <c r="L39">
        <v>0</v>
      </c>
      <c r="M39">
        <v>0</v>
      </c>
    </row>
    <row r="40" spans="1:13" x14ac:dyDescent="0.25">
      <c r="A40" t="s">
        <v>82</v>
      </c>
      <c r="B40" s="3">
        <v>45310.188888888886</v>
      </c>
      <c r="C40" s="2" t="s">
        <v>19</v>
      </c>
      <c r="D40" s="2" t="s">
        <v>20</v>
      </c>
      <c r="E40" t="s">
        <v>39</v>
      </c>
      <c r="F40">
        <v>4372.21</v>
      </c>
      <c r="G40" s="2" t="s">
        <v>34</v>
      </c>
      <c r="H40" t="s">
        <v>78</v>
      </c>
      <c r="I40">
        <v>3.2</v>
      </c>
      <c r="J40">
        <v>8.7999999999999995E-2</v>
      </c>
      <c r="K40">
        <v>0</v>
      </c>
      <c r="L40">
        <v>0</v>
      </c>
      <c r="M40">
        <v>0</v>
      </c>
    </row>
    <row r="41" spans="1:13" x14ac:dyDescent="0.25">
      <c r="A41" t="s">
        <v>83</v>
      </c>
      <c r="B41" s="3">
        <v>45310.383333333331</v>
      </c>
      <c r="C41" s="2" t="s">
        <v>60</v>
      </c>
      <c r="D41" s="2" t="s">
        <v>25</v>
      </c>
      <c r="E41" t="s">
        <v>44</v>
      </c>
      <c r="F41">
        <v>1584.82</v>
      </c>
      <c r="G41" s="2" t="s">
        <v>22</v>
      </c>
      <c r="H41"/>
      <c r="I41">
        <v>2.1</v>
      </c>
      <c r="J41">
        <v>1</v>
      </c>
      <c r="K41">
        <v>33.28</v>
      </c>
      <c r="L41">
        <v>1551.54</v>
      </c>
      <c r="M41">
        <v>1584.82</v>
      </c>
    </row>
    <row r="42" spans="1:13" x14ac:dyDescent="0.25">
      <c r="A42" t="s">
        <v>84</v>
      </c>
      <c r="B42" s="3">
        <v>45310.488888888889</v>
      </c>
      <c r="C42" s="2" t="s">
        <v>13</v>
      </c>
      <c r="D42" s="2" t="s">
        <v>14</v>
      </c>
      <c r="E42" t="s">
        <v>33</v>
      </c>
      <c r="F42">
        <v>555.75</v>
      </c>
      <c r="G42" s="2" t="s">
        <v>22</v>
      </c>
      <c r="H42"/>
      <c r="I42">
        <v>1.9</v>
      </c>
      <c r="J42">
        <v>8.7999999999999995E-2</v>
      </c>
      <c r="K42">
        <v>0.92927999999999999</v>
      </c>
      <c r="L42">
        <v>47.97672</v>
      </c>
      <c r="M42">
        <v>48.905999999999999</v>
      </c>
    </row>
    <row r="43" spans="1:13" x14ac:dyDescent="0.25">
      <c r="A43" t="s">
        <v>85</v>
      </c>
      <c r="B43" s="3">
        <v>45310.642361111109</v>
      </c>
      <c r="C43" s="2" t="s">
        <v>43</v>
      </c>
      <c r="D43" s="2" t="s">
        <v>25</v>
      </c>
      <c r="E43" t="s">
        <v>33</v>
      </c>
      <c r="F43">
        <v>3625.82</v>
      </c>
      <c r="G43" s="2" t="s">
        <v>34</v>
      </c>
      <c r="H43" t="s">
        <v>35</v>
      </c>
      <c r="I43">
        <v>1.9</v>
      </c>
      <c r="J43">
        <v>1</v>
      </c>
      <c r="K43">
        <v>0</v>
      </c>
      <c r="L43">
        <v>0</v>
      </c>
      <c r="M43">
        <v>0</v>
      </c>
    </row>
    <row r="44" spans="1:13" x14ac:dyDescent="0.25">
      <c r="A44" t="s">
        <v>86</v>
      </c>
      <c r="B44" s="3">
        <v>45310.719444444447</v>
      </c>
      <c r="C44" s="2" t="s">
        <v>13</v>
      </c>
      <c r="D44" s="2" t="s">
        <v>14</v>
      </c>
      <c r="E44" t="s">
        <v>33</v>
      </c>
      <c r="F44">
        <v>3273</v>
      </c>
      <c r="G44" s="2" t="s">
        <v>22</v>
      </c>
      <c r="H44"/>
      <c r="I44">
        <v>1.9</v>
      </c>
      <c r="J44">
        <v>8.7999999999999995E-2</v>
      </c>
      <c r="K44">
        <v>5.4727199999999998</v>
      </c>
      <c r="L44">
        <v>282.55127999999996</v>
      </c>
      <c r="M44">
        <v>288.02399999999994</v>
      </c>
    </row>
    <row r="45" spans="1:13" x14ac:dyDescent="0.25">
      <c r="A45" t="s">
        <v>87</v>
      </c>
      <c r="B45" s="3">
        <v>45310.743750000001</v>
      </c>
      <c r="C45" s="2" t="s">
        <v>58</v>
      </c>
      <c r="D45" s="2" t="s">
        <v>25</v>
      </c>
      <c r="E45" t="s">
        <v>44</v>
      </c>
      <c r="F45">
        <v>1248.83</v>
      </c>
      <c r="G45" s="2" t="s">
        <v>22</v>
      </c>
      <c r="H45"/>
      <c r="I45">
        <v>2.1</v>
      </c>
      <c r="J45">
        <v>1</v>
      </c>
      <c r="K45">
        <v>26.23</v>
      </c>
      <c r="L45">
        <v>1222.5999999999999</v>
      </c>
      <c r="M45">
        <v>1248.83</v>
      </c>
    </row>
    <row r="46" spans="1:13" x14ac:dyDescent="0.25">
      <c r="A46" t="s">
        <v>88</v>
      </c>
      <c r="B46" s="3">
        <v>45311.634722222225</v>
      </c>
      <c r="C46" s="2" t="s">
        <v>24</v>
      </c>
      <c r="D46" s="2" t="s">
        <v>25</v>
      </c>
      <c r="E46" t="s">
        <v>15</v>
      </c>
      <c r="F46">
        <v>1532.9</v>
      </c>
      <c r="G46" s="2" t="s">
        <v>22</v>
      </c>
      <c r="H46"/>
      <c r="I46">
        <v>2.5</v>
      </c>
      <c r="J46">
        <v>1</v>
      </c>
      <c r="K46">
        <v>38.32</v>
      </c>
      <c r="L46">
        <v>1494.58</v>
      </c>
      <c r="M46">
        <v>1532.8999999999999</v>
      </c>
    </row>
    <row r="47" spans="1:13" x14ac:dyDescent="0.25">
      <c r="A47" t="s">
        <v>89</v>
      </c>
      <c r="B47" s="3">
        <v>45312.322916666664</v>
      </c>
      <c r="C47" s="2" t="s">
        <v>43</v>
      </c>
      <c r="D47" s="2" t="s">
        <v>25</v>
      </c>
      <c r="E47" t="s">
        <v>15</v>
      </c>
      <c r="F47">
        <v>2618.5100000000002</v>
      </c>
      <c r="G47" s="2" t="s">
        <v>22</v>
      </c>
      <c r="H47"/>
      <c r="I47">
        <v>2.5</v>
      </c>
      <c r="J47">
        <v>1</v>
      </c>
      <c r="K47">
        <v>65.459999999999994</v>
      </c>
      <c r="L47">
        <v>2553.0500000000002</v>
      </c>
      <c r="M47">
        <v>2618.5100000000002</v>
      </c>
    </row>
    <row r="48" spans="1:13" x14ac:dyDescent="0.25">
      <c r="A48" t="s">
        <v>90</v>
      </c>
      <c r="B48" s="3">
        <v>45312.324999999997</v>
      </c>
      <c r="C48" s="2" t="s">
        <v>43</v>
      </c>
      <c r="D48" s="2" t="s">
        <v>25</v>
      </c>
      <c r="E48" t="s">
        <v>44</v>
      </c>
      <c r="F48">
        <v>1329.14</v>
      </c>
      <c r="G48" s="2" t="s">
        <v>22</v>
      </c>
      <c r="H48"/>
      <c r="I48">
        <v>2.1</v>
      </c>
      <c r="J48">
        <v>1</v>
      </c>
      <c r="K48">
        <v>27.91</v>
      </c>
      <c r="L48">
        <v>1301.23</v>
      </c>
      <c r="M48">
        <v>1329.14</v>
      </c>
    </row>
    <row r="49" spans="1:13" x14ac:dyDescent="0.25">
      <c r="A49" t="s">
        <v>91</v>
      </c>
      <c r="B49" s="3">
        <v>45312.913888888892</v>
      </c>
      <c r="C49" s="2" t="s">
        <v>37</v>
      </c>
      <c r="D49" s="2" t="s">
        <v>38</v>
      </c>
      <c r="E49" t="s">
        <v>15</v>
      </c>
      <c r="F49">
        <v>1935.52</v>
      </c>
      <c r="G49" s="2" t="s">
        <v>17</v>
      </c>
      <c r="H49"/>
      <c r="I49">
        <v>2.5</v>
      </c>
      <c r="J49">
        <v>0.23</v>
      </c>
      <c r="K49">
        <v>0</v>
      </c>
      <c r="L49">
        <v>0</v>
      </c>
      <c r="M49">
        <v>0</v>
      </c>
    </row>
    <row r="50" spans="1:13" x14ac:dyDescent="0.25">
      <c r="A50" t="s">
        <v>92</v>
      </c>
      <c r="B50" s="3">
        <v>45313.40625</v>
      </c>
      <c r="C50" s="2" t="s">
        <v>31</v>
      </c>
      <c r="D50" s="2" t="s">
        <v>32</v>
      </c>
      <c r="E50" t="s">
        <v>39</v>
      </c>
      <c r="F50">
        <v>3283.3</v>
      </c>
      <c r="G50" s="2" t="s">
        <v>34</v>
      </c>
      <c r="H50" t="s">
        <v>35</v>
      </c>
      <c r="I50">
        <v>3.2</v>
      </c>
      <c r="J50">
        <v>1.17</v>
      </c>
      <c r="K50">
        <v>0</v>
      </c>
      <c r="L50">
        <v>0</v>
      </c>
      <c r="M50">
        <v>0</v>
      </c>
    </row>
    <row r="51" spans="1:13" x14ac:dyDescent="0.25">
      <c r="A51" t="s">
        <v>93</v>
      </c>
      <c r="B51" s="3">
        <v>45313.585416666669</v>
      </c>
      <c r="C51" s="2" t="s">
        <v>27</v>
      </c>
      <c r="D51" s="2" t="s">
        <v>25</v>
      </c>
      <c r="E51" t="s">
        <v>33</v>
      </c>
      <c r="F51">
        <v>4110.21</v>
      </c>
      <c r="G51" s="2" t="s">
        <v>34</v>
      </c>
      <c r="H51" t="s">
        <v>55</v>
      </c>
      <c r="I51">
        <v>1.9</v>
      </c>
      <c r="J51">
        <v>1</v>
      </c>
      <c r="K51">
        <v>0</v>
      </c>
      <c r="L51">
        <v>0</v>
      </c>
      <c r="M51">
        <v>0</v>
      </c>
    </row>
    <row r="52" spans="1:13" x14ac:dyDescent="0.25">
      <c r="A52" t="s">
        <v>94</v>
      </c>
      <c r="B52" s="3">
        <v>45313.784722222219</v>
      </c>
      <c r="C52" s="2" t="s">
        <v>43</v>
      </c>
      <c r="D52" s="2" t="s">
        <v>25</v>
      </c>
      <c r="E52" t="s">
        <v>33</v>
      </c>
      <c r="F52">
        <v>1863.28</v>
      </c>
      <c r="G52" s="2" t="s">
        <v>22</v>
      </c>
      <c r="H52"/>
      <c r="I52">
        <v>1.9</v>
      </c>
      <c r="J52">
        <v>1</v>
      </c>
      <c r="K52">
        <v>35.4</v>
      </c>
      <c r="L52">
        <v>1827.88</v>
      </c>
      <c r="M52">
        <v>1863.2800000000002</v>
      </c>
    </row>
    <row r="53" spans="1:13" x14ac:dyDescent="0.25">
      <c r="A53" t="s">
        <v>95</v>
      </c>
      <c r="B53" s="3">
        <v>45314.010416666664</v>
      </c>
      <c r="C53" s="2" t="s">
        <v>60</v>
      </c>
      <c r="D53" s="2" t="s">
        <v>25</v>
      </c>
      <c r="E53" t="s">
        <v>15</v>
      </c>
      <c r="F53">
        <v>1921.07</v>
      </c>
      <c r="G53" s="2" t="s">
        <v>22</v>
      </c>
      <c r="H53"/>
      <c r="I53">
        <v>2.5</v>
      </c>
      <c r="J53">
        <v>1</v>
      </c>
      <c r="K53">
        <v>48.03</v>
      </c>
      <c r="L53">
        <v>1873.04</v>
      </c>
      <c r="M53">
        <v>1921.07</v>
      </c>
    </row>
    <row r="54" spans="1:13" x14ac:dyDescent="0.25">
      <c r="A54" t="s">
        <v>96</v>
      </c>
      <c r="B54" s="3">
        <v>45314.0625</v>
      </c>
      <c r="C54" s="2" t="s">
        <v>13</v>
      </c>
      <c r="D54" s="2" t="s">
        <v>14</v>
      </c>
      <c r="E54" t="s">
        <v>28</v>
      </c>
      <c r="F54">
        <v>2660.3</v>
      </c>
      <c r="G54" s="2" t="s">
        <v>34</v>
      </c>
      <c r="H54" t="s">
        <v>78</v>
      </c>
      <c r="I54">
        <v>2.9</v>
      </c>
      <c r="J54">
        <v>8.7999999999999995E-2</v>
      </c>
      <c r="K54">
        <v>0</v>
      </c>
      <c r="L54">
        <v>0</v>
      </c>
      <c r="M54">
        <v>0</v>
      </c>
    </row>
    <row r="55" spans="1:13" x14ac:dyDescent="0.25">
      <c r="A55" t="s">
        <v>97</v>
      </c>
      <c r="B55" s="3">
        <v>45315.094444444447</v>
      </c>
      <c r="C55" s="2" t="s">
        <v>37</v>
      </c>
      <c r="D55" s="2" t="s">
        <v>38</v>
      </c>
      <c r="E55" t="s">
        <v>28</v>
      </c>
      <c r="F55">
        <v>3839.97</v>
      </c>
      <c r="G55" s="2" t="s">
        <v>17</v>
      </c>
      <c r="H55"/>
      <c r="I55">
        <v>2.9</v>
      </c>
      <c r="J55">
        <v>0.23</v>
      </c>
      <c r="K55">
        <v>0</v>
      </c>
      <c r="L55">
        <v>0</v>
      </c>
      <c r="M55">
        <v>0</v>
      </c>
    </row>
    <row r="56" spans="1:13" x14ac:dyDescent="0.25">
      <c r="A56" t="s">
        <v>98</v>
      </c>
      <c r="B56" s="3">
        <v>45315.720138888886</v>
      </c>
      <c r="C56" s="2" t="s">
        <v>27</v>
      </c>
      <c r="D56" s="2" t="s">
        <v>25</v>
      </c>
      <c r="E56" t="s">
        <v>33</v>
      </c>
      <c r="F56">
        <v>3350.73</v>
      </c>
      <c r="G56" s="2" t="s">
        <v>22</v>
      </c>
      <c r="H56"/>
      <c r="I56">
        <v>1.9</v>
      </c>
      <c r="J56">
        <v>1</v>
      </c>
      <c r="K56">
        <v>63.66</v>
      </c>
      <c r="L56">
        <v>3287.07</v>
      </c>
      <c r="M56">
        <v>3350.73</v>
      </c>
    </row>
    <row r="57" spans="1:13" x14ac:dyDescent="0.25">
      <c r="A57" t="s">
        <v>99</v>
      </c>
      <c r="B57" s="3">
        <v>45315.867361111108</v>
      </c>
      <c r="C57" s="2" t="s">
        <v>19</v>
      </c>
      <c r="D57" s="2" t="s">
        <v>20</v>
      </c>
      <c r="E57" t="s">
        <v>39</v>
      </c>
      <c r="F57">
        <v>3837.13</v>
      </c>
      <c r="G57" s="2" t="s">
        <v>34</v>
      </c>
      <c r="H57" t="s">
        <v>100</v>
      </c>
      <c r="I57">
        <v>3.2</v>
      </c>
      <c r="J57">
        <v>8.7999999999999995E-2</v>
      </c>
      <c r="K57">
        <v>0</v>
      </c>
      <c r="L57">
        <v>0</v>
      </c>
      <c r="M57">
        <v>0</v>
      </c>
    </row>
    <row r="58" spans="1:13" x14ac:dyDescent="0.25">
      <c r="A58" t="s">
        <v>101</v>
      </c>
      <c r="B58" s="3">
        <v>45316.413888888892</v>
      </c>
      <c r="C58" s="2" t="s">
        <v>47</v>
      </c>
      <c r="D58" s="2" t="s">
        <v>25</v>
      </c>
      <c r="E58" t="s">
        <v>44</v>
      </c>
      <c r="F58">
        <v>4097.43</v>
      </c>
      <c r="G58" s="2" t="s">
        <v>34</v>
      </c>
      <c r="H58" t="s">
        <v>78</v>
      </c>
      <c r="I58">
        <v>2.1</v>
      </c>
      <c r="J58">
        <v>1</v>
      </c>
      <c r="K58">
        <v>0</v>
      </c>
      <c r="L58">
        <v>0</v>
      </c>
      <c r="M58">
        <v>0</v>
      </c>
    </row>
    <row r="59" spans="1:13" x14ac:dyDescent="0.25">
      <c r="A59" t="s">
        <v>102</v>
      </c>
      <c r="B59" s="3">
        <v>45317.35</v>
      </c>
      <c r="C59" s="2" t="s">
        <v>37</v>
      </c>
      <c r="D59" s="2" t="s">
        <v>38</v>
      </c>
      <c r="E59" t="s">
        <v>44</v>
      </c>
      <c r="F59">
        <v>1640.96</v>
      </c>
      <c r="G59" s="2" t="s">
        <v>34</v>
      </c>
      <c r="H59" t="s">
        <v>62</v>
      </c>
      <c r="I59">
        <v>2.1</v>
      </c>
      <c r="J59">
        <v>0.23</v>
      </c>
      <c r="K59">
        <v>0</v>
      </c>
      <c r="L59">
        <v>0</v>
      </c>
      <c r="M59">
        <v>0</v>
      </c>
    </row>
    <row r="60" spans="1:13" x14ac:dyDescent="0.25">
      <c r="A60" t="s">
        <v>103</v>
      </c>
      <c r="B60" s="3">
        <v>45317.71875</v>
      </c>
      <c r="C60" s="2" t="s">
        <v>31</v>
      </c>
      <c r="D60" s="2" t="s">
        <v>32</v>
      </c>
      <c r="E60" t="s">
        <v>15</v>
      </c>
      <c r="F60">
        <v>4009.07</v>
      </c>
      <c r="G60" s="2" t="s">
        <v>17</v>
      </c>
      <c r="H60"/>
      <c r="I60">
        <v>2.5</v>
      </c>
      <c r="J60">
        <v>1.17</v>
      </c>
      <c r="K60">
        <v>0</v>
      </c>
      <c r="L60">
        <v>0</v>
      </c>
      <c r="M60">
        <v>0</v>
      </c>
    </row>
    <row r="61" spans="1:13" x14ac:dyDescent="0.25">
      <c r="A61" t="s">
        <v>104</v>
      </c>
      <c r="B61" s="3">
        <v>45317.979166666664</v>
      </c>
      <c r="C61" s="2" t="s">
        <v>47</v>
      </c>
      <c r="D61" s="2" t="s">
        <v>25</v>
      </c>
      <c r="E61" t="s">
        <v>39</v>
      </c>
      <c r="F61">
        <v>1695.95</v>
      </c>
      <c r="G61" s="2" t="s">
        <v>22</v>
      </c>
      <c r="H61"/>
      <c r="I61">
        <v>3.2</v>
      </c>
      <c r="J61">
        <v>1</v>
      </c>
      <c r="K61">
        <v>54.27</v>
      </c>
      <c r="L61">
        <v>1641.68</v>
      </c>
      <c r="M61">
        <v>1695.95</v>
      </c>
    </row>
    <row r="62" spans="1:13" x14ac:dyDescent="0.25">
      <c r="A62" t="s">
        <v>105</v>
      </c>
      <c r="B62" s="3">
        <v>45318.416666666664</v>
      </c>
      <c r="C62" s="2" t="s">
        <v>31</v>
      </c>
      <c r="D62" s="2" t="s">
        <v>32</v>
      </c>
      <c r="E62" t="s">
        <v>15</v>
      </c>
      <c r="F62">
        <v>4244.6000000000004</v>
      </c>
      <c r="G62" s="2" t="s">
        <v>17</v>
      </c>
      <c r="H62"/>
      <c r="I62">
        <v>2.5</v>
      </c>
      <c r="J62">
        <v>1.17</v>
      </c>
      <c r="K62">
        <v>0</v>
      </c>
      <c r="L62">
        <v>0</v>
      </c>
      <c r="M62">
        <v>0</v>
      </c>
    </row>
    <row r="63" spans="1:13" x14ac:dyDescent="0.25">
      <c r="A63" t="s">
        <v>106</v>
      </c>
      <c r="B63" s="3">
        <v>45318.457638888889</v>
      </c>
      <c r="C63" s="2" t="s">
        <v>24</v>
      </c>
      <c r="D63" s="2" t="s">
        <v>25</v>
      </c>
      <c r="E63" t="s">
        <v>15</v>
      </c>
      <c r="F63">
        <v>4983.7299999999996</v>
      </c>
      <c r="G63" s="2" t="s">
        <v>17</v>
      </c>
      <c r="H63"/>
      <c r="I63">
        <v>2.5</v>
      </c>
      <c r="J63">
        <v>1</v>
      </c>
      <c r="K63">
        <v>0</v>
      </c>
      <c r="L63">
        <v>0</v>
      </c>
      <c r="M63">
        <v>0</v>
      </c>
    </row>
    <row r="64" spans="1:13" x14ac:dyDescent="0.25">
      <c r="A64" t="s">
        <v>107</v>
      </c>
      <c r="B64" s="3">
        <v>45318.770833333336</v>
      </c>
      <c r="C64" s="2" t="s">
        <v>27</v>
      </c>
      <c r="D64" s="2" t="s">
        <v>25</v>
      </c>
      <c r="E64" t="s">
        <v>33</v>
      </c>
      <c r="F64">
        <v>3875.28</v>
      </c>
      <c r="G64" s="2" t="s">
        <v>34</v>
      </c>
      <c r="H64" t="s">
        <v>35</v>
      </c>
      <c r="I64">
        <v>1.9</v>
      </c>
      <c r="J64">
        <v>1</v>
      </c>
      <c r="K64">
        <v>0</v>
      </c>
      <c r="L64">
        <v>0</v>
      </c>
      <c r="M64">
        <v>0</v>
      </c>
    </row>
    <row r="65" spans="1:13" x14ac:dyDescent="0.25">
      <c r="A65" t="s">
        <v>108</v>
      </c>
      <c r="B65" s="3">
        <v>45319.256249999999</v>
      </c>
      <c r="C65" s="2" t="s">
        <v>60</v>
      </c>
      <c r="D65" s="2" t="s">
        <v>25</v>
      </c>
      <c r="E65" t="s">
        <v>44</v>
      </c>
      <c r="F65">
        <v>188.95</v>
      </c>
      <c r="G65" s="2" t="s">
        <v>22</v>
      </c>
      <c r="H65"/>
      <c r="I65">
        <v>2.1</v>
      </c>
      <c r="J65">
        <v>1</v>
      </c>
      <c r="K65">
        <v>3.97</v>
      </c>
      <c r="L65">
        <v>184.98</v>
      </c>
      <c r="M65">
        <v>188.95</v>
      </c>
    </row>
    <row r="66" spans="1:13" x14ac:dyDescent="0.25">
      <c r="A66" t="s">
        <v>109</v>
      </c>
      <c r="B66" s="3">
        <v>45319.458333333336</v>
      </c>
      <c r="C66" s="2" t="s">
        <v>43</v>
      </c>
      <c r="D66" s="2" t="s">
        <v>25</v>
      </c>
      <c r="E66" t="s">
        <v>44</v>
      </c>
      <c r="F66">
        <v>4077.93</v>
      </c>
      <c r="G66" s="2" t="s">
        <v>17</v>
      </c>
      <c r="H66"/>
      <c r="I66">
        <v>2.1</v>
      </c>
      <c r="J66">
        <v>1</v>
      </c>
      <c r="K66">
        <v>0</v>
      </c>
      <c r="L66">
        <v>0</v>
      </c>
      <c r="M66">
        <v>0</v>
      </c>
    </row>
    <row r="67" spans="1:13" x14ac:dyDescent="0.25">
      <c r="A67" t="s">
        <v>110</v>
      </c>
      <c r="B67" s="3">
        <v>45320.009027777778</v>
      </c>
      <c r="C67" s="2" t="s">
        <v>47</v>
      </c>
      <c r="D67" s="2" t="s">
        <v>25</v>
      </c>
      <c r="E67" t="s">
        <v>44</v>
      </c>
      <c r="F67">
        <v>3823.16</v>
      </c>
      <c r="G67" s="2" t="s">
        <v>22</v>
      </c>
      <c r="H67"/>
      <c r="I67">
        <v>2.1</v>
      </c>
      <c r="J67">
        <v>1</v>
      </c>
      <c r="K67">
        <v>80.290000000000006</v>
      </c>
      <c r="L67">
        <v>3742.87</v>
      </c>
      <c r="M67">
        <v>3823.16</v>
      </c>
    </row>
    <row r="68" spans="1:13" x14ac:dyDescent="0.25">
      <c r="A68" t="s">
        <v>111</v>
      </c>
      <c r="B68" s="3">
        <v>45320.097222222219</v>
      </c>
      <c r="C68" s="2" t="s">
        <v>19</v>
      </c>
      <c r="D68" s="2" t="s">
        <v>20</v>
      </c>
      <c r="E68" t="s">
        <v>39</v>
      </c>
      <c r="F68">
        <v>4503.87</v>
      </c>
      <c r="G68" s="2" t="s">
        <v>34</v>
      </c>
      <c r="H68" t="s">
        <v>62</v>
      </c>
      <c r="I68">
        <v>3.2</v>
      </c>
      <c r="J68">
        <v>8.7999999999999995E-2</v>
      </c>
      <c r="K68">
        <v>0</v>
      </c>
      <c r="L68">
        <v>0</v>
      </c>
      <c r="M68">
        <v>0</v>
      </c>
    </row>
    <row r="69" spans="1:13" x14ac:dyDescent="0.25">
      <c r="A69" t="s">
        <v>112</v>
      </c>
      <c r="B69" s="3">
        <v>45320.318055555559</v>
      </c>
      <c r="C69" s="2" t="s">
        <v>24</v>
      </c>
      <c r="D69" s="2" t="s">
        <v>25</v>
      </c>
      <c r="E69" t="s">
        <v>28</v>
      </c>
      <c r="F69">
        <v>2395.17</v>
      </c>
      <c r="G69" s="2" t="s">
        <v>22</v>
      </c>
      <c r="H69"/>
      <c r="I69">
        <v>2.9</v>
      </c>
      <c r="J69">
        <v>1</v>
      </c>
      <c r="K69">
        <v>69.459999999999994</v>
      </c>
      <c r="L69">
        <v>2325.71</v>
      </c>
      <c r="M69">
        <v>2395.17</v>
      </c>
    </row>
    <row r="70" spans="1:13" x14ac:dyDescent="0.25">
      <c r="A70" t="s">
        <v>113</v>
      </c>
      <c r="B70" s="3">
        <v>45320.885416666664</v>
      </c>
      <c r="C70" s="2" t="s">
        <v>24</v>
      </c>
      <c r="D70" s="2" t="s">
        <v>25</v>
      </c>
      <c r="E70" t="s">
        <v>44</v>
      </c>
      <c r="F70">
        <v>2966.73</v>
      </c>
      <c r="G70" s="2" t="s">
        <v>22</v>
      </c>
      <c r="H70"/>
      <c r="I70">
        <v>2.1</v>
      </c>
      <c r="J70">
        <v>1</v>
      </c>
      <c r="K70">
        <v>62.3</v>
      </c>
      <c r="L70">
        <v>2904.43</v>
      </c>
      <c r="M70">
        <v>2966.73</v>
      </c>
    </row>
    <row r="71" spans="1:13" x14ac:dyDescent="0.25">
      <c r="A71" t="s">
        <v>114</v>
      </c>
      <c r="B71" s="3">
        <v>45320.961111111108</v>
      </c>
      <c r="C71" s="2" t="s">
        <v>13</v>
      </c>
      <c r="D71" s="2" t="s">
        <v>14</v>
      </c>
      <c r="E71" t="s">
        <v>33</v>
      </c>
      <c r="F71">
        <v>471.83</v>
      </c>
      <c r="G71" s="2" t="s">
        <v>22</v>
      </c>
      <c r="H71"/>
      <c r="I71">
        <v>1.9</v>
      </c>
      <c r="J71">
        <v>8.7999999999999995E-2</v>
      </c>
      <c r="K71">
        <v>0.78848000000000007</v>
      </c>
      <c r="L71">
        <v>40.732559999999999</v>
      </c>
      <c r="M71">
        <v>41.521039999999999</v>
      </c>
    </row>
    <row r="72" spans="1:13" x14ac:dyDescent="0.25">
      <c r="A72" t="s">
        <v>115</v>
      </c>
      <c r="B72" s="3">
        <v>45321.067361111112</v>
      </c>
      <c r="C72" s="2" t="s">
        <v>43</v>
      </c>
      <c r="D72" s="2" t="s">
        <v>25</v>
      </c>
      <c r="E72" t="s">
        <v>33</v>
      </c>
      <c r="F72">
        <v>795.59</v>
      </c>
      <c r="G72" s="2" t="s">
        <v>17</v>
      </c>
      <c r="H72"/>
      <c r="I72">
        <v>1.9</v>
      </c>
      <c r="J72">
        <v>1</v>
      </c>
      <c r="K72">
        <v>0</v>
      </c>
      <c r="L72">
        <v>0</v>
      </c>
      <c r="M72">
        <v>0</v>
      </c>
    </row>
    <row r="73" spans="1:13" x14ac:dyDescent="0.25">
      <c r="A73" t="s">
        <v>116</v>
      </c>
      <c r="B73" s="3">
        <v>45321.330555555556</v>
      </c>
      <c r="C73" s="2" t="s">
        <v>19</v>
      </c>
      <c r="D73" s="2" t="s">
        <v>20</v>
      </c>
      <c r="E73" t="s">
        <v>28</v>
      </c>
      <c r="F73">
        <v>3662.22</v>
      </c>
      <c r="G73" s="2" t="s">
        <v>22</v>
      </c>
      <c r="H73"/>
      <c r="I73">
        <v>2.9</v>
      </c>
      <c r="J73">
        <v>8.7999999999999995E-2</v>
      </c>
      <c r="K73">
        <v>9.3455999999999992</v>
      </c>
      <c r="L73">
        <v>312.92975999999999</v>
      </c>
      <c r="M73">
        <v>322.27535999999998</v>
      </c>
    </row>
    <row r="74" spans="1:13" x14ac:dyDescent="0.25">
      <c r="A74" t="s">
        <v>117</v>
      </c>
      <c r="B74" s="3">
        <v>45321.728472222225</v>
      </c>
      <c r="C74" s="2" t="s">
        <v>47</v>
      </c>
      <c r="D74" s="2" t="s">
        <v>25</v>
      </c>
      <c r="E74" t="s">
        <v>28</v>
      </c>
      <c r="F74">
        <v>1279.74</v>
      </c>
      <c r="G74" s="2" t="s">
        <v>22</v>
      </c>
      <c r="H74"/>
      <c r="I74">
        <v>2.9</v>
      </c>
      <c r="J74">
        <v>1</v>
      </c>
      <c r="K74">
        <v>37.11</v>
      </c>
      <c r="L74">
        <v>1242.6300000000001</v>
      </c>
      <c r="M74">
        <v>1279.74</v>
      </c>
    </row>
    <row r="75" spans="1:13" x14ac:dyDescent="0.25">
      <c r="A75" t="s">
        <v>118</v>
      </c>
      <c r="B75" s="3">
        <v>45323.025694444441</v>
      </c>
      <c r="C75" s="2" t="s">
        <v>60</v>
      </c>
      <c r="D75" s="2" t="s">
        <v>25</v>
      </c>
      <c r="E75" t="s">
        <v>44</v>
      </c>
      <c r="F75">
        <v>1750.9</v>
      </c>
      <c r="G75" s="2" t="s">
        <v>17</v>
      </c>
      <c r="H75"/>
      <c r="I75">
        <v>2.1</v>
      </c>
      <c r="J75">
        <v>1</v>
      </c>
      <c r="K75">
        <v>0</v>
      </c>
      <c r="L75">
        <v>0</v>
      </c>
      <c r="M75">
        <v>0</v>
      </c>
    </row>
    <row r="76" spans="1:13" x14ac:dyDescent="0.25">
      <c r="A76" t="s">
        <v>119</v>
      </c>
      <c r="B76" s="3">
        <v>45323.497916666667</v>
      </c>
      <c r="C76" s="2" t="s">
        <v>13</v>
      </c>
      <c r="D76" s="2" t="s">
        <v>14</v>
      </c>
      <c r="E76" t="s">
        <v>28</v>
      </c>
      <c r="F76">
        <v>3519.74</v>
      </c>
      <c r="G76" s="2" t="s">
        <v>22</v>
      </c>
      <c r="H76"/>
      <c r="I76">
        <v>2.9</v>
      </c>
      <c r="J76">
        <v>8.7999999999999995E-2</v>
      </c>
      <c r="K76">
        <v>8.9821599999999986</v>
      </c>
      <c r="L76">
        <v>300.75495999999998</v>
      </c>
      <c r="M76">
        <v>309.73712</v>
      </c>
    </row>
    <row r="77" spans="1:13" x14ac:dyDescent="0.25">
      <c r="A77" t="s">
        <v>120</v>
      </c>
      <c r="B77" s="3">
        <v>45323.667361111111</v>
      </c>
      <c r="C77" s="2" t="s">
        <v>58</v>
      </c>
      <c r="D77" s="2" t="s">
        <v>25</v>
      </c>
      <c r="E77" t="s">
        <v>33</v>
      </c>
      <c r="F77">
        <v>2770.75</v>
      </c>
      <c r="G77" s="2" t="s">
        <v>22</v>
      </c>
      <c r="H77"/>
      <c r="I77">
        <v>1.9</v>
      </c>
      <c r="J77">
        <v>1</v>
      </c>
      <c r="K77">
        <v>52.64</v>
      </c>
      <c r="L77">
        <v>2718.11</v>
      </c>
      <c r="M77">
        <v>2770.75</v>
      </c>
    </row>
    <row r="78" spans="1:13" x14ac:dyDescent="0.25">
      <c r="A78" t="s">
        <v>121</v>
      </c>
      <c r="B78" s="3">
        <v>45323.854166666664</v>
      </c>
      <c r="C78" s="2" t="s">
        <v>19</v>
      </c>
      <c r="D78" s="2" t="s">
        <v>20</v>
      </c>
      <c r="E78" t="s">
        <v>44</v>
      </c>
      <c r="F78">
        <v>267.58</v>
      </c>
      <c r="G78" s="2" t="s">
        <v>22</v>
      </c>
      <c r="H78"/>
      <c r="I78">
        <v>2.1</v>
      </c>
      <c r="J78">
        <v>8.7999999999999995E-2</v>
      </c>
      <c r="K78">
        <v>0.49456</v>
      </c>
      <c r="L78">
        <v>23.052479999999996</v>
      </c>
      <c r="M78">
        <v>23.547039999999996</v>
      </c>
    </row>
    <row r="79" spans="1:13" x14ac:dyDescent="0.25">
      <c r="A79" t="s">
        <v>122</v>
      </c>
      <c r="B79" s="3">
        <v>45324.161805555559</v>
      </c>
      <c r="C79" s="2" t="s">
        <v>43</v>
      </c>
      <c r="D79" s="2" t="s">
        <v>25</v>
      </c>
      <c r="E79" t="s">
        <v>33</v>
      </c>
      <c r="F79">
        <v>92.01</v>
      </c>
      <c r="G79" s="2" t="s">
        <v>17</v>
      </c>
      <c r="H79"/>
      <c r="I79">
        <v>1.9</v>
      </c>
      <c r="J79">
        <v>1</v>
      </c>
      <c r="K79">
        <v>0</v>
      </c>
      <c r="L79">
        <v>0</v>
      </c>
      <c r="M79">
        <v>0</v>
      </c>
    </row>
    <row r="80" spans="1:13" x14ac:dyDescent="0.25">
      <c r="A80" t="s">
        <v>123</v>
      </c>
      <c r="B80" s="3">
        <v>45324.268750000003</v>
      </c>
      <c r="C80" s="2" t="s">
        <v>37</v>
      </c>
      <c r="D80" s="2" t="s">
        <v>38</v>
      </c>
      <c r="E80" t="s">
        <v>15</v>
      </c>
      <c r="F80">
        <v>612.79999999999995</v>
      </c>
      <c r="G80" s="2" t="s">
        <v>17</v>
      </c>
      <c r="H80"/>
      <c r="I80">
        <v>2.5</v>
      </c>
      <c r="J80">
        <v>0.23</v>
      </c>
      <c r="K80">
        <v>0</v>
      </c>
      <c r="L80">
        <v>0</v>
      </c>
      <c r="M80">
        <v>0</v>
      </c>
    </row>
    <row r="81" spans="1:13" x14ac:dyDescent="0.25">
      <c r="A81" t="s">
        <v>124</v>
      </c>
      <c r="B81" s="3">
        <v>45324.51666666667</v>
      </c>
      <c r="C81" s="2" t="s">
        <v>19</v>
      </c>
      <c r="D81" s="2" t="s">
        <v>20</v>
      </c>
      <c r="E81" t="s">
        <v>15</v>
      </c>
      <c r="F81">
        <v>1264.56</v>
      </c>
      <c r="G81" s="2" t="s">
        <v>17</v>
      </c>
      <c r="H81"/>
      <c r="I81">
        <v>2.5</v>
      </c>
      <c r="J81">
        <v>8.7999999999999995E-2</v>
      </c>
      <c r="K81">
        <v>0</v>
      </c>
      <c r="L81">
        <v>0</v>
      </c>
      <c r="M81">
        <v>0</v>
      </c>
    </row>
    <row r="82" spans="1:13" x14ac:dyDescent="0.25">
      <c r="A82" t="s">
        <v>125</v>
      </c>
      <c r="B82" s="3">
        <v>45324.842361111114</v>
      </c>
      <c r="C82" s="2" t="s">
        <v>58</v>
      </c>
      <c r="D82" s="2" t="s">
        <v>25</v>
      </c>
      <c r="E82" t="s">
        <v>39</v>
      </c>
      <c r="F82">
        <v>3233.75</v>
      </c>
      <c r="G82" s="2" t="s">
        <v>22</v>
      </c>
      <c r="H82"/>
      <c r="I82">
        <v>3.2</v>
      </c>
      <c r="J82">
        <v>1</v>
      </c>
      <c r="K82">
        <v>103.48</v>
      </c>
      <c r="L82">
        <v>3130.27</v>
      </c>
      <c r="M82">
        <v>3233.75</v>
      </c>
    </row>
    <row r="83" spans="1:13" x14ac:dyDescent="0.25">
      <c r="A83" t="s">
        <v>126</v>
      </c>
      <c r="B83" s="3">
        <v>45325.289583333331</v>
      </c>
      <c r="C83" s="2" t="s">
        <v>43</v>
      </c>
      <c r="D83" s="2" t="s">
        <v>25</v>
      </c>
      <c r="E83" t="s">
        <v>44</v>
      </c>
      <c r="F83">
        <v>4526.34</v>
      </c>
      <c r="G83" s="2" t="s">
        <v>22</v>
      </c>
      <c r="H83"/>
      <c r="I83">
        <v>2.1</v>
      </c>
      <c r="J83">
        <v>1</v>
      </c>
      <c r="K83">
        <v>95.05</v>
      </c>
      <c r="L83">
        <v>4431.29</v>
      </c>
      <c r="M83">
        <v>4526.34</v>
      </c>
    </row>
    <row r="84" spans="1:13" x14ac:dyDescent="0.25">
      <c r="A84" t="s">
        <v>127</v>
      </c>
      <c r="B84" s="3">
        <v>45326.376388888886</v>
      </c>
      <c r="C84" s="2" t="s">
        <v>31</v>
      </c>
      <c r="D84" s="2" t="s">
        <v>32</v>
      </c>
      <c r="E84" t="s">
        <v>28</v>
      </c>
      <c r="F84">
        <v>3243.37</v>
      </c>
      <c r="G84" s="2" t="s">
        <v>22</v>
      </c>
      <c r="H84"/>
      <c r="I84">
        <v>2.9</v>
      </c>
      <c r="J84">
        <v>1.17</v>
      </c>
      <c r="K84">
        <v>110.05019999999999</v>
      </c>
      <c r="L84">
        <v>3684.6926999999996</v>
      </c>
      <c r="M84">
        <v>3794.7428999999997</v>
      </c>
    </row>
    <row r="85" spans="1:13" x14ac:dyDescent="0.25">
      <c r="A85" t="s">
        <v>128</v>
      </c>
      <c r="B85" s="3">
        <v>45326.529166666667</v>
      </c>
      <c r="C85" s="2" t="s">
        <v>47</v>
      </c>
      <c r="D85" s="2" t="s">
        <v>25</v>
      </c>
      <c r="E85" t="s">
        <v>39</v>
      </c>
      <c r="F85">
        <v>105.2</v>
      </c>
      <c r="G85" s="2" t="s">
        <v>34</v>
      </c>
      <c r="H85" t="s">
        <v>35</v>
      </c>
      <c r="I85">
        <v>3.2</v>
      </c>
      <c r="J85">
        <v>1</v>
      </c>
      <c r="K85">
        <v>0</v>
      </c>
      <c r="L85">
        <v>0</v>
      </c>
      <c r="M85">
        <v>0</v>
      </c>
    </row>
    <row r="86" spans="1:13" x14ac:dyDescent="0.25">
      <c r="A86" t="s">
        <v>129</v>
      </c>
      <c r="B86" s="3">
        <v>45327.199305555558</v>
      </c>
      <c r="C86" s="2" t="s">
        <v>60</v>
      </c>
      <c r="D86" s="2" t="s">
        <v>25</v>
      </c>
      <c r="E86" t="s">
        <v>28</v>
      </c>
      <c r="F86">
        <v>1083.51</v>
      </c>
      <c r="G86" s="2" t="s">
        <v>34</v>
      </c>
      <c r="H86" t="s">
        <v>55</v>
      </c>
      <c r="I86">
        <v>2.9</v>
      </c>
      <c r="J86">
        <v>1</v>
      </c>
      <c r="K86">
        <v>0</v>
      </c>
      <c r="L86">
        <v>0</v>
      </c>
      <c r="M86">
        <v>0</v>
      </c>
    </row>
    <row r="87" spans="1:13" x14ac:dyDescent="0.25">
      <c r="A87" t="s">
        <v>130</v>
      </c>
      <c r="B87" s="3">
        <v>45327.367361111108</v>
      </c>
      <c r="C87" s="2" t="s">
        <v>58</v>
      </c>
      <c r="D87" s="2" t="s">
        <v>25</v>
      </c>
      <c r="E87" t="s">
        <v>39</v>
      </c>
      <c r="F87">
        <v>1343.19</v>
      </c>
      <c r="G87" s="2" t="s">
        <v>22</v>
      </c>
      <c r="H87"/>
      <c r="I87">
        <v>3.2</v>
      </c>
      <c r="J87">
        <v>1</v>
      </c>
      <c r="K87">
        <v>42.98</v>
      </c>
      <c r="L87">
        <v>1300.21</v>
      </c>
      <c r="M87">
        <v>1343.19</v>
      </c>
    </row>
    <row r="88" spans="1:13" x14ac:dyDescent="0.25">
      <c r="A88" t="s">
        <v>131</v>
      </c>
      <c r="B88" s="3">
        <v>45328.074305555558</v>
      </c>
      <c r="C88" s="2" t="s">
        <v>27</v>
      </c>
      <c r="D88" s="2" t="s">
        <v>25</v>
      </c>
      <c r="E88" t="s">
        <v>15</v>
      </c>
      <c r="F88">
        <v>2361.39</v>
      </c>
      <c r="G88" s="2" t="s">
        <v>17</v>
      </c>
      <c r="H88"/>
      <c r="I88">
        <v>2.5</v>
      </c>
      <c r="J88">
        <v>1</v>
      </c>
      <c r="K88">
        <v>0</v>
      </c>
      <c r="L88">
        <v>0</v>
      </c>
      <c r="M88">
        <v>0</v>
      </c>
    </row>
    <row r="89" spans="1:13" x14ac:dyDescent="0.25">
      <c r="A89" t="s">
        <v>132</v>
      </c>
      <c r="B89" s="3">
        <v>45328.090277777781</v>
      </c>
      <c r="C89" s="2" t="s">
        <v>37</v>
      </c>
      <c r="D89" s="2" t="s">
        <v>38</v>
      </c>
      <c r="E89" t="s">
        <v>44</v>
      </c>
      <c r="F89">
        <v>1591.22</v>
      </c>
      <c r="G89" s="2" t="s">
        <v>22</v>
      </c>
      <c r="H89"/>
      <c r="I89">
        <v>2.1</v>
      </c>
      <c r="J89">
        <v>0.23</v>
      </c>
      <c r="K89">
        <v>7.6866000000000003</v>
      </c>
      <c r="L89">
        <v>358.29399999999998</v>
      </c>
      <c r="M89">
        <v>365.98059999999998</v>
      </c>
    </row>
    <row r="90" spans="1:13" x14ac:dyDescent="0.25">
      <c r="A90" t="s">
        <v>133</v>
      </c>
      <c r="B90" s="3">
        <v>45328.37777777778</v>
      </c>
      <c r="C90" s="2" t="s">
        <v>24</v>
      </c>
      <c r="D90" s="2" t="s">
        <v>25</v>
      </c>
      <c r="E90" t="s">
        <v>33</v>
      </c>
      <c r="F90">
        <v>515.11</v>
      </c>
      <c r="G90" s="2" t="s">
        <v>22</v>
      </c>
      <c r="H90"/>
      <c r="I90">
        <v>1.9</v>
      </c>
      <c r="J90">
        <v>1</v>
      </c>
      <c r="K90">
        <v>9.7899999999999991</v>
      </c>
      <c r="L90">
        <v>505.32</v>
      </c>
      <c r="M90">
        <v>515.11</v>
      </c>
    </row>
    <row r="91" spans="1:13" x14ac:dyDescent="0.25">
      <c r="A91" t="s">
        <v>134</v>
      </c>
      <c r="B91" s="3">
        <v>45328.538194444445</v>
      </c>
      <c r="C91" s="2" t="s">
        <v>60</v>
      </c>
      <c r="D91" s="2" t="s">
        <v>25</v>
      </c>
      <c r="E91" t="s">
        <v>15</v>
      </c>
      <c r="F91">
        <v>2304.17</v>
      </c>
      <c r="G91" s="2" t="s">
        <v>22</v>
      </c>
      <c r="H91"/>
      <c r="I91">
        <v>2.5</v>
      </c>
      <c r="J91">
        <v>1</v>
      </c>
      <c r="K91">
        <v>57.6</v>
      </c>
      <c r="L91">
        <v>2246.5700000000002</v>
      </c>
      <c r="M91">
        <v>2304.17</v>
      </c>
    </row>
    <row r="92" spans="1:13" x14ac:dyDescent="0.25">
      <c r="A92" t="s">
        <v>135</v>
      </c>
      <c r="B92" s="3">
        <v>45328.677083333336</v>
      </c>
      <c r="C92" s="2" t="s">
        <v>47</v>
      </c>
      <c r="D92" s="2" t="s">
        <v>25</v>
      </c>
      <c r="E92" t="s">
        <v>15</v>
      </c>
      <c r="F92">
        <v>2700.78</v>
      </c>
      <c r="G92" s="2" t="s">
        <v>17</v>
      </c>
      <c r="H92"/>
      <c r="I92">
        <v>2.5</v>
      </c>
      <c r="J92">
        <v>1</v>
      </c>
      <c r="K92">
        <v>0</v>
      </c>
      <c r="L92">
        <v>0</v>
      </c>
      <c r="M92">
        <v>0</v>
      </c>
    </row>
    <row r="93" spans="1:13" x14ac:dyDescent="0.25">
      <c r="A93" t="s">
        <v>136</v>
      </c>
      <c r="B93" s="3">
        <v>45328.705555555556</v>
      </c>
      <c r="C93" s="2" t="s">
        <v>60</v>
      </c>
      <c r="D93" s="2" t="s">
        <v>25</v>
      </c>
      <c r="E93" t="s">
        <v>39</v>
      </c>
      <c r="F93">
        <v>668.59</v>
      </c>
      <c r="G93" s="2" t="s">
        <v>17</v>
      </c>
      <c r="H93"/>
      <c r="I93">
        <v>3.2</v>
      </c>
      <c r="J93">
        <v>1</v>
      </c>
      <c r="K93">
        <v>0</v>
      </c>
      <c r="L93">
        <v>0</v>
      </c>
      <c r="M93">
        <v>0</v>
      </c>
    </row>
    <row r="94" spans="1:13" x14ac:dyDescent="0.25">
      <c r="A94" t="s">
        <v>137</v>
      </c>
      <c r="B94" s="3">
        <v>45329.095138888886</v>
      </c>
      <c r="C94" s="2" t="s">
        <v>27</v>
      </c>
      <c r="D94" s="2" t="s">
        <v>25</v>
      </c>
      <c r="E94" t="s">
        <v>15</v>
      </c>
      <c r="F94">
        <v>3700.88</v>
      </c>
      <c r="G94" s="2" t="s">
        <v>22</v>
      </c>
      <c r="H94"/>
      <c r="I94">
        <v>2.5</v>
      </c>
      <c r="J94">
        <v>1</v>
      </c>
      <c r="K94">
        <v>92.52</v>
      </c>
      <c r="L94">
        <v>3608.36</v>
      </c>
      <c r="M94">
        <v>3700.88</v>
      </c>
    </row>
    <row r="95" spans="1:13" x14ac:dyDescent="0.25">
      <c r="A95" t="s">
        <v>138</v>
      </c>
      <c r="B95" s="3">
        <v>45329.180555555555</v>
      </c>
      <c r="C95" s="2" t="s">
        <v>31</v>
      </c>
      <c r="D95" s="2" t="s">
        <v>32</v>
      </c>
      <c r="E95" t="s">
        <v>15</v>
      </c>
      <c r="F95">
        <v>3403.74</v>
      </c>
      <c r="G95" s="2" t="s">
        <v>22</v>
      </c>
      <c r="H95"/>
      <c r="I95">
        <v>2.5</v>
      </c>
      <c r="J95">
        <v>1.17</v>
      </c>
      <c r="K95">
        <v>99.555300000000003</v>
      </c>
      <c r="L95">
        <v>3882.8204999999998</v>
      </c>
      <c r="M95">
        <v>3982.3757999999998</v>
      </c>
    </row>
    <row r="96" spans="1:13" x14ac:dyDescent="0.25">
      <c r="A96" t="s">
        <v>139</v>
      </c>
      <c r="B96" s="3">
        <v>45329.285416666666</v>
      </c>
      <c r="C96" s="2" t="s">
        <v>19</v>
      </c>
      <c r="D96" s="2" t="s">
        <v>20</v>
      </c>
      <c r="E96" t="s">
        <v>33</v>
      </c>
      <c r="F96">
        <v>2402.1799999999998</v>
      </c>
      <c r="G96" s="2" t="s">
        <v>22</v>
      </c>
      <c r="H96"/>
      <c r="I96">
        <v>1.9</v>
      </c>
      <c r="J96">
        <v>8.7999999999999995E-2</v>
      </c>
      <c r="K96">
        <v>4.0163199999999994</v>
      </c>
      <c r="L96">
        <v>207.37551999999999</v>
      </c>
      <c r="M96">
        <v>211.39184</v>
      </c>
    </row>
    <row r="97" spans="1:13" x14ac:dyDescent="0.25">
      <c r="A97" t="s">
        <v>140</v>
      </c>
      <c r="B97" s="3">
        <v>45329.522222222222</v>
      </c>
      <c r="C97" s="2" t="s">
        <v>43</v>
      </c>
      <c r="D97" s="2" t="s">
        <v>25</v>
      </c>
      <c r="E97" t="s">
        <v>33</v>
      </c>
      <c r="F97">
        <v>4128.3</v>
      </c>
      <c r="G97" s="2" t="s">
        <v>17</v>
      </c>
      <c r="H97"/>
      <c r="I97">
        <v>1.9</v>
      </c>
      <c r="J97">
        <v>1</v>
      </c>
      <c r="K97">
        <v>0</v>
      </c>
      <c r="L97">
        <v>0</v>
      </c>
      <c r="M97">
        <v>0</v>
      </c>
    </row>
    <row r="98" spans="1:13" x14ac:dyDescent="0.25">
      <c r="A98" t="s">
        <v>141</v>
      </c>
      <c r="B98" s="3">
        <v>45330.747916666667</v>
      </c>
      <c r="C98" s="2" t="s">
        <v>31</v>
      </c>
      <c r="D98" s="2" t="s">
        <v>32</v>
      </c>
      <c r="E98" t="s">
        <v>39</v>
      </c>
      <c r="F98">
        <v>4926.53</v>
      </c>
      <c r="G98" s="2" t="s">
        <v>34</v>
      </c>
      <c r="H98" t="s">
        <v>78</v>
      </c>
      <c r="I98">
        <v>3.2</v>
      </c>
      <c r="J98">
        <v>1.17</v>
      </c>
      <c r="K98">
        <v>0</v>
      </c>
      <c r="L98">
        <v>0</v>
      </c>
      <c r="M98">
        <v>0</v>
      </c>
    </row>
    <row r="99" spans="1:13" x14ac:dyDescent="0.25">
      <c r="A99" t="s">
        <v>142</v>
      </c>
      <c r="B99" s="3">
        <v>45330.868055555555</v>
      </c>
      <c r="C99" s="2" t="s">
        <v>31</v>
      </c>
      <c r="D99" s="2" t="s">
        <v>32</v>
      </c>
      <c r="E99" t="s">
        <v>15</v>
      </c>
      <c r="F99">
        <v>3751.51</v>
      </c>
      <c r="G99" s="2" t="s">
        <v>22</v>
      </c>
      <c r="H99"/>
      <c r="I99">
        <v>2.5</v>
      </c>
      <c r="J99">
        <v>1.17</v>
      </c>
      <c r="K99">
        <v>109.7343</v>
      </c>
      <c r="L99">
        <v>4279.5323999999991</v>
      </c>
      <c r="M99">
        <v>4389.2666999999992</v>
      </c>
    </row>
    <row r="100" spans="1:13" x14ac:dyDescent="0.25">
      <c r="A100" t="s">
        <v>143</v>
      </c>
      <c r="B100" s="3">
        <v>45330.877083333333</v>
      </c>
      <c r="C100" s="2" t="s">
        <v>60</v>
      </c>
      <c r="D100" s="2" t="s">
        <v>25</v>
      </c>
      <c r="E100" t="s">
        <v>15</v>
      </c>
      <c r="F100">
        <v>4214.3</v>
      </c>
      <c r="G100" s="2" t="s">
        <v>22</v>
      </c>
      <c r="H100"/>
      <c r="I100">
        <v>2.5</v>
      </c>
      <c r="J100">
        <v>1</v>
      </c>
      <c r="K100">
        <v>105.36</v>
      </c>
      <c r="L100">
        <v>4108.9399999999996</v>
      </c>
      <c r="M100">
        <v>4214.2999999999993</v>
      </c>
    </row>
    <row r="101" spans="1:13" x14ac:dyDescent="0.25">
      <c r="A101" t="s">
        <v>144</v>
      </c>
      <c r="B101" s="3">
        <v>45331.412499999999</v>
      </c>
      <c r="C101" s="2" t="s">
        <v>31</v>
      </c>
      <c r="D101" s="2" t="s">
        <v>32</v>
      </c>
      <c r="E101" t="s">
        <v>33</v>
      </c>
      <c r="F101">
        <v>4177.25</v>
      </c>
      <c r="G101" s="2" t="s">
        <v>17</v>
      </c>
      <c r="H101"/>
      <c r="I101">
        <v>1.9</v>
      </c>
      <c r="J101">
        <v>1.17</v>
      </c>
      <c r="K101">
        <v>0</v>
      </c>
      <c r="L101">
        <v>0</v>
      </c>
      <c r="M101">
        <v>0</v>
      </c>
    </row>
    <row r="102" spans="1:13" x14ac:dyDescent="0.25">
      <c r="A102" t="s">
        <v>145</v>
      </c>
      <c r="B102" s="3">
        <v>45331.765972222223</v>
      </c>
      <c r="C102" s="2" t="s">
        <v>31</v>
      </c>
      <c r="D102" s="2" t="s">
        <v>32</v>
      </c>
      <c r="E102" t="s">
        <v>33</v>
      </c>
      <c r="F102">
        <v>904.93</v>
      </c>
      <c r="G102" s="2" t="s">
        <v>17</v>
      </c>
      <c r="H102"/>
      <c r="I102">
        <v>1.9</v>
      </c>
      <c r="J102">
        <v>1.17</v>
      </c>
      <c r="K102">
        <v>0</v>
      </c>
      <c r="L102">
        <v>0</v>
      </c>
      <c r="M102">
        <v>0</v>
      </c>
    </row>
    <row r="103" spans="1:13" x14ac:dyDescent="0.25">
      <c r="A103" t="s">
        <v>146</v>
      </c>
      <c r="B103" s="3">
        <v>45331.869444444441</v>
      </c>
      <c r="C103" s="2" t="s">
        <v>47</v>
      </c>
      <c r="D103" s="2" t="s">
        <v>25</v>
      </c>
      <c r="E103" t="s">
        <v>33</v>
      </c>
      <c r="F103">
        <v>2170.2199999999998</v>
      </c>
      <c r="G103" s="2" t="s">
        <v>17</v>
      </c>
      <c r="H103"/>
      <c r="I103">
        <v>1.9</v>
      </c>
      <c r="J103">
        <v>1</v>
      </c>
      <c r="K103">
        <v>0</v>
      </c>
      <c r="L103">
        <v>0</v>
      </c>
      <c r="M103">
        <v>0</v>
      </c>
    </row>
    <row r="104" spans="1:13" x14ac:dyDescent="0.25">
      <c r="A104" t="s">
        <v>147</v>
      </c>
      <c r="B104" s="3">
        <v>45332.568055555559</v>
      </c>
      <c r="C104" s="2" t="s">
        <v>27</v>
      </c>
      <c r="D104" s="2" t="s">
        <v>25</v>
      </c>
      <c r="E104" t="s">
        <v>33</v>
      </c>
      <c r="F104">
        <v>1612.85</v>
      </c>
      <c r="G104" s="2" t="s">
        <v>22</v>
      </c>
      <c r="H104"/>
      <c r="I104">
        <v>1.9</v>
      </c>
      <c r="J104">
        <v>1</v>
      </c>
      <c r="K104">
        <v>30.64</v>
      </c>
      <c r="L104">
        <v>1582.21</v>
      </c>
      <c r="M104">
        <v>1612.8500000000001</v>
      </c>
    </row>
    <row r="105" spans="1:13" x14ac:dyDescent="0.25">
      <c r="A105" t="s">
        <v>148</v>
      </c>
      <c r="B105" s="3">
        <v>45332.793055555558</v>
      </c>
      <c r="C105" s="2" t="s">
        <v>58</v>
      </c>
      <c r="D105" s="2" t="s">
        <v>25</v>
      </c>
      <c r="E105" t="s">
        <v>15</v>
      </c>
      <c r="F105">
        <v>3284.31</v>
      </c>
      <c r="G105" s="2" t="s">
        <v>22</v>
      </c>
      <c r="H105"/>
      <c r="I105">
        <v>2.5</v>
      </c>
      <c r="J105">
        <v>1</v>
      </c>
      <c r="K105">
        <v>82.11</v>
      </c>
      <c r="L105">
        <v>3202.2</v>
      </c>
      <c r="M105">
        <v>3284.31</v>
      </c>
    </row>
    <row r="106" spans="1:13" x14ac:dyDescent="0.25">
      <c r="A106" t="s">
        <v>149</v>
      </c>
      <c r="B106" s="3">
        <v>45333.085416666669</v>
      </c>
      <c r="C106" s="2" t="s">
        <v>58</v>
      </c>
      <c r="D106" s="2" t="s">
        <v>25</v>
      </c>
      <c r="E106" t="s">
        <v>44</v>
      </c>
      <c r="F106">
        <v>1081.77</v>
      </c>
      <c r="G106" s="2" t="s">
        <v>22</v>
      </c>
      <c r="H106"/>
      <c r="I106">
        <v>2.1</v>
      </c>
      <c r="J106">
        <v>1</v>
      </c>
      <c r="K106">
        <v>22.72</v>
      </c>
      <c r="L106">
        <v>1059.05</v>
      </c>
      <c r="M106">
        <v>1081.77</v>
      </c>
    </row>
    <row r="107" spans="1:13" x14ac:dyDescent="0.25">
      <c r="A107" t="s">
        <v>150</v>
      </c>
      <c r="B107" s="3">
        <v>45333.168749999997</v>
      </c>
      <c r="C107" s="2" t="s">
        <v>47</v>
      </c>
      <c r="D107" s="2" t="s">
        <v>25</v>
      </c>
      <c r="E107" t="s">
        <v>15</v>
      </c>
      <c r="F107">
        <v>2720.53</v>
      </c>
      <c r="G107" s="2" t="s">
        <v>22</v>
      </c>
      <c r="H107"/>
      <c r="I107">
        <v>2.5</v>
      </c>
      <c r="J107">
        <v>1</v>
      </c>
      <c r="K107">
        <v>68.010000000000005</v>
      </c>
      <c r="L107">
        <v>2652.52</v>
      </c>
      <c r="M107">
        <v>2720.53</v>
      </c>
    </row>
    <row r="108" spans="1:13" x14ac:dyDescent="0.25">
      <c r="A108" t="s">
        <v>151</v>
      </c>
      <c r="B108" s="3">
        <v>45334.401388888888</v>
      </c>
      <c r="C108" s="2" t="s">
        <v>13</v>
      </c>
      <c r="D108" s="2" t="s">
        <v>14</v>
      </c>
      <c r="E108" t="s">
        <v>15</v>
      </c>
      <c r="F108">
        <v>953.21</v>
      </c>
      <c r="G108" s="2" t="s">
        <v>22</v>
      </c>
      <c r="H108"/>
      <c r="I108">
        <v>2.5</v>
      </c>
      <c r="J108">
        <v>8.7999999999999995E-2</v>
      </c>
      <c r="K108">
        <v>2.0970399999999998</v>
      </c>
      <c r="L108">
        <v>81.785439999999994</v>
      </c>
      <c r="M108">
        <v>83.882479999999987</v>
      </c>
    </row>
    <row r="109" spans="1:13" x14ac:dyDescent="0.25">
      <c r="A109" t="s">
        <v>152</v>
      </c>
      <c r="B109" s="3">
        <v>45334.662499999999</v>
      </c>
      <c r="C109" s="2" t="s">
        <v>58</v>
      </c>
      <c r="D109" s="2" t="s">
        <v>25</v>
      </c>
      <c r="E109" t="s">
        <v>39</v>
      </c>
      <c r="F109">
        <v>4886.87</v>
      </c>
      <c r="G109" s="2" t="s">
        <v>22</v>
      </c>
      <c r="H109"/>
      <c r="I109">
        <v>3.2</v>
      </c>
      <c r="J109">
        <v>1</v>
      </c>
      <c r="K109">
        <v>156.38</v>
      </c>
      <c r="L109">
        <v>4730.49</v>
      </c>
      <c r="M109">
        <v>4886.87</v>
      </c>
    </row>
    <row r="110" spans="1:13" x14ac:dyDescent="0.25">
      <c r="A110" t="s">
        <v>153</v>
      </c>
      <c r="B110" s="3">
        <v>45335.349305555559</v>
      </c>
      <c r="C110" s="2" t="s">
        <v>58</v>
      </c>
      <c r="D110" s="2" t="s">
        <v>25</v>
      </c>
      <c r="E110" t="s">
        <v>39</v>
      </c>
      <c r="F110">
        <v>766.54</v>
      </c>
      <c r="G110" s="2" t="s">
        <v>17</v>
      </c>
      <c r="H110"/>
      <c r="I110">
        <v>3.2</v>
      </c>
      <c r="J110">
        <v>1</v>
      </c>
      <c r="K110">
        <v>0</v>
      </c>
      <c r="L110">
        <v>0</v>
      </c>
      <c r="M110">
        <v>0</v>
      </c>
    </row>
    <row r="111" spans="1:13" x14ac:dyDescent="0.25">
      <c r="A111" t="s">
        <v>154</v>
      </c>
      <c r="B111" s="3">
        <v>45335.754166666666</v>
      </c>
      <c r="C111" s="2" t="s">
        <v>13</v>
      </c>
      <c r="D111" s="2" t="s">
        <v>14</v>
      </c>
      <c r="E111" t="s">
        <v>44</v>
      </c>
      <c r="F111">
        <v>383.4</v>
      </c>
      <c r="G111" s="2" t="s">
        <v>17</v>
      </c>
      <c r="H111"/>
      <c r="I111">
        <v>2.1</v>
      </c>
      <c r="J111">
        <v>8.7999999999999995E-2</v>
      </c>
      <c r="K111">
        <v>0</v>
      </c>
      <c r="L111">
        <v>0</v>
      </c>
      <c r="M111">
        <v>0</v>
      </c>
    </row>
    <row r="112" spans="1:13" x14ac:dyDescent="0.25">
      <c r="A112" t="s">
        <v>155</v>
      </c>
      <c r="B112" s="3">
        <v>45336.04583333333</v>
      </c>
      <c r="C112" s="2" t="s">
        <v>58</v>
      </c>
      <c r="D112" s="2" t="s">
        <v>25</v>
      </c>
      <c r="E112" t="s">
        <v>44</v>
      </c>
      <c r="F112">
        <v>3363.73</v>
      </c>
      <c r="G112" s="2" t="s">
        <v>17</v>
      </c>
      <c r="H112"/>
      <c r="I112">
        <v>2.1</v>
      </c>
      <c r="J112">
        <v>1</v>
      </c>
      <c r="K112">
        <v>0</v>
      </c>
      <c r="L112">
        <v>0</v>
      </c>
      <c r="M112">
        <v>0</v>
      </c>
    </row>
    <row r="113" spans="1:13" x14ac:dyDescent="0.25">
      <c r="A113" t="s">
        <v>156</v>
      </c>
      <c r="B113" s="3">
        <v>45336.130555555559</v>
      </c>
      <c r="C113" s="2" t="s">
        <v>31</v>
      </c>
      <c r="D113" s="2" t="s">
        <v>32</v>
      </c>
      <c r="E113" t="s">
        <v>33</v>
      </c>
      <c r="F113">
        <v>1764.16</v>
      </c>
      <c r="G113" s="2" t="s">
        <v>34</v>
      </c>
      <c r="H113" t="s">
        <v>62</v>
      </c>
      <c r="I113">
        <v>1.9</v>
      </c>
      <c r="J113">
        <v>1.17</v>
      </c>
      <c r="K113">
        <v>0</v>
      </c>
      <c r="L113">
        <v>0</v>
      </c>
      <c r="M113">
        <v>0</v>
      </c>
    </row>
    <row r="114" spans="1:13" x14ac:dyDescent="0.25">
      <c r="A114" t="s">
        <v>157</v>
      </c>
      <c r="B114" s="3">
        <v>45336.227083333331</v>
      </c>
      <c r="C114" s="2" t="s">
        <v>43</v>
      </c>
      <c r="D114" s="2" t="s">
        <v>25</v>
      </c>
      <c r="E114" t="s">
        <v>33</v>
      </c>
      <c r="F114">
        <v>2567.08</v>
      </c>
      <c r="G114" s="2" t="s">
        <v>22</v>
      </c>
      <c r="H114"/>
      <c r="I114">
        <v>1.9</v>
      </c>
      <c r="J114">
        <v>1</v>
      </c>
      <c r="K114">
        <v>48.77</v>
      </c>
      <c r="L114">
        <v>2518.31</v>
      </c>
      <c r="M114">
        <v>2567.08</v>
      </c>
    </row>
    <row r="115" spans="1:13" x14ac:dyDescent="0.25">
      <c r="A115" t="s">
        <v>158</v>
      </c>
      <c r="B115" s="3">
        <v>45337.018055555556</v>
      </c>
      <c r="C115" s="2" t="s">
        <v>47</v>
      </c>
      <c r="D115" s="2" t="s">
        <v>25</v>
      </c>
      <c r="E115" t="s">
        <v>15</v>
      </c>
      <c r="F115">
        <v>2783.51</v>
      </c>
      <c r="G115" s="2" t="s">
        <v>17</v>
      </c>
      <c r="H115"/>
      <c r="I115">
        <v>2.5</v>
      </c>
      <c r="J115">
        <v>1</v>
      </c>
      <c r="K115">
        <v>0</v>
      </c>
      <c r="L115">
        <v>0</v>
      </c>
      <c r="M115">
        <v>0</v>
      </c>
    </row>
    <row r="116" spans="1:13" x14ac:dyDescent="0.25">
      <c r="A116" t="s">
        <v>159</v>
      </c>
      <c r="B116" s="3">
        <v>45337.482638888891</v>
      </c>
      <c r="C116" s="2" t="s">
        <v>31</v>
      </c>
      <c r="D116" s="2" t="s">
        <v>32</v>
      </c>
      <c r="E116" t="s">
        <v>33</v>
      </c>
      <c r="F116">
        <v>3924.35</v>
      </c>
      <c r="G116" s="2" t="s">
        <v>34</v>
      </c>
      <c r="H116" t="s">
        <v>78</v>
      </c>
      <c r="I116">
        <v>1.9</v>
      </c>
      <c r="J116">
        <v>1.17</v>
      </c>
      <c r="K116">
        <v>0</v>
      </c>
      <c r="L116">
        <v>0</v>
      </c>
      <c r="M116">
        <v>0</v>
      </c>
    </row>
    <row r="117" spans="1:13" x14ac:dyDescent="0.25">
      <c r="A117" t="s">
        <v>160</v>
      </c>
      <c r="B117" s="3">
        <v>45338.079861111109</v>
      </c>
      <c r="C117" s="2" t="s">
        <v>31</v>
      </c>
      <c r="D117" s="2" t="s">
        <v>32</v>
      </c>
      <c r="E117" t="s">
        <v>44</v>
      </c>
      <c r="F117">
        <v>3962.48</v>
      </c>
      <c r="G117" s="2" t="s">
        <v>34</v>
      </c>
      <c r="H117" t="s">
        <v>100</v>
      </c>
      <c r="I117">
        <v>2.1</v>
      </c>
      <c r="J117">
        <v>1.17</v>
      </c>
      <c r="K117">
        <v>0</v>
      </c>
      <c r="L117">
        <v>0</v>
      </c>
      <c r="M117">
        <v>0</v>
      </c>
    </row>
    <row r="118" spans="1:13" x14ac:dyDescent="0.25">
      <c r="A118" t="s">
        <v>161</v>
      </c>
      <c r="B118" s="3">
        <v>45338.086805555555</v>
      </c>
      <c r="C118" s="2" t="s">
        <v>58</v>
      </c>
      <c r="D118" s="2" t="s">
        <v>25</v>
      </c>
      <c r="E118" t="s">
        <v>28</v>
      </c>
      <c r="F118">
        <v>4060.73</v>
      </c>
      <c r="G118" s="2" t="s">
        <v>17</v>
      </c>
      <c r="H118"/>
      <c r="I118">
        <v>2.9</v>
      </c>
      <c r="J118">
        <v>1</v>
      </c>
      <c r="K118">
        <v>0</v>
      </c>
      <c r="L118">
        <v>0</v>
      </c>
      <c r="M118">
        <v>0</v>
      </c>
    </row>
    <row r="119" spans="1:13" x14ac:dyDescent="0.25">
      <c r="A119" t="s">
        <v>162</v>
      </c>
      <c r="B119" s="3">
        <v>45338.15625</v>
      </c>
      <c r="C119" s="2" t="s">
        <v>43</v>
      </c>
      <c r="D119" s="2" t="s">
        <v>25</v>
      </c>
      <c r="E119" t="s">
        <v>39</v>
      </c>
      <c r="F119">
        <v>2623.85</v>
      </c>
      <c r="G119" s="2" t="s">
        <v>34</v>
      </c>
      <c r="H119" t="s">
        <v>100</v>
      </c>
      <c r="I119">
        <v>3.2</v>
      </c>
      <c r="J119">
        <v>1</v>
      </c>
      <c r="K119">
        <v>0</v>
      </c>
      <c r="L119">
        <v>0</v>
      </c>
      <c r="M119">
        <v>0</v>
      </c>
    </row>
    <row r="120" spans="1:13" x14ac:dyDescent="0.25">
      <c r="A120" t="s">
        <v>163</v>
      </c>
      <c r="B120" s="3">
        <v>45338.669444444444</v>
      </c>
      <c r="C120" s="2" t="s">
        <v>31</v>
      </c>
      <c r="D120" s="2" t="s">
        <v>32</v>
      </c>
      <c r="E120" t="s">
        <v>39</v>
      </c>
      <c r="F120">
        <v>2289.19</v>
      </c>
      <c r="G120" s="2" t="s">
        <v>22</v>
      </c>
      <c r="H120"/>
      <c r="I120">
        <v>3.2</v>
      </c>
      <c r="J120">
        <v>1.17</v>
      </c>
      <c r="K120">
        <v>85.702500000000001</v>
      </c>
      <c r="L120">
        <v>2592.6497999999997</v>
      </c>
      <c r="M120">
        <v>2678.3522999999996</v>
      </c>
    </row>
    <row r="121" spans="1:13" x14ac:dyDescent="0.25">
      <c r="A121" t="s">
        <v>164</v>
      </c>
      <c r="B121" s="3">
        <v>45338.686111111114</v>
      </c>
      <c r="C121" s="2" t="s">
        <v>60</v>
      </c>
      <c r="D121" s="2" t="s">
        <v>25</v>
      </c>
      <c r="E121" t="s">
        <v>15</v>
      </c>
      <c r="F121">
        <v>2571.11</v>
      </c>
      <c r="G121" s="2" t="s">
        <v>34</v>
      </c>
      <c r="H121" t="s">
        <v>100</v>
      </c>
      <c r="I121">
        <v>2.5</v>
      </c>
      <c r="J121">
        <v>1</v>
      </c>
      <c r="K121">
        <v>0</v>
      </c>
      <c r="L121">
        <v>0</v>
      </c>
      <c r="M121">
        <v>0</v>
      </c>
    </row>
    <row r="122" spans="1:13" x14ac:dyDescent="0.25">
      <c r="A122" t="s">
        <v>165</v>
      </c>
      <c r="B122" s="3">
        <v>45338.818749999999</v>
      </c>
      <c r="C122" s="2" t="s">
        <v>47</v>
      </c>
      <c r="D122" s="2" t="s">
        <v>25</v>
      </c>
      <c r="E122" t="s">
        <v>33</v>
      </c>
      <c r="F122">
        <v>1042.19</v>
      </c>
      <c r="G122" s="2" t="s">
        <v>34</v>
      </c>
      <c r="H122" t="s">
        <v>62</v>
      </c>
      <c r="I122">
        <v>1.9</v>
      </c>
      <c r="J122">
        <v>1</v>
      </c>
      <c r="K122">
        <v>0</v>
      </c>
      <c r="L122">
        <v>0</v>
      </c>
      <c r="M122">
        <v>0</v>
      </c>
    </row>
    <row r="123" spans="1:13" x14ac:dyDescent="0.25">
      <c r="A123" t="s">
        <v>166</v>
      </c>
      <c r="B123" s="3">
        <v>45338.884027777778</v>
      </c>
      <c r="C123" s="2" t="s">
        <v>19</v>
      </c>
      <c r="D123" s="2" t="s">
        <v>20</v>
      </c>
      <c r="E123" t="s">
        <v>28</v>
      </c>
      <c r="F123">
        <v>3936.11</v>
      </c>
      <c r="G123" s="2" t="s">
        <v>22</v>
      </c>
      <c r="H123"/>
      <c r="I123">
        <v>2.9</v>
      </c>
      <c r="J123">
        <v>8.7999999999999995E-2</v>
      </c>
      <c r="K123">
        <v>10.045199999999999</v>
      </c>
      <c r="L123">
        <v>336.33247999999998</v>
      </c>
      <c r="M123">
        <v>346.37768</v>
      </c>
    </row>
    <row r="124" spans="1:13" x14ac:dyDescent="0.25">
      <c r="A124" t="s">
        <v>167</v>
      </c>
      <c r="B124" s="3">
        <v>45339.081944444442</v>
      </c>
      <c r="C124" s="2" t="s">
        <v>24</v>
      </c>
      <c r="D124" s="2" t="s">
        <v>25</v>
      </c>
      <c r="E124" t="s">
        <v>33</v>
      </c>
      <c r="F124">
        <v>3507.23</v>
      </c>
      <c r="G124" s="2" t="s">
        <v>22</v>
      </c>
      <c r="H124"/>
      <c r="I124">
        <v>1.9</v>
      </c>
      <c r="J124">
        <v>1</v>
      </c>
      <c r="K124">
        <v>66.64</v>
      </c>
      <c r="L124">
        <v>3440.59</v>
      </c>
      <c r="M124">
        <v>3507.23</v>
      </c>
    </row>
    <row r="125" spans="1:13" x14ac:dyDescent="0.25">
      <c r="A125" t="s">
        <v>168</v>
      </c>
      <c r="B125" s="3">
        <v>45339.298611111109</v>
      </c>
      <c r="C125" s="2" t="s">
        <v>58</v>
      </c>
      <c r="D125" s="2" t="s">
        <v>25</v>
      </c>
      <c r="E125" t="s">
        <v>15</v>
      </c>
      <c r="F125">
        <v>1076.5999999999999</v>
      </c>
      <c r="G125" s="2" t="s">
        <v>34</v>
      </c>
      <c r="H125" t="s">
        <v>78</v>
      </c>
      <c r="I125">
        <v>2.5</v>
      </c>
      <c r="J125">
        <v>1</v>
      </c>
      <c r="K125">
        <v>0</v>
      </c>
      <c r="L125">
        <v>0</v>
      </c>
      <c r="M125">
        <v>0</v>
      </c>
    </row>
    <row r="126" spans="1:13" x14ac:dyDescent="0.25">
      <c r="A126" t="s">
        <v>169</v>
      </c>
      <c r="B126" s="3">
        <v>45339.468055555553</v>
      </c>
      <c r="C126" s="2" t="s">
        <v>24</v>
      </c>
      <c r="D126" s="2" t="s">
        <v>25</v>
      </c>
      <c r="E126" t="s">
        <v>39</v>
      </c>
      <c r="F126">
        <v>1810.38</v>
      </c>
      <c r="G126" s="2" t="s">
        <v>22</v>
      </c>
      <c r="H126"/>
      <c r="I126">
        <v>3.2</v>
      </c>
      <c r="J126">
        <v>1</v>
      </c>
      <c r="K126">
        <v>57.93</v>
      </c>
      <c r="L126">
        <v>1752.45</v>
      </c>
      <c r="M126">
        <v>1810.38</v>
      </c>
    </row>
    <row r="127" spans="1:13" x14ac:dyDescent="0.25">
      <c r="A127" t="s">
        <v>170</v>
      </c>
      <c r="B127" s="3">
        <v>45339.504166666666</v>
      </c>
      <c r="C127" s="2" t="s">
        <v>37</v>
      </c>
      <c r="D127" s="2" t="s">
        <v>38</v>
      </c>
      <c r="E127" t="s">
        <v>39</v>
      </c>
      <c r="F127">
        <v>1329.96</v>
      </c>
      <c r="G127" s="2" t="s">
        <v>22</v>
      </c>
      <c r="H127"/>
      <c r="I127">
        <v>3.2</v>
      </c>
      <c r="J127">
        <v>0.23</v>
      </c>
      <c r="K127">
        <v>9.7888000000000002</v>
      </c>
      <c r="L127">
        <v>296.10200000000003</v>
      </c>
      <c r="M127">
        <v>305.89080000000001</v>
      </c>
    </row>
    <row r="128" spans="1:13" x14ac:dyDescent="0.25">
      <c r="A128" t="s">
        <v>171</v>
      </c>
      <c r="B128" s="3">
        <v>45339.51666666667</v>
      </c>
      <c r="C128" s="2" t="s">
        <v>58</v>
      </c>
      <c r="D128" s="2" t="s">
        <v>25</v>
      </c>
      <c r="E128" t="s">
        <v>33</v>
      </c>
      <c r="F128">
        <v>290.01</v>
      </c>
      <c r="G128" s="2" t="s">
        <v>22</v>
      </c>
      <c r="H128"/>
      <c r="I128">
        <v>1.9</v>
      </c>
      <c r="J128">
        <v>1</v>
      </c>
      <c r="K128">
        <v>5.51</v>
      </c>
      <c r="L128">
        <v>284.5</v>
      </c>
      <c r="M128">
        <v>290.01</v>
      </c>
    </row>
    <row r="129" spans="1:13" x14ac:dyDescent="0.25">
      <c r="A129" t="s">
        <v>172</v>
      </c>
      <c r="B129" s="3">
        <v>45339.605555555558</v>
      </c>
      <c r="C129" s="2" t="s">
        <v>60</v>
      </c>
      <c r="D129" s="2" t="s">
        <v>25</v>
      </c>
      <c r="E129" t="s">
        <v>15</v>
      </c>
      <c r="F129">
        <v>778.85</v>
      </c>
      <c r="G129" s="2" t="s">
        <v>22</v>
      </c>
      <c r="H129"/>
      <c r="I129">
        <v>2.5</v>
      </c>
      <c r="J129">
        <v>1</v>
      </c>
      <c r="K129">
        <v>19.47</v>
      </c>
      <c r="L129">
        <v>759.38</v>
      </c>
      <c r="M129">
        <v>778.85</v>
      </c>
    </row>
    <row r="130" spans="1:13" x14ac:dyDescent="0.25">
      <c r="A130" t="s">
        <v>173</v>
      </c>
      <c r="B130" s="3">
        <v>45339.654166666667</v>
      </c>
      <c r="C130" s="2" t="s">
        <v>27</v>
      </c>
      <c r="D130" s="2" t="s">
        <v>25</v>
      </c>
      <c r="E130" t="s">
        <v>33</v>
      </c>
      <c r="F130">
        <v>4139.33</v>
      </c>
      <c r="G130" s="2" t="s">
        <v>34</v>
      </c>
      <c r="H130" t="s">
        <v>100</v>
      </c>
      <c r="I130">
        <v>1.9</v>
      </c>
      <c r="J130">
        <v>1</v>
      </c>
      <c r="K130">
        <v>0</v>
      </c>
      <c r="L130">
        <v>0</v>
      </c>
      <c r="M130">
        <v>0</v>
      </c>
    </row>
    <row r="131" spans="1:13" x14ac:dyDescent="0.25">
      <c r="A131" t="s">
        <v>174</v>
      </c>
      <c r="B131" s="3">
        <v>45340.061805555553</v>
      </c>
      <c r="C131" s="2" t="s">
        <v>37</v>
      </c>
      <c r="D131" s="2" t="s">
        <v>38</v>
      </c>
      <c r="E131" t="s">
        <v>44</v>
      </c>
      <c r="F131">
        <v>1332.29</v>
      </c>
      <c r="G131" s="2" t="s">
        <v>17</v>
      </c>
      <c r="H131"/>
      <c r="I131">
        <v>2.1</v>
      </c>
      <c r="J131">
        <v>0.23</v>
      </c>
      <c r="K131">
        <v>0</v>
      </c>
      <c r="L131">
        <v>0</v>
      </c>
      <c r="M131">
        <v>0</v>
      </c>
    </row>
    <row r="132" spans="1:13" x14ac:dyDescent="0.25">
      <c r="A132" t="s">
        <v>175</v>
      </c>
      <c r="B132" s="3">
        <v>45340.435416666667</v>
      </c>
      <c r="C132" s="2" t="s">
        <v>37</v>
      </c>
      <c r="D132" s="2" t="s">
        <v>38</v>
      </c>
      <c r="E132" t="s">
        <v>39</v>
      </c>
      <c r="F132">
        <v>4768.43</v>
      </c>
      <c r="G132" s="2" t="s">
        <v>34</v>
      </c>
      <c r="H132" t="s">
        <v>78</v>
      </c>
      <c r="I132">
        <v>3.2</v>
      </c>
      <c r="J132">
        <v>0.23</v>
      </c>
      <c r="K132">
        <v>0</v>
      </c>
      <c r="L132">
        <v>0</v>
      </c>
      <c r="M132">
        <v>0</v>
      </c>
    </row>
    <row r="133" spans="1:13" x14ac:dyDescent="0.25">
      <c r="A133" t="s">
        <v>176</v>
      </c>
      <c r="B133" s="3">
        <v>45341.059027777781</v>
      </c>
      <c r="C133" s="2" t="s">
        <v>19</v>
      </c>
      <c r="D133" s="2" t="s">
        <v>20</v>
      </c>
      <c r="E133" t="s">
        <v>33</v>
      </c>
      <c r="F133">
        <v>776.41</v>
      </c>
      <c r="G133" s="2" t="s">
        <v>22</v>
      </c>
      <c r="H133"/>
      <c r="I133">
        <v>1.9</v>
      </c>
      <c r="J133">
        <v>8.7999999999999995E-2</v>
      </c>
      <c r="K133">
        <v>1.2979999999999998</v>
      </c>
      <c r="L133">
        <v>67.026079999999993</v>
      </c>
      <c r="M133">
        <v>68.324079999999995</v>
      </c>
    </row>
    <row r="134" spans="1:13" x14ac:dyDescent="0.25">
      <c r="A134" t="s">
        <v>177</v>
      </c>
      <c r="B134" s="3">
        <v>45342.324305555558</v>
      </c>
      <c r="C134" s="2" t="s">
        <v>58</v>
      </c>
      <c r="D134" s="2" t="s">
        <v>25</v>
      </c>
      <c r="E134" t="s">
        <v>44</v>
      </c>
      <c r="F134">
        <v>4457.91</v>
      </c>
      <c r="G134" s="2" t="s">
        <v>22</v>
      </c>
      <c r="H134"/>
      <c r="I134">
        <v>2.1</v>
      </c>
      <c r="J134">
        <v>1</v>
      </c>
      <c r="K134">
        <v>93.62</v>
      </c>
      <c r="L134">
        <v>4364.29</v>
      </c>
      <c r="M134">
        <v>4457.91</v>
      </c>
    </row>
    <row r="135" spans="1:13" x14ac:dyDescent="0.25">
      <c r="A135" t="s">
        <v>178</v>
      </c>
      <c r="B135" s="3">
        <v>45342.551388888889</v>
      </c>
      <c r="C135" s="2" t="s">
        <v>31</v>
      </c>
      <c r="D135" s="2" t="s">
        <v>32</v>
      </c>
      <c r="E135" t="s">
        <v>39</v>
      </c>
      <c r="F135">
        <v>3847.34</v>
      </c>
      <c r="G135" s="2" t="s">
        <v>17</v>
      </c>
      <c r="H135"/>
      <c r="I135">
        <v>3.2</v>
      </c>
      <c r="J135">
        <v>1.17</v>
      </c>
      <c r="K135">
        <v>0</v>
      </c>
      <c r="L135">
        <v>0</v>
      </c>
      <c r="M135">
        <v>0</v>
      </c>
    </row>
    <row r="136" spans="1:13" x14ac:dyDescent="0.25">
      <c r="A136" t="s">
        <v>179</v>
      </c>
      <c r="B136" s="3">
        <v>45342.864583333336</v>
      </c>
      <c r="C136" s="2" t="s">
        <v>31</v>
      </c>
      <c r="D136" s="2" t="s">
        <v>32</v>
      </c>
      <c r="E136" t="s">
        <v>15</v>
      </c>
      <c r="F136">
        <v>3473.07</v>
      </c>
      <c r="G136" s="2" t="s">
        <v>22</v>
      </c>
      <c r="H136"/>
      <c r="I136">
        <v>2.5</v>
      </c>
      <c r="J136">
        <v>1.17</v>
      </c>
      <c r="K136">
        <v>101.5911</v>
      </c>
      <c r="L136">
        <v>3961.9007999999994</v>
      </c>
      <c r="M136">
        <v>4063.4918999999995</v>
      </c>
    </row>
    <row r="137" spans="1:13" x14ac:dyDescent="0.25">
      <c r="A137" t="s">
        <v>180</v>
      </c>
      <c r="B137" s="3">
        <v>45342.868055555555</v>
      </c>
      <c r="C137" s="2" t="s">
        <v>43</v>
      </c>
      <c r="D137" s="2" t="s">
        <v>25</v>
      </c>
      <c r="E137" t="s">
        <v>28</v>
      </c>
      <c r="F137">
        <v>4647.87</v>
      </c>
      <c r="G137" s="2" t="s">
        <v>22</v>
      </c>
      <c r="H137"/>
      <c r="I137">
        <v>2.9</v>
      </c>
      <c r="J137">
        <v>1</v>
      </c>
      <c r="K137">
        <v>134.79</v>
      </c>
      <c r="L137">
        <v>4513.08</v>
      </c>
      <c r="M137">
        <v>4647.87</v>
      </c>
    </row>
    <row r="138" spans="1:13" x14ac:dyDescent="0.25">
      <c r="A138" t="s">
        <v>181</v>
      </c>
      <c r="B138" s="3">
        <v>45343.429861111108</v>
      </c>
      <c r="C138" s="2" t="s">
        <v>37</v>
      </c>
      <c r="D138" s="2" t="s">
        <v>38</v>
      </c>
      <c r="E138" t="s">
        <v>44</v>
      </c>
      <c r="F138">
        <v>3664.44</v>
      </c>
      <c r="G138" s="2" t="s">
        <v>34</v>
      </c>
      <c r="H138" t="s">
        <v>55</v>
      </c>
      <c r="I138">
        <v>2.1</v>
      </c>
      <c r="J138">
        <v>0.23</v>
      </c>
      <c r="K138">
        <v>0</v>
      </c>
      <c r="L138">
        <v>0</v>
      </c>
      <c r="M138">
        <v>0</v>
      </c>
    </row>
    <row r="139" spans="1:13" x14ac:dyDescent="0.25">
      <c r="A139" t="s">
        <v>182</v>
      </c>
      <c r="B139" s="3">
        <v>45343.511805555558</v>
      </c>
      <c r="C139" s="2" t="s">
        <v>43</v>
      </c>
      <c r="D139" s="2" t="s">
        <v>25</v>
      </c>
      <c r="E139" t="s">
        <v>39</v>
      </c>
      <c r="F139">
        <v>1857.2</v>
      </c>
      <c r="G139" s="2" t="s">
        <v>22</v>
      </c>
      <c r="H139"/>
      <c r="I139">
        <v>3.2</v>
      </c>
      <c r="J139">
        <v>1</v>
      </c>
      <c r="K139">
        <v>59.43</v>
      </c>
      <c r="L139">
        <v>1797.77</v>
      </c>
      <c r="M139">
        <v>1857.2</v>
      </c>
    </row>
    <row r="140" spans="1:13" x14ac:dyDescent="0.25">
      <c r="A140" t="s">
        <v>183</v>
      </c>
      <c r="B140" s="3">
        <v>45345.272916666669</v>
      </c>
      <c r="C140" s="2" t="s">
        <v>24</v>
      </c>
      <c r="D140" s="2" t="s">
        <v>25</v>
      </c>
      <c r="E140" t="s">
        <v>15</v>
      </c>
      <c r="F140">
        <v>4806.3100000000004</v>
      </c>
      <c r="G140" s="2" t="s">
        <v>22</v>
      </c>
      <c r="H140"/>
      <c r="I140">
        <v>2.5</v>
      </c>
      <c r="J140">
        <v>1</v>
      </c>
      <c r="K140">
        <v>120.16</v>
      </c>
      <c r="L140">
        <v>4686.1499999999996</v>
      </c>
      <c r="M140">
        <v>4806.3099999999995</v>
      </c>
    </row>
    <row r="141" spans="1:13" x14ac:dyDescent="0.25">
      <c r="A141" t="s">
        <v>184</v>
      </c>
      <c r="B141" s="3">
        <v>45345.393055555556</v>
      </c>
      <c r="C141" s="2" t="s">
        <v>31</v>
      </c>
      <c r="D141" s="2" t="s">
        <v>32</v>
      </c>
      <c r="E141" t="s">
        <v>28</v>
      </c>
      <c r="F141">
        <v>1748.16</v>
      </c>
      <c r="G141" s="2" t="s">
        <v>22</v>
      </c>
      <c r="H141"/>
      <c r="I141">
        <v>2.9</v>
      </c>
      <c r="J141">
        <v>1.17</v>
      </c>
      <c r="K141">
        <v>59.319000000000003</v>
      </c>
      <c r="L141">
        <v>1986.0282</v>
      </c>
      <c r="M141">
        <v>2045.3471999999999</v>
      </c>
    </row>
    <row r="142" spans="1:13" x14ac:dyDescent="0.25">
      <c r="A142" t="s">
        <v>185</v>
      </c>
      <c r="B142" s="3">
        <v>45346.004166666666</v>
      </c>
      <c r="C142" s="2" t="s">
        <v>47</v>
      </c>
      <c r="D142" s="2" t="s">
        <v>25</v>
      </c>
      <c r="E142" t="s">
        <v>44</v>
      </c>
      <c r="F142">
        <v>3736.8</v>
      </c>
      <c r="G142" s="2" t="s">
        <v>17</v>
      </c>
      <c r="H142"/>
      <c r="I142">
        <v>2.1</v>
      </c>
      <c r="J142">
        <v>1</v>
      </c>
      <c r="K142">
        <v>0</v>
      </c>
      <c r="L142">
        <v>0</v>
      </c>
      <c r="M142">
        <v>0</v>
      </c>
    </row>
    <row r="143" spans="1:13" x14ac:dyDescent="0.25">
      <c r="A143" t="s">
        <v>186</v>
      </c>
      <c r="B143" s="3">
        <v>45346.083333333336</v>
      </c>
      <c r="C143" s="2" t="s">
        <v>47</v>
      </c>
      <c r="D143" s="2" t="s">
        <v>25</v>
      </c>
      <c r="E143" t="s">
        <v>15</v>
      </c>
      <c r="F143">
        <v>3809.12</v>
      </c>
      <c r="G143" s="2" t="s">
        <v>22</v>
      </c>
      <c r="H143"/>
      <c r="I143">
        <v>2.5</v>
      </c>
      <c r="J143">
        <v>1</v>
      </c>
      <c r="K143">
        <v>95.23</v>
      </c>
      <c r="L143">
        <v>3713.89</v>
      </c>
      <c r="M143">
        <v>3809.12</v>
      </c>
    </row>
    <row r="144" spans="1:13" x14ac:dyDescent="0.25">
      <c r="A144" t="s">
        <v>187</v>
      </c>
      <c r="B144" s="3">
        <v>45346.711111111108</v>
      </c>
      <c r="C144" s="2" t="s">
        <v>13</v>
      </c>
      <c r="D144" s="2" t="s">
        <v>14</v>
      </c>
      <c r="E144" t="s">
        <v>39</v>
      </c>
      <c r="F144">
        <v>4735.6099999999997</v>
      </c>
      <c r="G144" s="2" t="s">
        <v>17</v>
      </c>
      <c r="H144"/>
      <c r="I144">
        <v>3.2</v>
      </c>
      <c r="J144">
        <v>8.7999999999999995E-2</v>
      </c>
      <c r="K144">
        <v>0</v>
      </c>
      <c r="L144">
        <v>0</v>
      </c>
      <c r="M144">
        <v>0</v>
      </c>
    </row>
    <row r="145" spans="1:13" x14ac:dyDescent="0.25">
      <c r="A145" t="s">
        <v>188</v>
      </c>
      <c r="B145" s="3">
        <v>45346.85833333333</v>
      </c>
      <c r="C145" s="2" t="s">
        <v>37</v>
      </c>
      <c r="D145" s="2" t="s">
        <v>38</v>
      </c>
      <c r="E145" t="s">
        <v>15</v>
      </c>
      <c r="F145">
        <v>4415.29</v>
      </c>
      <c r="G145" s="2" t="s">
        <v>22</v>
      </c>
      <c r="H145"/>
      <c r="I145">
        <v>2.5</v>
      </c>
      <c r="J145">
        <v>0.23</v>
      </c>
      <c r="K145">
        <v>25.3874</v>
      </c>
      <c r="L145">
        <v>990.12930000000006</v>
      </c>
      <c r="M145">
        <v>1015.5167</v>
      </c>
    </row>
    <row r="146" spans="1:13" x14ac:dyDescent="0.25">
      <c r="A146" t="s">
        <v>189</v>
      </c>
      <c r="B146" s="3">
        <v>45347.781944444447</v>
      </c>
      <c r="C146" s="2" t="s">
        <v>13</v>
      </c>
      <c r="D146" s="2" t="s">
        <v>14</v>
      </c>
      <c r="E146" t="s">
        <v>28</v>
      </c>
      <c r="F146">
        <v>3623.13</v>
      </c>
      <c r="G146" s="2" t="s">
        <v>17</v>
      </c>
      <c r="H146"/>
      <c r="I146">
        <v>2.9</v>
      </c>
      <c r="J146">
        <v>8.7999999999999995E-2</v>
      </c>
      <c r="K146">
        <v>0</v>
      </c>
      <c r="L146">
        <v>0</v>
      </c>
      <c r="M146">
        <v>0</v>
      </c>
    </row>
    <row r="147" spans="1:13" x14ac:dyDescent="0.25">
      <c r="A147" t="s">
        <v>190</v>
      </c>
      <c r="B147" s="3">
        <v>45348.515972222223</v>
      </c>
      <c r="C147" s="2" t="s">
        <v>43</v>
      </c>
      <c r="D147" s="2" t="s">
        <v>25</v>
      </c>
      <c r="E147" t="s">
        <v>33</v>
      </c>
      <c r="F147">
        <v>1834.2</v>
      </c>
      <c r="G147" s="2" t="s">
        <v>22</v>
      </c>
      <c r="H147"/>
      <c r="I147">
        <v>1.9</v>
      </c>
      <c r="J147">
        <v>1</v>
      </c>
      <c r="K147">
        <v>34.85</v>
      </c>
      <c r="L147">
        <v>1799.35</v>
      </c>
      <c r="M147">
        <v>1834.1999999999998</v>
      </c>
    </row>
    <row r="148" spans="1:13" x14ac:dyDescent="0.25">
      <c r="A148" t="s">
        <v>191</v>
      </c>
      <c r="B148" s="3">
        <v>45348.704861111109</v>
      </c>
      <c r="C148" s="2" t="s">
        <v>37</v>
      </c>
      <c r="D148" s="2" t="s">
        <v>38</v>
      </c>
      <c r="E148" t="s">
        <v>28</v>
      </c>
      <c r="F148">
        <v>3525.64</v>
      </c>
      <c r="G148" s="2" t="s">
        <v>34</v>
      </c>
      <c r="H148" t="s">
        <v>100</v>
      </c>
      <c r="I148">
        <v>2.9</v>
      </c>
      <c r="J148">
        <v>0.23</v>
      </c>
      <c r="K148">
        <v>0</v>
      </c>
      <c r="L148">
        <v>0</v>
      </c>
      <c r="M148">
        <v>0</v>
      </c>
    </row>
    <row r="149" spans="1:13" x14ac:dyDescent="0.25">
      <c r="A149" t="s">
        <v>192</v>
      </c>
      <c r="B149" s="3">
        <v>45348.924305555556</v>
      </c>
      <c r="C149" s="2" t="s">
        <v>47</v>
      </c>
      <c r="D149" s="2" t="s">
        <v>25</v>
      </c>
      <c r="E149" t="s">
        <v>39</v>
      </c>
      <c r="F149">
        <v>3305.78</v>
      </c>
      <c r="G149" s="2" t="s">
        <v>22</v>
      </c>
      <c r="H149"/>
      <c r="I149">
        <v>3.2</v>
      </c>
      <c r="J149">
        <v>1</v>
      </c>
      <c r="K149">
        <v>105.78</v>
      </c>
      <c r="L149">
        <v>3200</v>
      </c>
      <c r="M149">
        <v>3305.78</v>
      </c>
    </row>
    <row r="150" spans="1:13" x14ac:dyDescent="0.25">
      <c r="A150" t="s">
        <v>193</v>
      </c>
      <c r="B150" s="3">
        <v>45349.030555555553</v>
      </c>
      <c r="C150" s="2" t="s">
        <v>24</v>
      </c>
      <c r="D150" s="2" t="s">
        <v>25</v>
      </c>
      <c r="E150" t="s">
        <v>28</v>
      </c>
      <c r="F150">
        <v>2410.77</v>
      </c>
      <c r="G150" s="2" t="s">
        <v>22</v>
      </c>
      <c r="H150"/>
      <c r="I150">
        <v>2.9</v>
      </c>
      <c r="J150">
        <v>1</v>
      </c>
      <c r="K150">
        <v>69.91</v>
      </c>
      <c r="L150">
        <v>2340.86</v>
      </c>
      <c r="M150">
        <v>2410.77</v>
      </c>
    </row>
    <row r="151" spans="1:13" x14ac:dyDescent="0.25">
      <c r="A151" t="s">
        <v>194</v>
      </c>
      <c r="B151" s="3">
        <v>45349.54791666667</v>
      </c>
      <c r="C151" s="2" t="s">
        <v>27</v>
      </c>
      <c r="D151" s="2" t="s">
        <v>25</v>
      </c>
      <c r="E151" t="s">
        <v>33</v>
      </c>
      <c r="F151">
        <v>2917.56</v>
      </c>
      <c r="G151" s="2" t="s">
        <v>22</v>
      </c>
      <c r="H151"/>
      <c r="I151">
        <v>1.9</v>
      </c>
      <c r="J151">
        <v>1</v>
      </c>
      <c r="K151">
        <v>55.43</v>
      </c>
      <c r="L151">
        <v>2862.13</v>
      </c>
      <c r="M151">
        <v>2917.56</v>
      </c>
    </row>
    <row r="152" spans="1:13" x14ac:dyDescent="0.25">
      <c r="A152" t="s">
        <v>195</v>
      </c>
      <c r="B152" s="3">
        <v>45350.423611111109</v>
      </c>
      <c r="C152" s="2" t="s">
        <v>60</v>
      </c>
      <c r="D152" s="2" t="s">
        <v>25</v>
      </c>
      <c r="E152" t="s">
        <v>33</v>
      </c>
      <c r="F152">
        <v>196.51</v>
      </c>
      <c r="G152" s="2" t="s">
        <v>34</v>
      </c>
      <c r="H152" t="s">
        <v>100</v>
      </c>
      <c r="I152">
        <v>1.9</v>
      </c>
      <c r="J152">
        <v>1</v>
      </c>
      <c r="K152">
        <v>0</v>
      </c>
      <c r="L152">
        <v>0</v>
      </c>
      <c r="M152">
        <v>0</v>
      </c>
    </row>
    <row r="153" spans="1:13" x14ac:dyDescent="0.25">
      <c r="A153" t="s">
        <v>196</v>
      </c>
      <c r="B153" s="3">
        <v>45350.776388888888</v>
      </c>
      <c r="C153" s="2" t="s">
        <v>43</v>
      </c>
      <c r="D153" s="2" t="s">
        <v>25</v>
      </c>
      <c r="E153" t="s">
        <v>39</v>
      </c>
      <c r="F153">
        <v>497.29</v>
      </c>
      <c r="G153" s="2" t="s">
        <v>34</v>
      </c>
      <c r="H153" t="s">
        <v>35</v>
      </c>
      <c r="I153">
        <v>3.2</v>
      </c>
      <c r="J153">
        <v>1</v>
      </c>
      <c r="K153">
        <v>0</v>
      </c>
      <c r="L153">
        <v>0</v>
      </c>
      <c r="M153">
        <v>0</v>
      </c>
    </row>
    <row r="154" spans="1:13" x14ac:dyDescent="0.25">
      <c r="A154" t="s">
        <v>197</v>
      </c>
      <c r="B154" s="3">
        <v>45350.801388888889</v>
      </c>
      <c r="C154" s="2" t="s">
        <v>31</v>
      </c>
      <c r="D154" s="2" t="s">
        <v>32</v>
      </c>
      <c r="E154" t="s">
        <v>33</v>
      </c>
      <c r="F154">
        <v>2436.96</v>
      </c>
      <c r="G154" s="2" t="s">
        <v>22</v>
      </c>
      <c r="H154"/>
      <c r="I154">
        <v>1.9</v>
      </c>
      <c r="J154">
        <v>1.17</v>
      </c>
      <c r="K154">
        <v>54.170999999999992</v>
      </c>
      <c r="L154">
        <v>2797.0721999999996</v>
      </c>
      <c r="M154">
        <v>2851.2431999999994</v>
      </c>
    </row>
    <row r="155" spans="1:13" x14ac:dyDescent="0.25">
      <c r="A155" t="s">
        <v>198</v>
      </c>
      <c r="B155" s="3">
        <v>45351.162499999999</v>
      </c>
      <c r="C155" s="2" t="s">
        <v>60</v>
      </c>
      <c r="D155" s="2" t="s">
        <v>25</v>
      </c>
      <c r="E155" t="s">
        <v>28</v>
      </c>
      <c r="F155">
        <v>3320.14</v>
      </c>
      <c r="G155" s="2" t="s">
        <v>22</v>
      </c>
      <c r="H155"/>
      <c r="I155">
        <v>2.9</v>
      </c>
      <c r="J155">
        <v>1</v>
      </c>
      <c r="K155">
        <v>96.28</v>
      </c>
      <c r="L155">
        <v>3223.86</v>
      </c>
      <c r="M155">
        <v>3320.1400000000003</v>
      </c>
    </row>
    <row r="156" spans="1:13" x14ac:dyDescent="0.25">
      <c r="A156" t="s">
        <v>199</v>
      </c>
      <c r="B156" s="3">
        <v>45352.01458333333</v>
      </c>
      <c r="C156" s="2" t="s">
        <v>58</v>
      </c>
      <c r="D156" s="2" t="s">
        <v>25</v>
      </c>
      <c r="E156" t="s">
        <v>39</v>
      </c>
      <c r="F156">
        <v>328.72</v>
      </c>
      <c r="G156" s="2" t="s">
        <v>17</v>
      </c>
      <c r="H156"/>
      <c r="I156">
        <v>3.2</v>
      </c>
      <c r="J156">
        <v>1</v>
      </c>
      <c r="K156">
        <v>0</v>
      </c>
      <c r="L156">
        <v>0</v>
      </c>
      <c r="M156">
        <v>0</v>
      </c>
    </row>
    <row r="157" spans="1:13" x14ac:dyDescent="0.25">
      <c r="A157" t="s">
        <v>200</v>
      </c>
      <c r="B157" s="3">
        <v>45352.304861111108</v>
      </c>
      <c r="C157" s="2" t="s">
        <v>31</v>
      </c>
      <c r="D157" s="2" t="s">
        <v>32</v>
      </c>
      <c r="E157" t="s">
        <v>44</v>
      </c>
      <c r="F157">
        <v>3470.25</v>
      </c>
      <c r="G157" s="2" t="s">
        <v>17</v>
      </c>
      <c r="H157"/>
      <c r="I157">
        <v>2.1</v>
      </c>
      <c r="J157">
        <v>1.17</v>
      </c>
      <c r="K157">
        <v>0</v>
      </c>
      <c r="L157">
        <v>0</v>
      </c>
      <c r="M157">
        <v>0</v>
      </c>
    </row>
    <row r="158" spans="1:13" x14ac:dyDescent="0.25">
      <c r="A158" t="s">
        <v>201</v>
      </c>
      <c r="B158" s="3">
        <v>45352.870138888888</v>
      </c>
      <c r="C158" s="2" t="s">
        <v>27</v>
      </c>
      <c r="D158" s="2" t="s">
        <v>25</v>
      </c>
      <c r="E158" t="s">
        <v>15</v>
      </c>
      <c r="F158">
        <v>2549.27</v>
      </c>
      <c r="G158" s="2" t="s">
        <v>22</v>
      </c>
      <c r="H158"/>
      <c r="I158">
        <v>2.5</v>
      </c>
      <c r="J158">
        <v>1</v>
      </c>
      <c r="K158">
        <v>63.73</v>
      </c>
      <c r="L158">
        <v>2485.54</v>
      </c>
      <c r="M158">
        <v>2549.27</v>
      </c>
    </row>
    <row r="159" spans="1:13" x14ac:dyDescent="0.25">
      <c r="A159" t="s">
        <v>202</v>
      </c>
      <c r="B159" s="3">
        <v>45353.021527777775</v>
      </c>
      <c r="C159" s="2" t="s">
        <v>58</v>
      </c>
      <c r="D159" s="2" t="s">
        <v>25</v>
      </c>
      <c r="E159" t="s">
        <v>44</v>
      </c>
      <c r="F159">
        <v>1907.24</v>
      </c>
      <c r="G159" s="2" t="s">
        <v>22</v>
      </c>
      <c r="H159"/>
      <c r="I159">
        <v>2.1</v>
      </c>
      <c r="J159">
        <v>1</v>
      </c>
      <c r="K159">
        <v>40.049999999999997</v>
      </c>
      <c r="L159">
        <v>1867.19</v>
      </c>
      <c r="M159">
        <v>1907.24</v>
      </c>
    </row>
    <row r="160" spans="1:13" x14ac:dyDescent="0.25">
      <c r="A160" t="s">
        <v>203</v>
      </c>
      <c r="B160" s="3">
        <v>45353.324305555558</v>
      </c>
      <c r="C160" s="2" t="s">
        <v>19</v>
      </c>
      <c r="D160" s="2" t="s">
        <v>20</v>
      </c>
      <c r="E160" t="s">
        <v>28</v>
      </c>
      <c r="F160">
        <v>280.10000000000002</v>
      </c>
      <c r="G160" s="2" t="s">
        <v>17</v>
      </c>
      <c r="H160"/>
      <c r="I160">
        <v>2.9</v>
      </c>
      <c r="J160">
        <v>8.7999999999999995E-2</v>
      </c>
      <c r="K160">
        <v>0</v>
      </c>
      <c r="L160">
        <v>0</v>
      </c>
      <c r="M160">
        <v>0</v>
      </c>
    </row>
    <row r="161" spans="1:13" x14ac:dyDescent="0.25">
      <c r="A161" t="s">
        <v>204</v>
      </c>
      <c r="B161" s="3">
        <v>45353.48333333333</v>
      </c>
      <c r="C161" s="2" t="s">
        <v>47</v>
      </c>
      <c r="D161" s="2" t="s">
        <v>25</v>
      </c>
      <c r="E161" t="s">
        <v>28</v>
      </c>
      <c r="F161">
        <v>774.99</v>
      </c>
      <c r="G161" s="2" t="s">
        <v>22</v>
      </c>
      <c r="H161"/>
      <c r="I161">
        <v>2.9</v>
      </c>
      <c r="J161">
        <v>1</v>
      </c>
      <c r="K161">
        <v>22.47</v>
      </c>
      <c r="L161">
        <v>752.52</v>
      </c>
      <c r="M161">
        <v>774.99</v>
      </c>
    </row>
    <row r="162" spans="1:13" x14ac:dyDescent="0.25">
      <c r="A162" t="s">
        <v>205</v>
      </c>
      <c r="B162" s="3">
        <v>45353.59097222222</v>
      </c>
      <c r="C162" s="2" t="s">
        <v>27</v>
      </c>
      <c r="D162" s="2" t="s">
        <v>25</v>
      </c>
      <c r="E162" t="s">
        <v>44</v>
      </c>
      <c r="F162">
        <v>639.66999999999996</v>
      </c>
      <c r="G162" s="2" t="s">
        <v>34</v>
      </c>
      <c r="H162" t="s">
        <v>78</v>
      </c>
      <c r="I162">
        <v>2.1</v>
      </c>
      <c r="J162">
        <v>1</v>
      </c>
      <c r="K162">
        <v>0</v>
      </c>
      <c r="L162">
        <v>0</v>
      </c>
      <c r="M162">
        <v>0</v>
      </c>
    </row>
    <row r="163" spans="1:13" x14ac:dyDescent="0.25">
      <c r="A163" t="s">
        <v>206</v>
      </c>
      <c r="B163" s="3">
        <v>45354.017361111109</v>
      </c>
      <c r="C163" s="2" t="s">
        <v>43</v>
      </c>
      <c r="D163" s="2" t="s">
        <v>25</v>
      </c>
      <c r="E163" t="s">
        <v>44</v>
      </c>
      <c r="F163">
        <v>4639.78</v>
      </c>
      <c r="G163" s="2" t="s">
        <v>22</v>
      </c>
      <c r="H163"/>
      <c r="I163">
        <v>2.1</v>
      </c>
      <c r="J163">
        <v>1</v>
      </c>
      <c r="K163">
        <v>97.44</v>
      </c>
      <c r="L163">
        <v>4542.34</v>
      </c>
      <c r="M163">
        <v>4639.78</v>
      </c>
    </row>
    <row r="164" spans="1:13" x14ac:dyDescent="0.25">
      <c r="A164" t="s">
        <v>207</v>
      </c>
      <c r="B164" s="3">
        <v>45354.354861111111</v>
      </c>
      <c r="C164" s="2" t="s">
        <v>43</v>
      </c>
      <c r="D164" s="2" t="s">
        <v>25</v>
      </c>
      <c r="E164" t="s">
        <v>44</v>
      </c>
      <c r="F164">
        <v>158.32</v>
      </c>
      <c r="G164" s="2" t="s">
        <v>22</v>
      </c>
      <c r="H164"/>
      <c r="I164">
        <v>2.1</v>
      </c>
      <c r="J164">
        <v>1</v>
      </c>
      <c r="K164">
        <v>3.32</v>
      </c>
      <c r="L164">
        <v>155</v>
      </c>
      <c r="M164">
        <v>158.32</v>
      </c>
    </row>
    <row r="165" spans="1:13" x14ac:dyDescent="0.25">
      <c r="A165" t="s">
        <v>208</v>
      </c>
      <c r="B165" s="3">
        <v>45354.723611111112</v>
      </c>
      <c r="C165" s="2" t="s">
        <v>31</v>
      </c>
      <c r="D165" s="2" t="s">
        <v>32</v>
      </c>
      <c r="E165" t="s">
        <v>28</v>
      </c>
      <c r="F165">
        <v>2411.0700000000002</v>
      </c>
      <c r="G165" s="2" t="s">
        <v>22</v>
      </c>
      <c r="H165"/>
      <c r="I165">
        <v>2.9</v>
      </c>
      <c r="J165">
        <v>1.17</v>
      </c>
      <c r="K165">
        <v>81.806399999999996</v>
      </c>
      <c r="L165">
        <v>2739.1455000000001</v>
      </c>
      <c r="M165">
        <v>2820.9519</v>
      </c>
    </row>
    <row r="166" spans="1:13" x14ac:dyDescent="0.25">
      <c r="A166" t="s">
        <v>209</v>
      </c>
      <c r="B166" s="3">
        <v>45354.779861111114</v>
      </c>
      <c r="C166" s="2" t="s">
        <v>13</v>
      </c>
      <c r="D166" s="2" t="s">
        <v>14</v>
      </c>
      <c r="E166" t="s">
        <v>15</v>
      </c>
      <c r="F166">
        <v>4093.7</v>
      </c>
      <c r="G166" s="2" t="s">
        <v>22</v>
      </c>
      <c r="H166"/>
      <c r="I166">
        <v>2.5</v>
      </c>
      <c r="J166">
        <v>8.7999999999999995E-2</v>
      </c>
      <c r="K166">
        <v>9.0059199999999997</v>
      </c>
      <c r="L166">
        <v>351.23967999999996</v>
      </c>
      <c r="M166">
        <v>360.24559999999997</v>
      </c>
    </row>
    <row r="167" spans="1:13" x14ac:dyDescent="0.25">
      <c r="A167" t="s">
        <v>210</v>
      </c>
      <c r="B167" s="3">
        <v>45355.041666666664</v>
      </c>
      <c r="C167" s="2" t="s">
        <v>19</v>
      </c>
      <c r="D167" s="2" t="s">
        <v>20</v>
      </c>
      <c r="E167" t="s">
        <v>33</v>
      </c>
      <c r="F167">
        <v>2690.39</v>
      </c>
      <c r="G167" s="2" t="s">
        <v>22</v>
      </c>
      <c r="H167"/>
      <c r="I167">
        <v>1.9</v>
      </c>
      <c r="J167">
        <v>8.7999999999999995E-2</v>
      </c>
      <c r="K167">
        <v>4.4985599999999994</v>
      </c>
      <c r="L167">
        <v>232.25575999999998</v>
      </c>
      <c r="M167">
        <v>236.75431999999998</v>
      </c>
    </row>
    <row r="168" spans="1:13" x14ac:dyDescent="0.25">
      <c r="A168" t="s">
        <v>211</v>
      </c>
      <c r="B168" s="3">
        <v>45355.800694444442</v>
      </c>
      <c r="C168" s="2" t="s">
        <v>19</v>
      </c>
      <c r="D168" s="2" t="s">
        <v>20</v>
      </c>
      <c r="E168" t="s">
        <v>44</v>
      </c>
      <c r="F168">
        <v>3356.3</v>
      </c>
      <c r="G168" s="2" t="s">
        <v>22</v>
      </c>
      <c r="H168"/>
      <c r="I168">
        <v>2.1</v>
      </c>
      <c r="J168">
        <v>8.7999999999999995E-2</v>
      </c>
      <c r="K168">
        <v>6.2022399999999998</v>
      </c>
      <c r="L168">
        <v>289.15215999999998</v>
      </c>
      <c r="M168">
        <v>295.3544</v>
      </c>
    </row>
    <row r="169" spans="1:13" x14ac:dyDescent="0.25">
      <c r="A169" t="s">
        <v>212</v>
      </c>
      <c r="B169" s="3">
        <v>45356.36041666667</v>
      </c>
      <c r="C169" s="2" t="s">
        <v>19</v>
      </c>
      <c r="D169" s="2" t="s">
        <v>20</v>
      </c>
      <c r="E169" t="s">
        <v>33</v>
      </c>
      <c r="F169">
        <v>1910.71</v>
      </c>
      <c r="G169" s="2" t="s">
        <v>17</v>
      </c>
      <c r="H169"/>
      <c r="I169">
        <v>1.9</v>
      </c>
      <c r="J169">
        <v>8.7999999999999995E-2</v>
      </c>
      <c r="K169">
        <v>0</v>
      </c>
      <c r="L169">
        <v>0</v>
      </c>
      <c r="M169">
        <v>0</v>
      </c>
    </row>
    <row r="170" spans="1:13" x14ac:dyDescent="0.25">
      <c r="A170" t="s">
        <v>213</v>
      </c>
      <c r="B170" s="3">
        <v>45356.634722222225</v>
      </c>
      <c r="C170" s="2" t="s">
        <v>37</v>
      </c>
      <c r="D170" s="2" t="s">
        <v>38</v>
      </c>
      <c r="E170" t="s">
        <v>33</v>
      </c>
      <c r="F170">
        <v>4029.57</v>
      </c>
      <c r="G170" s="2" t="s">
        <v>34</v>
      </c>
      <c r="H170" t="s">
        <v>35</v>
      </c>
      <c r="I170">
        <v>1.9</v>
      </c>
      <c r="J170">
        <v>0.23</v>
      </c>
      <c r="K170">
        <v>0</v>
      </c>
      <c r="L170">
        <v>0</v>
      </c>
      <c r="M170">
        <v>0</v>
      </c>
    </row>
    <row r="171" spans="1:13" x14ac:dyDescent="0.25">
      <c r="A171" t="s">
        <v>214</v>
      </c>
      <c r="B171" s="3">
        <v>45356.84652777778</v>
      </c>
      <c r="C171" s="2" t="s">
        <v>19</v>
      </c>
      <c r="D171" s="2" t="s">
        <v>20</v>
      </c>
      <c r="E171" t="s">
        <v>33</v>
      </c>
      <c r="F171">
        <v>2517.84</v>
      </c>
      <c r="G171" s="2" t="s">
        <v>22</v>
      </c>
      <c r="H171"/>
      <c r="I171">
        <v>1.9</v>
      </c>
      <c r="J171">
        <v>8.7999999999999995E-2</v>
      </c>
      <c r="K171">
        <v>4.2099200000000003</v>
      </c>
      <c r="L171">
        <v>217.35999999999999</v>
      </c>
      <c r="M171">
        <v>221.56992</v>
      </c>
    </row>
    <row r="172" spans="1:13" x14ac:dyDescent="0.25">
      <c r="A172" t="s">
        <v>215</v>
      </c>
      <c r="B172" s="3">
        <v>45357.072222222225</v>
      </c>
      <c r="C172" s="2" t="s">
        <v>19</v>
      </c>
      <c r="D172" s="2" t="s">
        <v>20</v>
      </c>
      <c r="E172" t="s">
        <v>28</v>
      </c>
      <c r="F172">
        <v>691.14</v>
      </c>
      <c r="G172" s="2" t="s">
        <v>34</v>
      </c>
      <c r="H172" t="s">
        <v>55</v>
      </c>
      <c r="I172">
        <v>2.9</v>
      </c>
      <c r="J172">
        <v>8.7999999999999995E-2</v>
      </c>
      <c r="K172">
        <v>0</v>
      </c>
      <c r="L172">
        <v>0</v>
      </c>
      <c r="M172">
        <v>0</v>
      </c>
    </row>
    <row r="173" spans="1:13" x14ac:dyDescent="0.25">
      <c r="A173" t="s">
        <v>216</v>
      </c>
      <c r="B173" s="3">
        <v>45357.14166666667</v>
      </c>
      <c r="C173" s="2" t="s">
        <v>19</v>
      </c>
      <c r="D173" s="2" t="s">
        <v>20</v>
      </c>
      <c r="E173" t="s">
        <v>33</v>
      </c>
      <c r="F173">
        <v>2525.5100000000002</v>
      </c>
      <c r="G173" s="2" t="s">
        <v>34</v>
      </c>
      <c r="H173" t="s">
        <v>55</v>
      </c>
      <c r="I173">
        <v>1.9</v>
      </c>
      <c r="J173">
        <v>8.7999999999999995E-2</v>
      </c>
      <c r="K173">
        <v>0</v>
      </c>
      <c r="L173">
        <v>0</v>
      </c>
      <c r="M173">
        <v>0</v>
      </c>
    </row>
    <row r="174" spans="1:13" x14ac:dyDescent="0.25">
      <c r="A174" t="s">
        <v>217</v>
      </c>
      <c r="B174" s="3">
        <v>45357.142361111109</v>
      </c>
      <c r="C174" s="2" t="s">
        <v>37</v>
      </c>
      <c r="D174" s="2" t="s">
        <v>38</v>
      </c>
      <c r="E174" t="s">
        <v>39</v>
      </c>
      <c r="F174">
        <v>4695.3500000000004</v>
      </c>
      <c r="G174" s="2" t="s">
        <v>22</v>
      </c>
      <c r="H174"/>
      <c r="I174">
        <v>3.2</v>
      </c>
      <c r="J174">
        <v>0.23</v>
      </c>
      <c r="K174">
        <v>34.557500000000005</v>
      </c>
      <c r="L174">
        <v>1045.373</v>
      </c>
      <c r="M174">
        <v>1079.9304999999999</v>
      </c>
    </row>
    <row r="175" spans="1:13" x14ac:dyDescent="0.25">
      <c r="A175" t="s">
        <v>218</v>
      </c>
      <c r="B175" s="3">
        <v>45357.663194444445</v>
      </c>
      <c r="C175" s="2" t="s">
        <v>47</v>
      </c>
      <c r="D175" s="2" t="s">
        <v>25</v>
      </c>
      <c r="E175" t="s">
        <v>39</v>
      </c>
      <c r="F175">
        <v>1421.8</v>
      </c>
      <c r="G175" s="2" t="s">
        <v>22</v>
      </c>
      <c r="H175"/>
      <c r="I175">
        <v>3.2</v>
      </c>
      <c r="J175">
        <v>1</v>
      </c>
      <c r="K175">
        <v>45.5</v>
      </c>
      <c r="L175">
        <v>1376.3</v>
      </c>
      <c r="M175">
        <v>1421.8</v>
      </c>
    </row>
    <row r="176" spans="1:13" x14ac:dyDescent="0.25">
      <c r="A176" t="s">
        <v>219</v>
      </c>
      <c r="B176" s="3">
        <v>45357.895833333336</v>
      </c>
      <c r="C176" s="2" t="s">
        <v>13</v>
      </c>
      <c r="D176" s="2" t="s">
        <v>14</v>
      </c>
      <c r="E176" t="s">
        <v>44</v>
      </c>
      <c r="F176">
        <v>2643.09</v>
      </c>
      <c r="G176" s="2" t="s">
        <v>17</v>
      </c>
      <c r="H176"/>
      <c r="I176">
        <v>2.1</v>
      </c>
      <c r="J176">
        <v>8.7999999999999995E-2</v>
      </c>
      <c r="K176">
        <v>0</v>
      </c>
      <c r="L176">
        <v>0</v>
      </c>
      <c r="M176">
        <v>0</v>
      </c>
    </row>
    <row r="177" spans="1:13" x14ac:dyDescent="0.25">
      <c r="A177" t="s">
        <v>220</v>
      </c>
      <c r="B177" s="3">
        <v>45358.14166666667</v>
      </c>
      <c r="C177" s="2" t="s">
        <v>13</v>
      </c>
      <c r="D177" s="2" t="s">
        <v>14</v>
      </c>
      <c r="E177" t="s">
        <v>33</v>
      </c>
      <c r="F177">
        <v>843.43</v>
      </c>
      <c r="G177" s="2" t="s">
        <v>22</v>
      </c>
      <c r="H177"/>
      <c r="I177">
        <v>1.9</v>
      </c>
      <c r="J177">
        <v>8.7999999999999995E-2</v>
      </c>
      <c r="K177">
        <v>1.4106400000000001</v>
      </c>
      <c r="L177">
        <v>72.811199999999999</v>
      </c>
      <c r="M177">
        <v>74.22184</v>
      </c>
    </row>
    <row r="178" spans="1:13" x14ac:dyDescent="0.25">
      <c r="A178" t="s">
        <v>221</v>
      </c>
      <c r="B178" s="3">
        <v>45358.447916666664</v>
      </c>
      <c r="C178" s="2" t="s">
        <v>27</v>
      </c>
      <c r="D178" s="2" t="s">
        <v>25</v>
      </c>
      <c r="E178" t="s">
        <v>39</v>
      </c>
      <c r="F178">
        <v>119.35</v>
      </c>
      <c r="G178" s="2" t="s">
        <v>17</v>
      </c>
      <c r="H178"/>
      <c r="I178">
        <v>3.2</v>
      </c>
      <c r="J178">
        <v>1</v>
      </c>
      <c r="K178">
        <v>0</v>
      </c>
      <c r="L178">
        <v>0</v>
      </c>
      <c r="M178">
        <v>0</v>
      </c>
    </row>
    <row r="179" spans="1:13" x14ac:dyDescent="0.25">
      <c r="A179" t="s">
        <v>222</v>
      </c>
      <c r="B179" s="3">
        <v>45358.816666666666</v>
      </c>
      <c r="C179" s="2" t="s">
        <v>43</v>
      </c>
      <c r="D179" s="2" t="s">
        <v>25</v>
      </c>
      <c r="E179" t="s">
        <v>33</v>
      </c>
      <c r="F179">
        <v>2467.6</v>
      </c>
      <c r="G179" s="2" t="s">
        <v>22</v>
      </c>
      <c r="H179"/>
      <c r="I179">
        <v>1.9</v>
      </c>
      <c r="J179">
        <v>1</v>
      </c>
      <c r="K179">
        <v>46.88</v>
      </c>
      <c r="L179">
        <v>2420.7199999999998</v>
      </c>
      <c r="M179">
        <v>2467.6</v>
      </c>
    </row>
    <row r="180" spans="1:13" x14ac:dyDescent="0.25">
      <c r="A180" t="s">
        <v>223</v>
      </c>
      <c r="B180" s="3">
        <v>45359.097222222219</v>
      </c>
      <c r="C180" s="2" t="s">
        <v>13</v>
      </c>
      <c r="D180" s="2" t="s">
        <v>14</v>
      </c>
      <c r="E180" t="s">
        <v>15</v>
      </c>
      <c r="F180">
        <v>1309.43</v>
      </c>
      <c r="G180" s="2" t="s">
        <v>22</v>
      </c>
      <c r="H180"/>
      <c r="I180">
        <v>2.5</v>
      </c>
      <c r="J180">
        <v>8.7999999999999995E-2</v>
      </c>
      <c r="K180">
        <v>2.8811200000000001</v>
      </c>
      <c r="L180">
        <v>112.34872</v>
      </c>
      <c r="M180">
        <v>115.22984</v>
      </c>
    </row>
    <row r="181" spans="1:13" x14ac:dyDescent="0.25">
      <c r="A181" t="s">
        <v>224</v>
      </c>
      <c r="B181" s="3">
        <v>45359.119444444441</v>
      </c>
      <c r="C181" s="2" t="s">
        <v>43</v>
      </c>
      <c r="D181" s="2" t="s">
        <v>25</v>
      </c>
      <c r="E181" t="s">
        <v>28</v>
      </c>
      <c r="F181">
        <v>1558.85</v>
      </c>
      <c r="G181" s="2" t="s">
        <v>34</v>
      </c>
      <c r="H181" t="s">
        <v>55</v>
      </c>
      <c r="I181">
        <v>2.9</v>
      </c>
      <c r="J181">
        <v>1</v>
      </c>
      <c r="K181">
        <v>0</v>
      </c>
      <c r="L181">
        <v>0</v>
      </c>
      <c r="M181">
        <v>0</v>
      </c>
    </row>
    <row r="182" spans="1:13" x14ac:dyDescent="0.25">
      <c r="A182" t="s">
        <v>225</v>
      </c>
      <c r="B182" s="3">
        <v>45359.209027777775</v>
      </c>
      <c r="C182" s="2" t="s">
        <v>19</v>
      </c>
      <c r="D182" s="2" t="s">
        <v>20</v>
      </c>
      <c r="E182" t="s">
        <v>33</v>
      </c>
      <c r="F182">
        <v>3031.97</v>
      </c>
      <c r="G182" s="2" t="s">
        <v>17</v>
      </c>
      <c r="H182"/>
      <c r="I182">
        <v>1.9</v>
      </c>
      <c r="J182">
        <v>8.7999999999999995E-2</v>
      </c>
      <c r="K182">
        <v>0</v>
      </c>
      <c r="L182">
        <v>0</v>
      </c>
      <c r="M182">
        <v>0</v>
      </c>
    </row>
    <row r="183" spans="1:13" x14ac:dyDescent="0.25">
      <c r="A183" t="s">
        <v>226</v>
      </c>
      <c r="B183" s="3">
        <v>45359.470833333333</v>
      </c>
      <c r="C183" s="2" t="s">
        <v>24</v>
      </c>
      <c r="D183" s="2" t="s">
        <v>25</v>
      </c>
      <c r="E183" t="s">
        <v>28</v>
      </c>
      <c r="F183">
        <v>2404.12</v>
      </c>
      <c r="G183" s="2" t="s">
        <v>22</v>
      </c>
      <c r="H183"/>
      <c r="I183">
        <v>2.9</v>
      </c>
      <c r="J183">
        <v>1</v>
      </c>
      <c r="K183">
        <v>69.72</v>
      </c>
      <c r="L183">
        <v>2334.4</v>
      </c>
      <c r="M183">
        <v>2404.12</v>
      </c>
    </row>
    <row r="184" spans="1:13" x14ac:dyDescent="0.25">
      <c r="A184" t="s">
        <v>227</v>
      </c>
      <c r="B184" s="3">
        <v>45359.803472222222</v>
      </c>
      <c r="C184" s="2" t="s">
        <v>47</v>
      </c>
      <c r="D184" s="2" t="s">
        <v>25</v>
      </c>
      <c r="E184" t="s">
        <v>39</v>
      </c>
      <c r="F184">
        <v>3709.73</v>
      </c>
      <c r="G184" s="2" t="s">
        <v>17</v>
      </c>
      <c r="H184"/>
      <c r="I184">
        <v>3.2</v>
      </c>
      <c r="J184">
        <v>1</v>
      </c>
      <c r="K184">
        <v>0</v>
      </c>
      <c r="L184">
        <v>0</v>
      </c>
      <c r="M184">
        <v>0</v>
      </c>
    </row>
    <row r="185" spans="1:13" x14ac:dyDescent="0.25">
      <c r="A185" t="s">
        <v>228</v>
      </c>
      <c r="B185" s="3">
        <v>45359.84097222222</v>
      </c>
      <c r="C185" s="2" t="s">
        <v>19</v>
      </c>
      <c r="D185" s="2" t="s">
        <v>20</v>
      </c>
      <c r="E185" t="s">
        <v>28</v>
      </c>
      <c r="F185">
        <v>1269.43</v>
      </c>
      <c r="G185" s="2" t="s">
        <v>22</v>
      </c>
      <c r="H185"/>
      <c r="I185">
        <v>2.9</v>
      </c>
      <c r="J185">
        <v>8.7999999999999995E-2</v>
      </c>
      <c r="K185">
        <v>3.2392799999999999</v>
      </c>
      <c r="L185">
        <v>108.47055999999998</v>
      </c>
      <c r="M185">
        <v>111.70983999999997</v>
      </c>
    </row>
    <row r="186" spans="1:13" x14ac:dyDescent="0.25">
      <c r="A186" t="s">
        <v>229</v>
      </c>
      <c r="B186" s="3">
        <v>45359.948611111111</v>
      </c>
      <c r="C186" s="2" t="s">
        <v>60</v>
      </c>
      <c r="D186" s="2" t="s">
        <v>25</v>
      </c>
      <c r="E186" t="s">
        <v>44</v>
      </c>
      <c r="F186">
        <v>2085.98</v>
      </c>
      <c r="G186" s="2" t="s">
        <v>17</v>
      </c>
      <c r="H186"/>
      <c r="I186">
        <v>2.1</v>
      </c>
      <c r="J186">
        <v>1</v>
      </c>
      <c r="K186">
        <v>0</v>
      </c>
      <c r="L186">
        <v>0</v>
      </c>
      <c r="M186">
        <v>0</v>
      </c>
    </row>
    <row r="187" spans="1:13" x14ac:dyDescent="0.25">
      <c r="A187" t="s">
        <v>230</v>
      </c>
      <c r="B187" s="3">
        <v>45360.159722222219</v>
      </c>
      <c r="C187" s="2" t="s">
        <v>19</v>
      </c>
      <c r="D187" s="2" t="s">
        <v>20</v>
      </c>
      <c r="E187" t="s">
        <v>15</v>
      </c>
      <c r="F187">
        <v>88</v>
      </c>
      <c r="G187" s="2" t="s">
        <v>34</v>
      </c>
      <c r="H187" t="s">
        <v>78</v>
      </c>
      <c r="I187">
        <v>2.5</v>
      </c>
      <c r="J187">
        <v>8.7999999999999995E-2</v>
      </c>
      <c r="K187">
        <v>0</v>
      </c>
      <c r="L187">
        <v>0</v>
      </c>
      <c r="M187">
        <v>0</v>
      </c>
    </row>
    <row r="188" spans="1:13" x14ac:dyDescent="0.25">
      <c r="A188" t="s">
        <v>231</v>
      </c>
      <c r="B188" s="3">
        <v>45360.18472222222</v>
      </c>
      <c r="C188" s="2" t="s">
        <v>19</v>
      </c>
      <c r="D188" s="2" t="s">
        <v>20</v>
      </c>
      <c r="E188" t="s">
        <v>33</v>
      </c>
      <c r="F188">
        <v>4216.9399999999996</v>
      </c>
      <c r="G188" s="2" t="s">
        <v>17</v>
      </c>
      <c r="H188"/>
      <c r="I188">
        <v>1.9</v>
      </c>
      <c r="J188">
        <v>8.7999999999999995E-2</v>
      </c>
      <c r="K188">
        <v>0</v>
      </c>
      <c r="L188">
        <v>0</v>
      </c>
      <c r="M188">
        <v>0</v>
      </c>
    </row>
    <row r="189" spans="1:13" x14ac:dyDescent="0.25">
      <c r="A189" t="s">
        <v>232</v>
      </c>
      <c r="B189" s="3">
        <v>45361.379861111112</v>
      </c>
      <c r="C189" s="2" t="s">
        <v>43</v>
      </c>
      <c r="D189" s="2" t="s">
        <v>25</v>
      </c>
      <c r="E189" t="s">
        <v>33</v>
      </c>
      <c r="F189">
        <v>1367.95</v>
      </c>
      <c r="G189" s="2" t="s">
        <v>17</v>
      </c>
      <c r="H189"/>
      <c r="I189">
        <v>1.9</v>
      </c>
      <c r="J189">
        <v>1</v>
      </c>
      <c r="K189">
        <v>0</v>
      </c>
      <c r="L189">
        <v>0</v>
      </c>
      <c r="M189">
        <v>0</v>
      </c>
    </row>
    <row r="190" spans="1:13" x14ac:dyDescent="0.25">
      <c r="A190" t="s">
        <v>233</v>
      </c>
      <c r="B190" s="3">
        <v>45361.705555555556</v>
      </c>
      <c r="C190" s="2" t="s">
        <v>19</v>
      </c>
      <c r="D190" s="2" t="s">
        <v>20</v>
      </c>
      <c r="E190" t="s">
        <v>28</v>
      </c>
      <c r="F190">
        <v>971.89</v>
      </c>
      <c r="G190" s="2" t="s">
        <v>22</v>
      </c>
      <c r="H190"/>
      <c r="I190">
        <v>2.9</v>
      </c>
      <c r="J190">
        <v>8.7999999999999995E-2</v>
      </c>
      <c r="K190">
        <v>2.4798399999999998</v>
      </c>
      <c r="L190">
        <v>83.046480000000003</v>
      </c>
      <c r="M190">
        <v>85.526319999999998</v>
      </c>
    </row>
    <row r="191" spans="1:13" x14ac:dyDescent="0.25">
      <c r="A191" t="s">
        <v>234</v>
      </c>
      <c r="B191" s="3">
        <v>45362.176388888889</v>
      </c>
      <c r="C191" s="2" t="s">
        <v>58</v>
      </c>
      <c r="D191" s="2" t="s">
        <v>25</v>
      </c>
      <c r="E191" t="s">
        <v>44</v>
      </c>
      <c r="F191">
        <v>330.5</v>
      </c>
      <c r="G191" s="2" t="s">
        <v>34</v>
      </c>
      <c r="H191" t="s">
        <v>62</v>
      </c>
      <c r="I191">
        <v>2.1</v>
      </c>
      <c r="J191">
        <v>1</v>
      </c>
      <c r="K191">
        <v>0</v>
      </c>
      <c r="L191">
        <v>0</v>
      </c>
      <c r="M191">
        <v>0</v>
      </c>
    </row>
    <row r="192" spans="1:13" x14ac:dyDescent="0.25">
      <c r="A192" t="s">
        <v>235</v>
      </c>
      <c r="B192" s="3">
        <v>45362.26458333333</v>
      </c>
      <c r="C192" s="2" t="s">
        <v>58</v>
      </c>
      <c r="D192" s="2" t="s">
        <v>25</v>
      </c>
      <c r="E192" t="s">
        <v>33</v>
      </c>
      <c r="F192">
        <v>724.69</v>
      </c>
      <c r="G192" s="2" t="s">
        <v>22</v>
      </c>
      <c r="H192"/>
      <c r="I192">
        <v>1.9</v>
      </c>
      <c r="J192">
        <v>1</v>
      </c>
      <c r="K192">
        <v>13.77</v>
      </c>
      <c r="L192">
        <v>710.92</v>
      </c>
      <c r="M192">
        <v>724.68999999999994</v>
      </c>
    </row>
    <row r="193" spans="1:13" x14ac:dyDescent="0.25">
      <c r="A193" t="s">
        <v>236</v>
      </c>
      <c r="B193" s="3">
        <v>45362.53402777778</v>
      </c>
      <c r="C193" s="2" t="s">
        <v>27</v>
      </c>
      <c r="D193" s="2" t="s">
        <v>25</v>
      </c>
      <c r="E193" t="s">
        <v>44</v>
      </c>
      <c r="F193">
        <v>2657.24</v>
      </c>
      <c r="G193" s="2" t="s">
        <v>22</v>
      </c>
      <c r="H193"/>
      <c r="I193">
        <v>2.1</v>
      </c>
      <c r="J193">
        <v>1</v>
      </c>
      <c r="K193">
        <v>55.8</v>
      </c>
      <c r="L193">
        <v>2601.44</v>
      </c>
      <c r="M193">
        <v>2657.2400000000002</v>
      </c>
    </row>
    <row r="194" spans="1:13" x14ac:dyDescent="0.25">
      <c r="A194" t="s">
        <v>237</v>
      </c>
      <c r="B194" s="3">
        <v>45363.05</v>
      </c>
      <c r="C194" s="2" t="s">
        <v>60</v>
      </c>
      <c r="D194" s="2" t="s">
        <v>25</v>
      </c>
      <c r="E194" t="s">
        <v>33</v>
      </c>
      <c r="F194">
        <v>2451.27</v>
      </c>
      <c r="G194" s="2" t="s">
        <v>22</v>
      </c>
      <c r="H194"/>
      <c r="I194">
        <v>1.9</v>
      </c>
      <c r="J194">
        <v>1</v>
      </c>
      <c r="K194">
        <v>46.57</v>
      </c>
      <c r="L194">
        <v>2404.6999999999998</v>
      </c>
      <c r="M194">
        <v>2451.27</v>
      </c>
    </row>
    <row r="195" spans="1:13" x14ac:dyDescent="0.25">
      <c r="A195" t="s">
        <v>238</v>
      </c>
      <c r="B195" s="3">
        <v>45363.303472222222</v>
      </c>
      <c r="C195" s="2" t="s">
        <v>31</v>
      </c>
      <c r="D195" s="2" t="s">
        <v>32</v>
      </c>
      <c r="E195" t="s">
        <v>44</v>
      </c>
      <c r="F195">
        <v>3008.99</v>
      </c>
      <c r="G195" s="2" t="s">
        <v>17</v>
      </c>
      <c r="H195"/>
      <c r="I195">
        <v>2.1</v>
      </c>
      <c r="J195">
        <v>1.17</v>
      </c>
      <c r="K195">
        <v>0</v>
      </c>
      <c r="L195">
        <v>0</v>
      </c>
      <c r="M195">
        <v>0</v>
      </c>
    </row>
    <row r="196" spans="1:13" x14ac:dyDescent="0.25">
      <c r="A196" t="s">
        <v>239</v>
      </c>
      <c r="B196" s="3">
        <v>45363.84652777778</v>
      </c>
      <c r="C196" s="2" t="s">
        <v>24</v>
      </c>
      <c r="D196" s="2" t="s">
        <v>25</v>
      </c>
      <c r="E196" t="s">
        <v>39</v>
      </c>
      <c r="F196">
        <v>3579.03</v>
      </c>
      <c r="G196" s="2" t="s">
        <v>34</v>
      </c>
      <c r="H196" t="s">
        <v>78</v>
      </c>
      <c r="I196">
        <v>3.2</v>
      </c>
      <c r="J196">
        <v>1</v>
      </c>
      <c r="K196">
        <v>0</v>
      </c>
      <c r="L196">
        <v>0</v>
      </c>
      <c r="M196">
        <v>0</v>
      </c>
    </row>
    <row r="197" spans="1:13" x14ac:dyDescent="0.25">
      <c r="A197" t="s">
        <v>240</v>
      </c>
      <c r="B197" s="3">
        <v>45363.981944444444</v>
      </c>
      <c r="C197" s="2" t="s">
        <v>43</v>
      </c>
      <c r="D197" s="2" t="s">
        <v>25</v>
      </c>
      <c r="E197" t="s">
        <v>44</v>
      </c>
      <c r="F197">
        <v>4951.71</v>
      </c>
      <c r="G197" s="2" t="s">
        <v>22</v>
      </c>
      <c r="H197"/>
      <c r="I197">
        <v>2.1</v>
      </c>
      <c r="J197">
        <v>1</v>
      </c>
      <c r="K197">
        <v>103.99</v>
      </c>
      <c r="L197">
        <v>4847.72</v>
      </c>
      <c r="M197">
        <v>4951.71</v>
      </c>
    </row>
    <row r="198" spans="1:13" x14ac:dyDescent="0.25">
      <c r="A198" t="s">
        <v>241</v>
      </c>
      <c r="B198" s="3">
        <v>45364.127083333333</v>
      </c>
      <c r="C198" s="2" t="s">
        <v>47</v>
      </c>
      <c r="D198" s="2" t="s">
        <v>25</v>
      </c>
      <c r="E198" t="s">
        <v>15</v>
      </c>
      <c r="F198">
        <v>2096.4899999999998</v>
      </c>
      <c r="G198" s="2" t="s">
        <v>22</v>
      </c>
      <c r="H198"/>
      <c r="I198">
        <v>2.5</v>
      </c>
      <c r="J198">
        <v>1</v>
      </c>
      <c r="K198">
        <v>52.41</v>
      </c>
      <c r="L198">
        <v>2044.08</v>
      </c>
      <c r="M198">
        <v>2096.4899999999998</v>
      </c>
    </row>
    <row r="199" spans="1:13" x14ac:dyDescent="0.25">
      <c r="A199" t="s">
        <v>242</v>
      </c>
      <c r="B199" s="3">
        <v>45364.548611111109</v>
      </c>
      <c r="C199" s="2" t="s">
        <v>37</v>
      </c>
      <c r="D199" s="2" t="s">
        <v>38</v>
      </c>
      <c r="E199" t="s">
        <v>33</v>
      </c>
      <c r="F199">
        <v>2198.92</v>
      </c>
      <c r="G199" s="2" t="s">
        <v>17</v>
      </c>
      <c r="H199"/>
      <c r="I199">
        <v>1.9</v>
      </c>
      <c r="J199">
        <v>0.23</v>
      </c>
      <c r="K199">
        <v>0</v>
      </c>
      <c r="L199">
        <v>0</v>
      </c>
      <c r="M199">
        <v>0</v>
      </c>
    </row>
    <row r="200" spans="1:13" x14ac:dyDescent="0.25">
      <c r="A200" t="s">
        <v>243</v>
      </c>
      <c r="B200" s="3">
        <v>45365.005555555559</v>
      </c>
      <c r="C200" s="2" t="s">
        <v>13</v>
      </c>
      <c r="D200" s="2" t="s">
        <v>14</v>
      </c>
      <c r="E200" t="s">
        <v>39</v>
      </c>
      <c r="F200">
        <v>3896.25</v>
      </c>
      <c r="G200" s="2" t="s">
        <v>34</v>
      </c>
      <c r="H200" t="s">
        <v>62</v>
      </c>
      <c r="I200">
        <v>3.2</v>
      </c>
      <c r="J200">
        <v>8.7999999999999995E-2</v>
      </c>
      <c r="K200">
        <v>0</v>
      </c>
      <c r="L200">
        <v>0</v>
      </c>
      <c r="M200">
        <v>0</v>
      </c>
    </row>
    <row r="201" spans="1:13" x14ac:dyDescent="0.25">
      <c r="A201" t="s">
        <v>244</v>
      </c>
      <c r="B201" s="3">
        <v>45365.263194444444</v>
      </c>
      <c r="C201" s="2" t="s">
        <v>43</v>
      </c>
      <c r="D201" s="2" t="s">
        <v>25</v>
      </c>
      <c r="E201" t="s">
        <v>33</v>
      </c>
      <c r="F201">
        <v>339.92</v>
      </c>
      <c r="G201" s="2" t="s">
        <v>17</v>
      </c>
      <c r="H201"/>
      <c r="I201">
        <v>1.9</v>
      </c>
      <c r="J201">
        <v>1</v>
      </c>
      <c r="K201">
        <v>0</v>
      </c>
      <c r="L201">
        <v>0</v>
      </c>
      <c r="M201">
        <v>0</v>
      </c>
    </row>
    <row r="202" spans="1:13" x14ac:dyDescent="0.25">
      <c r="A202" t="s">
        <v>245</v>
      </c>
      <c r="B202" s="3">
        <v>45365.393750000003</v>
      </c>
      <c r="C202" s="2" t="s">
        <v>60</v>
      </c>
      <c r="D202" s="2" t="s">
        <v>25</v>
      </c>
      <c r="E202" t="s">
        <v>33</v>
      </c>
      <c r="F202">
        <v>1210.42</v>
      </c>
      <c r="G202" s="2" t="s">
        <v>34</v>
      </c>
      <c r="H202" t="s">
        <v>35</v>
      </c>
      <c r="I202">
        <v>1.9</v>
      </c>
      <c r="J202">
        <v>1</v>
      </c>
      <c r="K202">
        <v>0</v>
      </c>
      <c r="L202">
        <v>0</v>
      </c>
      <c r="M202">
        <v>0</v>
      </c>
    </row>
    <row r="203" spans="1:13" x14ac:dyDescent="0.25">
      <c r="A203" t="s">
        <v>246</v>
      </c>
      <c r="B203" s="3">
        <v>45366.479166666664</v>
      </c>
      <c r="C203" s="2" t="s">
        <v>37</v>
      </c>
      <c r="D203" s="2" t="s">
        <v>38</v>
      </c>
      <c r="E203" t="s">
        <v>39</v>
      </c>
      <c r="F203">
        <v>3230.53</v>
      </c>
      <c r="G203" s="2" t="s">
        <v>17</v>
      </c>
      <c r="H203"/>
      <c r="I203">
        <v>3.2</v>
      </c>
      <c r="J203">
        <v>0.23</v>
      </c>
      <c r="K203">
        <v>0</v>
      </c>
      <c r="L203">
        <v>0</v>
      </c>
      <c r="M203">
        <v>0</v>
      </c>
    </row>
    <row r="204" spans="1:13" x14ac:dyDescent="0.25">
      <c r="A204" t="s">
        <v>247</v>
      </c>
      <c r="B204" s="3">
        <v>45366.665972222225</v>
      </c>
      <c r="C204" s="2" t="s">
        <v>19</v>
      </c>
      <c r="D204" s="2" t="s">
        <v>20</v>
      </c>
      <c r="E204" t="s">
        <v>15</v>
      </c>
      <c r="F204">
        <v>329.76</v>
      </c>
      <c r="G204" s="2" t="s">
        <v>22</v>
      </c>
      <c r="H204"/>
      <c r="I204">
        <v>2.5</v>
      </c>
      <c r="J204">
        <v>8.7999999999999995E-2</v>
      </c>
      <c r="K204">
        <v>0.72511999999999999</v>
      </c>
      <c r="L204">
        <v>28.293759999999995</v>
      </c>
      <c r="M204">
        <v>29.018879999999996</v>
      </c>
    </row>
    <row r="205" spans="1:13" x14ac:dyDescent="0.25">
      <c r="A205" t="s">
        <v>248</v>
      </c>
      <c r="B205" s="3">
        <v>45366.970138888886</v>
      </c>
      <c r="C205" s="2" t="s">
        <v>19</v>
      </c>
      <c r="D205" s="2" t="s">
        <v>20</v>
      </c>
      <c r="E205" t="s">
        <v>39</v>
      </c>
      <c r="F205">
        <v>811.18</v>
      </c>
      <c r="G205" s="2" t="s">
        <v>17</v>
      </c>
      <c r="H205"/>
      <c r="I205">
        <v>3.2</v>
      </c>
      <c r="J205">
        <v>8.7999999999999995E-2</v>
      </c>
      <c r="K205">
        <v>0</v>
      </c>
      <c r="L205">
        <v>0</v>
      </c>
      <c r="M205">
        <v>0</v>
      </c>
    </row>
    <row r="206" spans="1:13" x14ac:dyDescent="0.25">
      <c r="A206" t="s">
        <v>249</v>
      </c>
      <c r="B206" s="3">
        <v>45367.791666666664</v>
      </c>
      <c r="C206" s="2" t="s">
        <v>47</v>
      </c>
      <c r="D206" s="2" t="s">
        <v>25</v>
      </c>
      <c r="E206" t="s">
        <v>44</v>
      </c>
      <c r="F206">
        <v>2705.68</v>
      </c>
      <c r="G206" s="2" t="s">
        <v>22</v>
      </c>
      <c r="H206"/>
      <c r="I206">
        <v>2.1</v>
      </c>
      <c r="J206">
        <v>1</v>
      </c>
      <c r="K206">
        <v>56.82</v>
      </c>
      <c r="L206">
        <v>2648.86</v>
      </c>
      <c r="M206">
        <v>2705.6800000000003</v>
      </c>
    </row>
    <row r="207" spans="1:13" x14ac:dyDescent="0.25">
      <c r="A207" t="s">
        <v>250</v>
      </c>
      <c r="B207" s="3">
        <v>45367.881249999999</v>
      </c>
      <c r="C207" s="2" t="s">
        <v>43</v>
      </c>
      <c r="D207" s="2" t="s">
        <v>25</v>
      </c>
      <c r="E207" t="s">
        <v>33</v>
      </c>
      <c r="F207">
        <v>1956.01</v>
      </c>
      <c r="G207" s="2" t="s">
        <v>17</v>
      </c>
      <c r="H207"/>
      <c r="I207">
        <v>1.9</v>
      </c>
      <c r="J207">
        <v>1</v>
      </c>
      <c r="K207">
        <v>0</v>
      </c>
      <c r="L207">
        <v>0</v>
      </c>
      <c r="M207">
        <v>0</v>
      </c>
    </row>
    <row r="208" spans="1:13" x14ac:dyDescent="0.25">
      <c r="A208" t="s">
        <v>251</v>
      </c>
      <c r="B208" s="3">
        <v>45367.95416666667</v>
      </c>
      <c r="C208" s="2" t="s">
        <v>58</v>
      </c>
      <c r="D208" s="2" t="s">
        <v>25</v>
      </c>
      <c r="E208" t="s">
        <v>39</v>
      </c>
      <c r="F208">
        <v>1870.43</v>
      </c>
      <c r="G208" s="2" t="s">
        <v>22</v>
      </c>
      <c r="H208"/>
      <c r="I208">
        <v>3.2</v>
      </c>
      <c r="J208">
        <v>1</v>
      </c>
      <c r="K208">
        <v>59.85</v>
      </c>
      <c r="L208">
        <v>1810.58</v>
      </c>
      <c r="M208">
        <v>1870.4299999999998</v>
      </c>
    </row>
    <row r="209" spans="1:13" x14ac:dyDescent="0.25">
      <c r="A209" t="s">
        <v>252</v>
      </c>
      <c r="B209" s="3">
        <v>45368.099305555559</v>
      </c>
      <c r="C209" s="2" t="s">
        <v>27</v>
      </c>
      <c r="D209" s="2" t="s">
        <v>25</v>
      </c>
      <c r="E209" t="s">
        <v>33</v>
      </c>
      <c r="F209">
        <v>80.430000000000007</v>
      </c>
      <c r="G209" s="2" t="s">
        <v>17</v>
      </c>
      <c r="H209"/>
      <c r="I209">
        <v>1.9</v>
      </c>
      <c r="J209">
        <v>1</v>
      </c>
      <c r="K209">
        <v>0</v>
      </c>
      <c r="L209">
        <v>0</v>
      </c>
      <c r="M209">
        <v>0</v>
      </c>
    </row>
    <row r="210" spans="1:13" x14ac:dyDescent="0.25">
      <c r="A210" t="s">
        <v>253</v>
      </c>
      <c r="B210" s="3">
        <v>45368.79583333333</v>
      </c>
      <c r="C210" s="2" t="s">
        <v>27</v>
      </c>
      <c r="D210" s="2" t="s">
        <v>25</v>
      </c>
      <c r="E210" t="s">
        <v>15</v>
      </c>
      <c r="F210">
        <v>3003.07</v>
      </c>
      <c r="G210" s="2" t="s">
        <v>17</v>
      </c>
      <c r="H210"/>
      <c r="I210">
        <v>2.5</v>
      </c>
      <c r="J210">
        <v>1</v>
      </c>
      <c r="K210">
        <v>0</v>
      </c>
      <c r="L210">
        <v>0</v>
      </c>
      <c r="M210">
        <v>0</v>
      </c>
    </row>
    <row r="211" spans="1:13" x14ac:dyDescent="0.25">
      <c r="A211" t="s">
        <v>254</v>
      </c>
      <c r="B211" s="3">
        <v>45369.572222222225</v>
      </c>
      <c r="C211" s="2" t="s">
        <v>24</v>
      </c>
      <c r="D211" s="2" t="s">
        <v>25</v>
      </c>
      <c r="E211" t="s">
        <v>15</v>
      </c>
      <c r="F211">
        <v>3877.11</v>
      </c>
      <c r="G211" s="2" t="s">
        <v>34</v>
      </c>
      <c r="H211" t="s">
        <v>78</v>
      </c>
      <c r="I211">
        <v>2.5</v>
      </c>
      <c r="J211">
        <v>1</v>
      </c>
      <c r="K211">
        <v>0</v>
      </c>
      <c r="L211">
        <v>0</v>
      </c>
      <c r="M211">
        <v>0</v>
      </c>
    </row>
    <row r="212" spans="1:13" x14ac:dyDescent="0.25">
      <c r="A212" t="s">
        <v>255</v>
      </c>
      <c r="B212" s="3">
        <v>45369.931250000001</v>
      </c>
      <c r="C212" s="2" t="s">
        <v>58</v>
      </c>
      <c r="D212" s="2" t="s">
        <v>25</v>
      </c>
      <c r="E212" t="s">
        <v>33</v>
      </c>
      <c r="F212">
        <v>2581.7600000000002</v>
      </c>
      <c r="G212" s="2" t="s">
        <v>34</v>
      </c>
      <c r="H212" t="s">
        <v>55</v>
      </c>
      <c r="I212">
        <v>1.9</v>
      </c>
      <c r="J212">
        <v>1</v>
      </c>
      <c r="K212">
        <v>0</v>
      </c>
      <c r="L212">
        <v>0</v>
      </c>
      <c r="M212">
        <v>0</v>
      </c>
    </row>
    <row r="213" spans="1:13" x14ac:dyDescent="0.25">
      <c r="A213" t="s">
        <v>256</v>
      </c>
      <c r="B213" s="3">
        <v>45369.945833333331</v>
      </c>
      <c r="C213" s="2" t="s">
        <v>31</v>
      </c>
      <c r="D213" s="2" t="s">
        <v>32</v>
      </c>
      <c r="E213" t="s">
        <v>28</v>
      </c>
      <c r="F213">
        <v>4042.82</v>
      </c>
      <c r="G213" s="2" t="s">
        <v>34</v>
      </c>
      <c r="H213" t="s">
        <v>100</v>
      </c>
      <c r="I213">
        <v>2.9</v>
      </c>
      <c r="J213">
        <v>1.17</v>
      </c>
      <c r="K213">
        <v>0</v>
      </c>
      <c r="L213">
        <v>0</v>
      </c>
      <c r="M213">
        <v>0</v>
      </c>
    </row>
    <row r="214" spans="1:13" x14ac:dyDescent="0.25">
      <c r="A214" t="s">
        <v>257</v>
      </c>
      <c r="B214" s="3">
        <v>45371.131944444445</v>
      </c>
      <c r="C214" s="2" t="s">
        <v>43</v>
      </c>
      <c r="D214" s="2" t="s">
        <v>25</v>
      </c>
      <c r="E214" t="s">
        <v>15</v>
      </c>
      <c r="F214">
        <v>2038.5</v>
      </c>
      <c r="G214" s="2" t="s">
        <v>17</v>
      </c>
      <c r="H214"/>
      <c r="I214">
        <v>2.5</v>
      </c>
      <c r="J214">
        <v>1</v>
      </c>
      <c r="K214">
        <v>0</v>
      </c>
      <c r="L214">
        <v>0</v>
      </c>
      <c r="M214">
        <v>0</v>
      </c>
    </row>
    <row r="215" spans="1:13" x14ac:dyDescent="0.25">
      <c r="A215" t="s">
        <v>258</v>
      </c>
      <c r="B215" s="3">
        <v>45371.262499999997</v>
      </c>
      <c r="C215" s="2" t="s">
        <v>24</v>
      </c>
      <c r="D215" s="2" t="s">
        <v>25</v>
      </c>
      <c r="E215" t="s">
        <v>28</v>
      </c>
      <c r="F215">
        <v>3681.33</v>
      </c>
      <c r="G215" s="2" t="s">
        <v>22</v>
      </c>
      <c r="H215"/>
      <c r="I215">
        <v>2.9</v>
      </c>
      <c r="J215">
        <v>1</v>
      </c>
      <c r="K215">
        <v>106.76</v>
      </c>
      <c r="L215">
        <v>3574.57</v>
      </c>
      <c r="M215">
        <v>3681.3300000000004</v>
      </c>
    </row>
    <row r="216" spans="1:13" x14ac:dyDescent="0.25">
      <c r="A216" t="s">
        <v>259</v>
      </c>
      <c r="B216" s="3">
        <v>45371.853472222225</v>
      </c>
      <c r="C216" s="2" t="s">
        <v>13</v>
      </c>
      <c r="D216" s="2" t="s">
        <v>14</v>
      </c>
      <c r="E216" t="s">
        <v>39</v>
      </c>
      <c r="F216">
        <v>3922.11</v>
      </c>
      <c r="G216" s="2" t="s">
        <v>34</v>
      </c>
      <c r="H216" t="s">
        <v>78</v>
      </c>
      <c r="I216">
        <v>3.2</v>
      </c>
      <c r="J216">
        <v>8.7999999999999995E-2</v>
      </c>
      <c r="K216">
        <v>0</v>
      </c>
      <c r="L216">
        <v>0</v>
      </c>
      <c r="M216">
        <v>0</v>
      </c>
    </row>
    <row r="217" spans="1:13" x14ac:dyDescent="0.25">
      <c r="A217" t="s">
        <v>260</v>
      </c>
      <c r="B217" s="3">
        <v>45372.018055555556</v>
      </c>
      <c r="C217" s="2" t="s">
        <v>43</v>
      </c>
      <c r="D217" s="2" t="s">
        <v>25</v>
      </c>
      <c r="E217" t="s">
        <v>33</v>
      </c>
      <c r="F217">
        <v>1463.38</v>
      </c>
      <c r="G217" s="2" t="s">
        <v>22</v>
      </c>
      <c r="H217"/>
      <c r="I217">
        <v>1.9</v>
      </c>
      <c r="J217">
        <v>1</v>
      </c>
      <c r="K217">
        <v>27.8</v>
      </c>
      <c r="L217">
        <v>1435.58</v>
      </c>
      <c r="M217">
        <v>1463.3799999999999</v>
      </c>
    </row>
    <row r="218" spans="1:13" x14ac:dyDescent="0.25">
      <c r="A218" t="s">
        <v>261</v>
      </c>
      <c r="B218" s="3">
        <v>45372.021527777775</v>
      </c>
      <c r="C218" s="2" t="s">
        <v>13</v>
      </c>
      <c r="D218" s="2" t="s">
        <v>14</v>
      </c>
      <c r="E218" t="s">
        <v>28</v>
      </c>
      <c r="F218">
        <v>4476.45</v>
      </c>
      <c r="G218" s="2" t="s">
        <v>34</v>
      </c>
      <c r="H218" t="s">
        <v>100</v>
      </c>
      <c r="I218">
        <v>2.9</v>
      </c>
      <c r="J218">
        <v>8.7999999999999995E-2</v>
      </c>
      <c r="K218">
        <v>0</v>
      </c>
      <c r="L218">
        <v>0</v>
      </c>
      <c r="M218">
        <v>0</v>
      </c>
    </row>
    <row r="219" spans="1:13" x14ac:dyDescent="0.25">
      <c r="A219" t="s">
        <v>262</v>
      </c>
      <c r="B219" s="3">
        <v>45372.367361111108</v>
      </c>
      <c r="C219" s="2" t="s">
        <v>31</v>
      </c>
      <c r="D219" s="2" t="s">
        <v>32</v>
      </c>
      <c r="E219" t="s">
        <v>33</v>
      </c>
      <c r="F219">
        <v>1149.74</v>
      </c>
      <c r="G219" s="2" t="s">
        <v>17</v>
      </c>
      <c r="H219"/>
      <c r="I219">
        <v>1.9</v>
      </c>
      <c r="J219">
        <v>1.17</v>
      </c>
      <c r="K219">
        <v>0</v>
      </c>
      <c r="L219">
        <v>0</v>
      </c>
      <c r="M219">
        <v>0</v>
      </c>
    </row>
    <row r="220" spans="1:13" x14ac:dyDescent="0.25">
      <c r="A220" t="s">
        <v>263</v>
      </c>
      <c r="B220" s="3">
        <v>45372.628472222219</v>
      </c>
      <c r="C220" s="2" t="s">
        <v>19</v>
      </c>
      <c r="D220" s="2" t="s">
        <v>20</v>
      </c>
      <c r="E220" t="s">
        <v>39</v>
      </c>
      <c r="F220">
        <v>308.27999999999997</v>
      </c>
      <c r="G220" s="2" t="s">
        <v>22</v>
      </c>
      <c r="H220"/>
      <c r="I220">
        <v>3.2</v>
      </c>
      <c r="J220">
        <v>8.7999999999999995E-2</v>
      </c>
      <c r="K220">
        <v>0.8676799999999999</v>
      </c>
      <c r="L220">
        <v>26.260960000000001</v>
      </c>
      <c r="M220">
        <v>27.128640000000001</v>
      </c>
    </row>
    <row r="221" spans="1:13" x14ac:dyDescent="0.25">
      <c r="A221" t="s">
        <v>264</v>
      </c>
      <c r="B221" s="3">
        <v>45372.793749999997</v>
      </c>
      <c r="C221" s="2" t="s">
        <v>31</v>
      </c>
      <c r="D221" s="2" t="s">
        <v>32</v>
      </c>
      <c r="E221" t="s">
        <v>39</v>
      </c>
      <c r="F221">
        <v>3313.07</v>
      </c>
      <c r="G221" s="2" t="s">
        <v>34</v>
      </c>
      <c r="H221" t="s">
        <v>100</v>
      </c>
      <c r="I221">
        <v>3.2</v>
      </c>
      <c r="J221">
        <v>1.17</v>
      </c>
      <c r="K221">
        <v>0</v>
      </c>
      <c r="L221">
        <v>0</v>
      </c>
      <c r="M221">
        <v>0</v>
      </c>
    </row>
    <row r="222" spans="1:13" x14ac:dyDescent="0.25">
      <c r="A222" t="s">
        <v>265</v>
      </c>
      <c r="B222" s="3">
        <v>45373.865277777775</v>
      </c>
      <c r="C222" s="2" t="s">
        <v>60</v>
      </c>
      <c r="D222" s="2" t="s">
        <v>25</v>
      </c>
      <c r="E222" t="s">
        <v>33</v>
      </c>
      <c r="F222">
        <v>619.49</v>
      </c>
      <c r="G222" s="2" t="s">
        <v>34</v>
      </c>
      <c r="H222" t="s">
        <v>62</v>
      </c>
      <c r="I222">
        <v>1.9</v>
      </c>
      <c r="J222">
        <v>1</v>
      </c>
      <c r="K222">
        <v>0</v>
      </c>
      <c r="L222">
        <v>0</v>
      </c>
      <c r="M222">
        <v>0</v>
      </c>
    </row>
    <row r="223" spans="1:13" x14ac:dyDescent="0.25">
      <c r="A223" t="s">
        <v>266</v>
      </c>
      <c r="B223" s="3">
        <v>45373.935416666667</v>
      </c>
      <c r="C223" s="2" t="s">
        <v>37</v>
      </c>
      <c r="D223" s="2" t="s">
        <v>38</v>
      </c>
      <c r="E223" t="s">
        <v>39</v>
      </c>
      <c r="F223">
        <v>1084.42</v>
      </c>
      <c r="G223" s="2" t="s">
        <v>22</v>
      </c>
      <c r="H223"/>
      <c r="I223">
        <v>3.2</v>
      </c>
      <c r="J223">
        <v>0.23</v>
      </c>
      <c r="K223">
        <v>7.9810000000000008</v>
      </c>
      <c r="L223">
        <v>241.43560000000002</v>
      </c>
      <c r="M223">
        <v>249.41660000000002</v>
      </c>
    </row>
    <row r="224" spans="1:13" x14ac:dyDescent="0.25">
      <c r="A224" t="s">
        <v>267</v>
      </c>
      <c r="B224" s="3">
        <v>45374.218055555553</v>
      </c>
      <c r="C224" s="2" t="s">
        <v>19</v>
      </c>
      <c r="D224" s="2" t="s">
        <v>20</v>
      </c>
      <c r="E224" t="s">
        <v>39</v>
      </c>
      <c r="F224">
        <v>581.97</v>
      </c>
      <c r="G224" s="2" t="s">
        <v>17</v>
      </c>
      <c r="H224"/>
      <c r="I224">
        <v>3.2</v>
      </c>
      <c r="J224">
        <v>8.7999999999999995E-2</v>
      </c>
      <c r="K224">
        <v>0</v>
      </c>
      <c r="L224">
        <v>0</v>
      </c>
      <c r="M224">
        <v>0</v>
      </c>
    </row>
    <row r="225" spans="1:13" x14ac:dyDescent="0.25">
      <c r="A225" t="s">
        <v>268</v>
      </c>
      <c r="B225" s="3">
        <v>45374.285416666666</v>
      </c>
      <c r="C225" s="2" t="s">
        <v>19</v>
      </c>
      <c r="D225" s="2" t="s">
        <v>20</v>
      </c>
      <c r="E225" t="s">
        <v>44</v>
      </c>
      <c r="F225">
        <v>270.38</v>
      </c>
      <c r="G225" s="2" t="s">
        <v>34</v>
      </c>
      <c r="H225" t="s">
        <v>62</v>
      </c>
      <c r="I225">
        <v>2.1</v>
      </c>
      <c r="J225">
        <v>8.7999999999999995E-2</v>
      </c>
      <c r="K225">
        <v>0</v>
      </c>
      <c r="L225">
        <v>0</v>
      </c>
      <c r="M225">
        <v>0</v>
      </c>
    </row>
    <row r="226" spans="1:13" x14ac:dyDescent="0.25">
      <c r="A226" t="s">
        <v>269</v>
      </c>
      <c r="B226" s="3">
        <v>45374.977777777778</v>
      </c>
      <c r="C226" s="2" t="s">
        <v>13</v>
      </c>
      <c r="D226" s="2" t="s">
        <v>14</v>
      </c>
      <c r="E226" t="s">
        <v>15</v>
      </c>
      <c r="F226">
        <v>58.25</v>
      </c>
      <c r="G226" s="2" t="s">
        <v>22</v>
      </c>
      <c r="H226"/>
      <c r="I226">
        <v>2.5</v>
      </c>
      <c r="J226">
        <v>8.7999999999999995E-2</v>
      </c>
      <c r="K226">
        <v>0.12847999999999998</v>
      </c>
      <c r="L226">
        <v>4.9975199999999997</v>
      </c>
      <c r="M226">
        <v>5.1259999999999994</v>
      </c>
    </row>
    <row r="227" spans="1:13" x14ac:dyDescent="0.25">
      <c r="A227" t="s">
        <v>270</v>
      </c>
      <c r="B227" s="3">
        <v>45375.053472222222</v>
      </c>
      <c r="C227" s="2" t="s">
        <v>37</v>
      </c>
      <c r="D227" s="2" t="s">
        <v>38</v>
      </c>
      <c r="E227" t="s">
        <v>15</v>
      </c>
      <c r="F227">
        <v>253.09</v>
      </c>
      <c r="G227" s="2" t="s">
        <v>22</v>
      </c>
      <c r="H227"/>
      <c r="I227">
        <v>2.5</v>
      </c>
      <c r="J227">
        <v>0.23</v>
      </c>
      <c r="K227">
        <v>1.4559</v>
      </c>
      <c r="L227">
        <v>56.754800000000003</v>
      </c>
      <c r="M227">
        <v>58.210700000000003</v>
      </c>
    </row>
    <row r="228" spans="1:13" x14ac:dyDescent="0.25">
      <c r="A228" t="s">
        <v>271</v>
      </c>
      <c r="B228" s="3">
        <v>45375.134027777778</v>
      </c>
      <c r="C228" s="2" t="s">
        <v>27</v>
      </c>
      <c r="D228" s="2" t="s">
        <v>25</v>
      </c>
      <c r="E228" t="s">
        <v>33</v>
      </c>
      <c r="F228">
        <v>4159.55</v>
      </c>
      <c r="G228" s="2" t="s">
        <v>17</v>
      </c>
      <c r="H228"/>
      <c r="I228">
        <v>1.9</v>
      </c>
      <c r="J228">
        <v>1</v>
      </c>
      <c r="K228">
        <v>0</v>
      </c>
      <c r="L228">
        <v>0</v>
      </c>
      <c r="M228">
        <v>0</v>
      </c>
    </row>
    <row r="229" spans="1:13" x14ac:dyDescent="0.25">
      <c r="A229" t="s">
        <v>272</v>
      </c>
      <c r="B229" s="3">
        <v>45375.174305555556</v>
      </c>
      <c r="C229" s="2" t="s">
        <v>60</v>
      </c>
      <c r="D229" s="2" t="s">
        <v>25</v>
      </c>
      <c r="E229" t="s">
        <v>15</v>
      </c>
      <c r="F229">
        <v>1554.5</v>
      </c>
      <c r="G229" s="2" t="s">
        <v>34</v>
      </c>
      <c r="H229" t="s">
        <v>62</v>
      </c>
      <c r="I229">
        <v>2.5</v>
      </c>
      <c r="J229">
        <v>1</v>
      </c>
      <c r="K229">
        <v>0</v>
      </c>
      <c r="L229">
        <v>0</v>
      </c>
      <c r="M229">
        <v>0</v>
      </c>
    </row>
    <row r="230" spans="1:13" x14ac:dyDescent="0.25">
      <c r="A230" t="s">
        <v>273</v>
      </c>
      <c r="B230" s="3">
        <v>45375.527083333334</v>
      </c>
      <c r="C230" s="2" t="s">
        <v>47</v>
      </c>
      <c r="D230" s="2" t="s">
        <v>25</v>
      </c>
      <c r="E230" t="s">
        <v>33</v>
      </c>
      <c r="F230">
        <v>2541.5</v>
      </c>
      <c r="G230" s="2" t="s">
        <v>17</v>
      </c>
      <c r="H230"/>
      <c r="I230">
        <v>1.9</v>
      </c>
      <c r="J230">
        <v>1</v>
      </c>
      <c r="K230">
        <v>0</v>
      </c>
      <c r="L230">
        <v>0</v>
      </c>
      <c r="M230">
        <v>0</v>
      </c>
    </row>
    <row r="231" spans="1:13" x14ac:dyDescent="0.25">
      <c r="A231" t="s">
        <v>274</v>
      </c>
      <c r="B231" s="3">
        <v>45375.640277777777</v>
      </c>
      <c r="C231" s="2" t="s">
        <v>13</v>
      </c>
      <c r="D231" s="2" t="s">
        <v>14</v>
      </c>
      <c r="E231" t="s">
        <v>33</v>
      </c>
      <c r="F231">
        <v>843.15</v>
      </c>
      <c r="G231" s="2" t="s">
        <v>22</v>
      </c>
      <c r="H231"/>
      <c r="I231">
        <v>1.9</v>
      </c>
      <c r="J231">
        <v>8.7999999999999995E-2</v>
      </c>
      <c r="K231">
        <v>1.4097599999999999</v>
      </c>
      <c r="L231">
        <v>72.787439999999989</v>
      </c>
      <c r="M231">
        <v>74.197199999999995</v>
      </c>
    </row>
    <row r="232" spans="1:13" x14ac:dyDescent="0.25">
      <c r="A232" t="s">
        <v>275</v>
      </c>
      <c r="B232" s="3">
        <v>45376.338194444441</v>
      </c>
      <c r="C232" s="2" t="s">
        <v>27</v>
      </c>
      <c r="D232" s="2" t="s">
        <v>25</v>
      </c>
      <c r="E232" t="s">
        <v>15</v>
      </c>
      <c r="F232">
        <v>4376.22</v>
      </c>
      <c r="G232" s="2" t="s">
        <v>17</v>
      </c>
      <c r="H232"/>
      <c r="I232">
        <v>2.5</v>
      </c>
      <c r="J232">
        <v>1</v>
      </c>
      <c r="K232">
        <v>0</v>
      </c>
      <c r="L232">
        <v>0</v>
      </c>
      <c r="M232">
        <v>0</v>
      </c>
    </row>
    <row r="233" spans="1:13" x14ac:dyDescent="0.25">
      <c r="A233" t="s">
        <v>276</v>
      </c>
      <c r="B233" s="3">
        <v>45376.401388888888</v>
      </c>
      <c r="C233" s="2" t="s">
        <v>19</v>
      </c>
      <c r="D233" s="2" t="s">
        <v>20</v>
      </c>
      <c r="E233" t="s">
        <v>39</v>
      </c>
      <c r="F233">
        <v>630.52</v>
      </c>
      <c r="G233" s="2" t="s">
        <v>22</v>
      </c>
      <c r="H233"/>
      <c r="I233">
        <v>3.2</v>
      </c>
      <c r="J233">
        <v>8.7999999999999995E-2</v>
      </c>
      <c r="K233">
        <v>1.7758399999999999</v>
      </c>
      <c r="L233">
        <v>53.709919999999997</v>
      </c>
      <c r="M233">
        <v>55.485759999999999</v>
      </c>
    </row>
    <row r="234" spans="1:13" x14ac:dyDescent="0.25">
      <c r="A234" t="s">
        <v>277</v>
      </c>
      <c r="B234" s="3">
        <v>45376.5</v>
      </c>
      <c r="C234" s="2" t="s">
        <v>58</v>
      </c>
      <c r="D234" s="2" t="s">
        <v>25</v>
      </c>
      <c r="E234" t="s">
        <v>39</v>
      </c>
      <c r="F234">
        <v>1433.39</v>
      </c>
      <c r="G234" s="2" t="s">
        <v>17</v>
      </c>
      <c r="H234"/>
      <c r="I234">
        <v>3.2</v>
      </c>
      <c r="J234">
        <v>1</v>
      </c>
      <c r="K234">
        <v>0</v>
      </c>
      <c r="L234">
        <v>0</v>
      </c>
      <c r="M234">
        <v>0</v>
      </c>
    </row>
    <row r="235" spans="1:13" x14ac:dyDescent="0.25">
      <c r="A235" t="s">
        <v>278</v>
      </c>
      <c r="B235" s="3">
        <v>45376.543749999997</v>
      </c>
      <c r="C235" s="2" t="s">
        <v>58</v>
      </c>
      <c r="D235" s="2" t="s">
        <v>25</v>
      </c>
      <c r="E235" t="s">
        <v>28</v>
      </c>
      <c r="F235">
        <v>4513.53</v>
      </c>
      <c r="G235" s="2" t="s">
        <v>22</v>
      </c>
      <c r="H235"/>
      <c r="I235">
        <v>2.9</v>
      </c>
      <c r="J235">
        <v>1</v>
      </c>
      <c r="K235">
        <v>130.88999999999999</v>
      </c>
      <c r="L235">
        <v>4382.6400000000003</v>
      </c>
      <c r="M235">
        <v>4513.5300000000007</v>
      </c>
    </row>
    <row r="236" spans="1:13" x14ac:dyDescent="0.25">
      <c r="A236" t="s">
        <v>279</v>
      </c>
      <c r="B236" s="3">
        <v>45376.630555555559</v>
      </c>
      <c r="C236" s="2" t="s">
        <v>58</v>
      </c>
      <c r="D236" s="2" t="s">
        <v>25</v>
      </c>
      <c r="E236" t="s">
        <v>28</v>
      </c>
      <c r="F236">
        <v>3058.15</v>
      </c>
      <c r="G236" s="2" t="s">
        <v>22</v>
      </c>
      <c r="H236"/>
      <c r="I236">
        <v>2.9</v>
      </c>
      <c r="J236">
        <v>1</v>
      </c>
      <c r="K236">
        <v>88.69</v>
      </c>
      <c r="L236">
        <v>2969.46</v>
      </c>
      <c r="M236">
        <v>3058.15</v>
      </c>
    </row>
    <row r="237" spans="1:13" x14ac:dyDescent="0.25">
      <c r="A237" t="s">
        <v>280</v>
      </c>
      <c r="B237" s="3">
        <v>45377.504166666666</v>
      </c>
      <c r="C237" s="2" t="s">
        <v>31</v>
      </c>
      <c r="D237" s="2" t="s">
        <v>32</v>
      </c>
      <c r="E237" t="s">
        <v>28</v>
      </c>
      <c r="F237">
        <v>2746.68</v>
      </c>
      <c r="G237" s="2" t="s">
        <v>22</v>
      </c>
      <c r="H237"/>
      <c r="I237">
        <v>2.9</v>
      </c>
      <c r="J237">
        <v>1.17</v>
      </c>
      <c r="K237">
        <v>93.1905</v>
      </c>
      <c r="L237">
        <v>3120.4250999999999</v>
      </c>
      <c r="M237">
        <v>3213.6156000000001</v>
      </c>
    </row>
    <row r="238" spans="1:13" x14ac:dyDescent="0.25">
      <c r="A238" t="s">
        <v>281</v>
      </c>
      <c r="B238" s="3">
        <v>45377.600694444445</v>
      </c>
      <c r="C238" s="2" t="s">
        <v>43</v>
      </c>
      <c r="D238" s="2" t="s">
        <v>25</v>
      </c>
      <c r="E238" t="s">
        <v>39</v>
      </c>
      <c r="F238">
        <v>3733.29</v>
      </c>
      <c r="G238" s="2" t="s">
        <v>17</v>
      </c>
      <c r="H238"/>
      <c r="I238">
        <v>3.2</v>
      </c>
      <c r="J238">
        <v>1</v>
      </c>
      <c r="K238">
        <v>0</v>
      </c>
      <c r="L238">
        <v>0</v>
      </c>
      <c r="M238">
        <v>0</v>
      </c>
    </row>
    <row r="239" spans="1:13" x14ac:dyDescent="0.25">
      <c r="A239" t="s">
        <v>282</v>
      </c>
      <c r="B239" s="3">
        <v>45377.818055555559</v>
      </c>
      <c r="C239" s="2" t="s">
        <v>31</v>
      </c>
      <c r="D239" s="2" t="s">
        <v>32</v>
      </c>
      <c r="E239" t="s">
        <v>44</v>
      </c>
      <c r="F239">
        <v>549.41</v>
      </c>
      <c r="G239" s="2" t="s">
        <v>22</v>
      </c>
      <c r="H239"/>
      <c r="I239">
        <v>2.1</v>
      </c>
      <c r="J239">
        <v>1.17</v>
      </c>
      <c r="K239">
        <v>13.501799999999998</v>
      </c>
      <c r="L239">
        <v>629.30790000000002</v>
      </c>
      <c r="M239">
        <v>642.80970000000002</v>
      </c>
    </row>
    <row r="240" spans="1:13" x14ac:dyDescent="0.25">
      <c r="A240" t="s">
        <v>283</v>
      </c>
      <c r="B240" s="3">
        <v>45377.838194444441</v>
      </c>
      <c r="C240" s="2" t="s">
        <v>24</v>
      </c>
      <c r="D240" s="2" t="s">
        <v>25</v>
      </c>
      <c r="E240" t="s">
        <v>39</v>
      </c>
      <c r="F240">
        <v>3644.46</v>
      </c>
      <c r="G240" s="2" t="s">
        <v>34</v>
      </c>
      <c r="H240" t="s">
        <v>100</v>
      </c>
      <c r="I240">
        <v>3.2</v>
      </c>
      <c r="J240">
        <v>1</v>
      </c>
      <c r="K240">
        <v>0</v>
      </c>
      <c r="L240">
        <v>0</v>
      </c>
      <c r="M240">
        <v>0</v>
      </c>
    </row>
    <row r="241" spans="1:13" x14ac:dyDescent="0.25">
      <c r="A241" t="s">
        <v>284</v>
      </c>
      <c r="B241" s="3">
        <v>45377.86041666667</v>
      </c>
      <c r="C241" s="2" t="s">
        <v>60</v>
      </c>
      <c r="D241" s="2" t="s">
        <v>25</v>
      </c>
      <c r="E241" t="s">
        <v>33</v>
      </c>
      <c r="F241">
        <v>4834.3900000000003</v>
      </c>
      <c r="G241" s="2" t="s">
        <v>22</v>
      </c>
      <c r="H241"/>
      <c r="I241">
        <v>1.9</v>
      </c>
      <c r="J241">
        <v>1</v>
      </c>
      <c r="K241">
        <v>91.85</v>
      </c>
      <c r="L241">
        <v>4742.54</v>
      </c>
      <c r="M241">
        <v>4834.3900000000003</v>
      </c>
    </row>
    <row r="242" spans="1:13" x14ac:dyDescent="0.25">
      <c r="A242" t="s">
        <v>285</v>
      </c>
      <c r="B242" s="3">
        <v>45377.988194444442</v>
      </c>
      <c r="C242" s="2" t="s">
        <v>37</v>
      </c>
      <c r="D242" s="2" t="s">
        <v>38</v>
      </c>
      <c r="E242" t="s">
        <v>15</v>
      </c>
      <c r="F242">
        <v>2957.07</v>
      </c>
      <c r="G242" s="2" t="s">
        <v>22</v>
      </c>
      <c r="H242"/>
      <c r="I242">
        <v>2.5</v>
      </c>
      <c r="J242">
        <v>0.23</v>
      </c>
      <c r="K242">
        <v>17.003900000000002</v>
      </c>
      <c r="L242">
        <v>663.12220000000002</v>
      </c>
      <c r="M242">
        <v>680.12610000000006</v>
      </c>
    </row>
    <row r="243" spans="1:13" x14ac:dyDescent="0.25">
      <c r="A243" t="s">
        <v>286</v>
      </c>
      <c r="B243" s="3">
        <v>45378.099305555559</v>
      </c>
      <c r="C243" s="2" t="s">
        <v>24</v>
      </c>
      <c r="D243" s="2" t="s">
        <v>25</v>
      </c>
      <c r="E243" t="s">
        <v>39</v>
      </c>
      <c r="F243">
        <v>2978.85</v>
      </c>
      <c r="G243" s="2" t="s">
        <v>34</v>
      </c>
      <c r="H243" t="s">
        <v>78</v>
      </c>
      <c r="I243">
        <v>3.2</v>
      </c>
      <c r="J243">
        <v>1</v>
      </c>
      <c r="K243">
        <v>0</v>
      </c>
      <c r="L243">
        <v>0</v>
      </c>
      <c r="M243">
        <v>0</v>
      </c>
    </row>
    <row r="244" spans="1:13" x14ac:dyDescent="0.25">
      <c r="A244" t="s">
        <v>287</v>
      </c>
      <c r="B244" s="3">
        <v>45378.105555555558</v>
      </c>
      <c r="C244" s="2" t="s">
        <v>31</v>
      </c>
      <c r="D244" s="2" t="s">
        <v>32</v>
      </c>
      <c r="E244" t="s">
        <v>33</v>
      </c>
      <c r="F244">
        <v>977.58</v>
      </c>
      <c r="G244" s="2" t="s">
        <v>22</v>
      </c>
      <c r="H244"/>
      <c r="I244">
        <v>1.9</v>
      </c>
      <c r="J244">
        <v>1.17</v>
      </c>
      <c r="K244">
        <v>21.726900000000001</v>
      </c>
      <c r="L244">
        <v>1122.0417</v>
      </c>
      <c r="M244">
        <v>1143.7685999999999</v>
      </c>
    </row>
    <row r="245" spans="1:13" x14ac:dyDescent="0.25">
      <c r="A245" t="s">
        <v>288</v>
      </c>
      <c r="B245" s="3">
        <v>45378.178472222222</v>
      </c>
      <c r="C245" s="2" t="s">
        <v>47</v>
      </c>
      <c r="D245" s="2" t="s">
        <v>25</v>
      </c>
      <c r="E245" t="s">
        <v>39</v>
      </c>
      <c r="F245">
        <v>738.21</v>
      </c>
      <c r="G245" s="2" t="s">
        <v>22</v>
      </c>
      <c r="H245"/>
      <c r="I245">
        <v>3.2</v>
      </c>
      <c r="J245">
        <v>1</v>
      </c>
      <c r="K245">
        <v>23.62</v>
      </c>
      <c r="L245">
        <v>714.59</v>
      </c>
      <c r="M245">
        <v>738.21</v>
      </c>
    </row>
    <row r="246" spans="1:13" x14ac:dyDescent="0.25">
      <c r="A246" t="s">
        <v>289</v>
      </c>
      <c r="B246" s="3">
        <v>45378.783333333333</v>
      </c>
      <c r="C246" s="2" t="s">
        <v>27</v>
      </c>
      <c r="D246" s="2" t="s">
        <v>25</v>
      </c>
      <c r="E246" t="s">
        <v>15</v>
      </c>
      <c r="F246">
        <v>655.74</v>
      </c>
      <c r="G246" s="2" t="s">
        <v>34</v>
      </c>
      <c r="H246" t="s">
        <v>55</v>
      </c>
      <c r="I246">
        <v>2.5</v>
      </c>
      <c r="J246">
        <v>1</v>
      </c>
      <c r="K246">
        <v>0</v>
      </c>
      <c r="L246">
        <v>0</v>
      </c>
      <c r="M246">
        <v>0</v>
      </c>
    </row>
    <row r="247" spans="1:13" x14ac:dyDescent="0.25">
      <c r="A247" t="s">
        <v>290</v>
      </c>
      <c r="B247" s="3">
        <v>45378.878472222219</v>
      </c>
      <c r="C247" s="2" t="s">
        <v>47</v>
      </c>
      <c r="D247" s="2" t="s">
        <v>25</v>
      </c>
      <c r="E247" t="s">
        <v>33</v>
      </c>
      <c r="F247">
        <v>1682.59</v>
      </c>
      <c r="G247" s="2" t="s">
        <v>22</v>
      </c>
      <c r="H247"/>
      <c r="I247">
        <v>1.9</v>
      </c>
      <c r="J247">
        <v>1</v>
      </c>
      <c r="K247">
        <v>31.97</v>
      </c>
      <c r="L247">
        <v>1650.62</v>
      </c>
      <c r="M247">
        <v>1682.59</v>
      </c>
    </row>
    <row r="248" spans="1:13" x14ac:dyDescent="0.25">
      <c r="A248" t="s">
        <v>291</v>
      </c>
      <c r="B248" s="3">
        <v>45378.980555555558</v>
      </c>
      <c r="C248" s="2" t="s">
        <v>47</v>
      </c>
      <c r="D248" s="2" t="s">
        <v>25</v>
      </c>
      <c r="E248" t="s">
        <v>33</v>
      </c>
      <c r="F248">
        <v>1069.8599999999999</v>
      </c>
      <c r="G248" s="2" t="s">
        <v>22</v>
      </c>
      <c r="H248"/>
      <c r="I248">
        <v>1.9</v>
      </c>
      <c r="J248">
        <v>1</v>
      </c>
      <c r="K248">
        <v>20.329999999999998</v>
      </c>
      <c r="L248">
        <v>1049.53</v>
      </c>
      <c r="M248">
        <v>1069.8599999999999</v>
      </c>
    </row>
    <row r="249" spans="1:13" x14ac:dyDescent="0.25">
      <c r="A249" t="s">
        <v>292</v>
      </c>
      <c r="B249" s="3">
        <v>45379.328472222223</v>
      </c>
      <c r="C249" s="2" t="s">
        <v>58</v>
      </c>
      <c r="D249" s="2" t="s">
        <v>25</v>
      </c>
      <c r="E249" t="s">
        <v>33</v>
      </c>
      <c r="F249">
        <v>3975.13</v>
      </c>
      <c r="G249" s="2" t="s">
        <v>22</v>
      </c>
      <c r="H249"/>
      <c r="I249">
        <v>1.9</v>
      </c>
      <c r="J249">
        <v>1</v>
      </c>
      <c r="K249">
        <v>75.53</v>
      </c>
      <c r="L249">
        <v>3899.6</v>
      </c>
      <c r="M249">
        <v>3975.13</v>
      </c>
    </row>
    <row r="250" spans="1:13" x14ac:dyDescent="0.25">
      <c r="A250" t="s">
        <v>293</v>
      </c>
      <c r="B250" s="3">
        <v>45379.708333333336</v>
      </c>
      <c r="C250" s="2" t="s">
        <v>31</v>
      </c>
      <c r="D250" s="2" t="s">
        <v>32</v>
      </c>
      <c r="E250" t="s">
        <v>44</v>
      </c>
      <c r="F250">
        <v>4257.97</v>
      </c>
      <c r="G250" s="2" t="s">
        <v>34</v>
      </c>
      <c r="H250" t="s">
        <v>62</v>
      </c>
      <c r="I250">
        <v>2.1</v>
      </c>
      <c r="J250">
        <v>1.17</v>
      </c>
      <c r="K250">
        <v>0</v>
      </c>
      <c r="L250">
        <v>0</v>
      </c>
      <c r="M250">
        <v>0</v>
      </c>
    </row>
    <row r="251" spans="1:13" x14ac:dyDescent="0.25">
      <c r="A251" t="s">
        <v>294</v>
      </c>
      <c r="B251" s="3">
        <v>45379.811805555553</v>
      </c>
      <c r="C251" s="2" t="s">
        <v>37</v>
      </c>
      <c r="D251" s="2" t="s">
        <v>38</v>
      </c>
      <c r="E251" t="s">
        <v>28</v>
      </c>
      <c r="F251">
        <v>4223.9799999999996</v>
      </c>
      <c r="G251" s="2" t="s">
        <v>22</v>
      </c>
      <c r="H251"/>
      <c r="I251">
        <v>2.9</v>
      </c>
      <c r="J251">
        <v>0.23</v>
      </c>
      <c r="K251">
        <v>28.175000000000001</v>
      </c>
      <c r="L251">
        <v>943.34039999999993</v>
      </c>
      <c r="M251">
        <v>971.51539999999989</v>
      </c>
    </row>
    <row r="252" spans="1:13" x14ac:dyDescent="0.25">
      <c r="A252" t="s">
        <v>295</v>
      </c>
      <c r="B252" s="3">
        <v>45379.902083333334</v>
      </c>
      <c r="C252" s="2" t="s">
        <v>19</v>
      </c>
      <c r="D252" s="2" t="s">
        <v>20</v>
      </c>
      <c r="E252" t="s">
        <v>39</v>
      </c>
      <c r="F252">
        <v>215.56</v>
      </c>
      <c r="G252" s="2" t="s">
        <v>22</v>
      </c>
      <c r="H252"/>
      <c r="I252">
        <v>3.2</v>
      </c>
      <c r="J252">
        <v>8.7999999999999995E-2</v>
      </c>
      <c r="K252">
        <v>0.60719999999999996</v>
      </c>
      <c r="L252">
        <v>18.362079999999999</v>
      </c>
      <c r="M252">
        <v>18.969279999999998</v>
      </c>
    </row>
    <row r="253" spans="1:13" x14ac:dyDescent="0.25">
      <c r="A253" t="s">
        <v>296</v>
      </c>
      <c r="B253" s="3">
        <v>45380.936111111114</v>
      </c>
      <c r="C253" s="2" t="s">
        <v>31</v>
      </c>
      <c r="D253" s="2" t="s">
        <v>32</v>
      </c>
      <c r="E253" t="s">
        <v>39</v>
      </c>
      <c r="F253">
        <v>3550.61</v>
      </c>
      <c r="G253" s="2" t="s">
        <v>17</v>
      </c>
      <c r="H253"/>
      <c r="I253">
        <v>3.2</v>
      </c>
      <c r="J253">
        <v>1.17</v>
      </c>
      <c r="K253">
        <v>0</v>
      </c>
      <c r="L253">
        <v>0</v>
      </c>
      <c r="M253">
        <v>0</v>
      </c>
    </row>
    <row r="254" spans="1:13" x14ac:dyDescent="0.25">
      <c r="A254" t="s">
        <v>297</v>
      </c>
      <c r="B254" s="3">
        <v>45381.26458333333</v>
      </c>
      <c r="C254" s="2" t="s">
        <v>37</v>
      </c>
      <c r="D254" s="2" t="s">
        <v>38</v>
      </c>
      <c r="E254" t="s">
        <v>15</v>
      </c>
      <c r="F254">
        <v>3988.3</v>
      </c>
      <c r="G254" s="2" t="s">
        <v>22</v>
      </c>
      <c r="H254"/>
      <c r="I254">
        <v>2.5</v>
      </c>
      <c r="J254">
        <v>0.23</v>
      </c>
      <c r="K254">
        <v>22.933299999999999</v>
      </c>
      <c r="L254">
        <v>894.37570000000005</v>
      </c>
      <c r="M254">
        <v>917.30900000000008</v>
      </c>
    </row>
    <row r="255" spans="1:13" x14ac:dyDescent="0.25">
      <c r="A255" t="s">
        <v>298</v>
      </c>
      <c r="B255" s="3">
        <v>45381.854861111111</v>
      </c>
      <c r="C255" s="2" t="s">
        <v>43</v>
      </c>
      <c r="D255" s="2" t="s">
        <v>25</v>
      </c>
      <c r="E255" t="s">
        <v>28</v>
      </c>
      <c r="F255">
        <v>4254.33</v>
      </c>
      <c r="G255" s="2" t="s">
        <v>17</v>
      </c>
      <c r="H255"/>
      <c r="I255">
        <v>2.9</v>
      </c>
      <c r="J255">
        <v>1</v>
      </c>
      <c r="K255">
        <v>0</v>
      </c>
      <c r="L255">
        <v>0</v>
      </c>
      <c r="M255">
        <v>0</v>
      </c>
    </row>
    <row r="256" spans="1:13" x14ac:dyDescent="0.25">
      <c r="A256" t="s">
        <v>299</v>
      </c>
      <c r="B256" s="3">
        <v>45382.650694444441</v>
      </c>
      <c r="C256" s="2" t="s">
        <v>13</v>
      </c>
      <c r="D256" s="2" t="s">
        <v>14</v>
      </c>
      <c r="E256" t="s">
        <v>39</v>
      </c>
      <c r="F256">
        <v>825.93</v>
      </c>
      <c r="G256" s="2" t="s">
        <v>22</v>
      </c>
      <c r="H256"/>
      <c r="I256">
        <v>3.2</v>
      </c>
      <c r="J256">
        <v>8.7999999999999995E-2</v>
      </c>
      <c r="K256">
        <v>2.3258399999999999</v>
      </c>
      <c r="L256">
        <v>70.355999999999995</v>
      </c>
      <c r="M256">
        <v>72.681839999999994</v>
      </c>
    </row>
    <row r="257" spans="1:13" x14ac:dyDescent="0.25">
      <c r="A257" t="s">
        <v>300</v>
      </c>
      <c r="B257" s="3">
        <v>45383.609027777777</v>
      </c>
      <c r="C257" s="2" t="s">
        <v>24</v>
      </c>
      <c r="D257" s="2" t="s">
        <v>25</v>
      </c>
      <c r="E257" t="s">
        <v>15</v>
      </c>
      <c r="F257">
        <v>1257.9100000000001</v>
      </c>
      <c r="G257" s="2" t="s">
        <v>22</v>
      </c>
      <c r="H257"/>
      <c r="I257">
        <v>2.5</v>
      </c>
      <c r="J257">
        <v>1</v>
      </c>
      <c r="K257">
        <v>31.45</v>
      </c>
      <c r="L257">
        <v>1226.46</v>
      </c>
      <c r="M257">
        <v>1257.9100000000001</v>
      </c>
    </row>
    <row r="258" spans="1:13" x14ac:dyDescent="0.25">
      <c r="A258" t="s">
        <v>301</v>
      </c>
      <c r="B258" s="3">
        <v>45384.013888888891</v>
      </c>
      <c r="C258" s="2" t="s">
        <v>19</v>
      </c>
      <c r="D258" s="2" t="s">
        <v>20</v>
      </c>
      <c r="E258" t="s">
        <v>44</v>
      </c>
      <c r="F258">
        <v>4479.87</v>
      </c>
      <c r="G258" s="2" t="s">
        <v>22</v>
      </c>
      <c r="H258"/>
      <c r="I258">
        <v>2.1</v>
      </c>
      <c r="J258">
        <v>8.7999999999999995E-2</v>
      </c>
      <c r="K258">
        <v>8.2790400000000002</v>
      </c>
      <c r="L258">
        <v>385.94951999999995</v>
      </c>
      <c r="M258">
        <v>394.22855999999996</v>
      </c>
    </row>
    <row r="259" spans="1:13" x14ac:dyDescent="0.25">
      <c r="A259" t="s">
        <v>302</v>
      </c>
      <c r="B259" s="3">
        <v>45384.363888888889</v>
      </c>
      <c r="C259" s="2" t="s">
        <v>47</v>
      </c>
      <c r="D259" s="2" t="s">
        <v>25</v>
      </c>
      <c r="E259" t="s">
        <v>39</v>
      </c>
      <c r="F259">
        <v>40.47</v>
      </c>
      <c r="G259" s="2" t="s">
        <v>22</v>
      </c>
      <c r="H259"/>
      <c r="I259">
        <v>3.2</v>
      </c>
      <c r="J259">
        <v>1</v>
      </c>
      <c r="K259">
        <v>1.3</v>
      </c>
      <c r="L259">
        <v>39.17</v>
      </c>
      <c r="M259">
        <v>40.47</v>
      </c>
    </row>
    <row r="260" spans="1:13" x14ac:dyDescent="0.25">
      <c r="A260" t="s">
        <v>303</v>
      </c>
      <c r="B260" s="3">
        <v>45384.704861111109</v>
      </c>
      <c r="C260" s="2" t="s">
        <v>60</v>
      </c>
      <c r="D260" s="2" t="s">
        <v>25</v>
      </c>
      <c r="E260" t="s">
        <v>39</v>
      </c>
      <c r="F260">
        <v>4837.05</v>
      </c>
      <c r="G260" s="2" t="s">
        <v>17</v>
      </c>
      <c r="H260"/>
      <c r="I260">
        <v>3.2</v>
      </c>
      <c r="J260">
        <v>1</v>
      </c>
      <c r="K260">
        <v>0</v>
      </c>
      <c r="L260">
        <v>0</v>
      </c>
      <c r="M260">
        <v>0</v>
      </c>
    </row>
    <row r="261" spans="1:13" x14ac:dyDescent="0.25">
      <c r="A261" t="s">
        <v>304</v>
      </c>
      <c r="B261" s="3">
        <v>45384.789583333331</v>
      </c>
      <c r="C261" s="2" t="s">
        <v>13</v>
      </c>
      <c r="D261" s="2" t="s">
        <v>14</v>
      </c>
      <c r="E261" t="s">
        <v>44</v>
      </c>
      <c r="F261">
        <v>2073.66</v>
      </c>
      <c r="G261" s="2" t="s">
        <v>34</v>
      </c>
      <c r="H261" t="s">
        <v>78</v>
      </c>
      <c r="I261">
        <v>2.1</v>
      </c>
      <c r="J261">
        <v>8.7999999999999995E-2</v>
      </c>
      <c r="K261">
        <v>0</v>
      </c>
      <c r="L261">
        <v>0</v>
      </c>
      <c r="M261">
        <v>0</v>
      </c>
    </row>
    <row r="262" spans="1:13" x14ac:dyDescent="0.25">
      <c r="A262" t="s">
        <v>305</v>
      </c>
      <c r="B262" s="3">
        <v>45385.501388888886</v>
      </c>
      <c r="C262" s="2" t="s">
        <v>31</v>
      </c>
      <c r="D262" s="2" t="s">
        <v>32</v>
      </c>
      <c r="E262" t="s">
        <v>15</v>
      </c>
      <c r="F262">
        <v>1576.59</v>
      </c>
      <c r="G262" s="2" t="s">
        <v>34</v>
      </c>
      <c r="H262" t="s">
        <v>55</v>
      </c>
      <c r="I262">
        <v>2.5</v>
      </c>
      <c r="J262">
        <v>1.17</v>
      </c>
      <c r="K262">
        <v>0</v>
      </c>
      <c r="L262">
        <v>0</v>
      </c>
      <c r="M262">
        <v>0</v>
      </c>
    </row>
    <row r="263" spans="1:13" x14ac:dyDescent="0.25">
      <c r="A263" t="s">
        <v>306</v>
      </c>
      <c r="B263" s="3">
        <v>45386.027083333334</v>
      </c>
      <c r="C263" s="2" t="s">
        <v>37</v>
      </c>
      <c r="D263" s="2" t="s">
        <v>38</v>
      </c>
      <c r="E263" t="s">
        <v>33</v>
      </c>
      <c r="F263">
        <v>1610.26</v>
      </c>
      <c r="G263" s="2" t="s">
        <v>22</v>
      </c>
      <c r="H263"/>
      <c r="I263">
        <v>1.9</v>
      </c>
      <c r="J263">
        <v>0.23</v>
      </c>
      <c r="K263">
        <v>7.0357000000000003</v>
      </c>
      <c r="L263">
        <v>363.32410000000004</v>
      </c>
      <c r="M263">
        <v>370.35980000000006</v>
      </c>
    </row>
    <row r="264" spans="1:13" x14ac:dyDescent="0.25">
      <c r="A264" t="s">
        <v>307</v>
      </c>
      <c r="B264" s="3">
        <v>45387.109722222223</v>
      </c>
      <c r="C264" s="2" t="s">
        <v>31</v>
      </c>
      <c r="D264" s="2" t="s">
        <v>32</v>
      </c>
      <c r="E264" t="s">
        <v>44</v>
      </c>
      <c r="F264">
        <v>608.23</v>
      </c>
      <c r="G264" s="2" t="s">
        <v>17</v>
      </c>
      <c r="H264"/>
      <c r="I264">
        <v>2.1</v>
      </c>
      <c r="J264">
        <v>1.17</v>
      </c>
      <c r="K264">
        <v>0</v>
      </c>
      <c r="L264">
        <v>0</v>
      </c>
      <c r="M264">
        <v>0</v>
      </c>
    </row>
    <row r="265" spans="1:13" x14ac:dyDescent="0.25">
      <c r="A265" t="s">
        <v>308</v>
      </c>
      <c r="B265" s="3">
        <v>45387.272222222222</v>
      </c>
      <c r="C265" s="2" t="s">
        <v>43</v>
      </c>
      <c r="D265" s="2" t="s">
        <v>25</v>
      </c>
      <c r="E265" t="s">
        <v>33</v>
      </c>
      <c r="F265">
        <v>208.36</v>
      </c>
      <c r="G265" s="2" t="s">
        <v>17</v>
      </c>
      <c r="H265"/>
      <c r="I265">
        <v>1.9</v>
      </c>
      <c r="J265">
        <v>1</v>
      </c>
      <c r="K265">
        <v>0</v>
      </c>
      <c r="L265">
        <v>0</v>
      </c>
      <c r="M265">
        <v>0</v>
      </c>
    </row>
    <row r="266" spans="1:13" x14ac:dyDescent="0.25">
      <c r="A266" t="s">
        <v>309</v>
      </c>
      <c r="B266" s="3">
        <v>45387.584722222222</v>
      </c>
      <c r="C266" s="2" t="s">
        <v>47</v>
      </c>
      <c r="D266" s="2" t="s">
        <v>25</v>
      </c>
      <c r="E266" t="s">
        <v>15</v>
      </c>
      <c r="F266">
        <v>1324.37</v>
      </c>
      <c r="G266" s="2" t="s">
        <v>22</v>
      </c>
      <c r="H266"/>
      <c r="I266">
        <v>2.5</v>
      </c>
      <c r="J266">
        <v>1</v>
      </c>
      <c r="K266">
        <v>33.11</v>
      </c>
      <c r="L266">
        <v>1291.26</v>
      </c>
      <c r="M266">
        <v>1324.37</v>
      </c>
    </row>
    <row r="267" spans="1:13" x14ac:dyDescent="0.25">
      <c r="A267" t="s">
        <v>310</v>
      </c>
      <c r="B267" s="3">
        <v>45387.655555555553</v>
      </c>
      <c r="C267" s="2" t="s">
        <v>43</v>
      </c>
      <c r="D267" s="2" t="s">
        <v>25</v>
      </c>
      <c r="E267" t="s">
        <v>39</v>
      </c>
      <c r="F267">
        <v>1340.94</v>
      </c>
      <c r="G267" s="2" t="s">
        <v>22</v>
      </c>
      <c r="H267"/>
      <c r="I267">
        <v>3.2</v>
      </c>
      <c r="J267">
        <v>1</v>
      </c>
      <c r="K267">
        <v>42.91</v>
      </c>
      <c r="L267">
        <v>1298.03</v>
      </c>
      <c r="M267">
        <v>1340.94</v>
      </c>
    </row>
    <row r="268" spans="1:13" x14ac:dyDescent="0.25">
      <c r="A268" t="s">
        <v>311</v>
      </c>
      <c r="B268" s="3">
        <v>45388.417361111111</v>
      </c>
      <c r="C268" s="2" t="s">
        <v>27</v>
      </c>
      <c r="D268" s="2" t="s">
        <v>25</v>
      </c>
      <c r="E268" t="s">
        <v>28</v>
      </c>
      <c r="F268">
        <v>120.43</v>
      </c>
      <c r="G268" s="2" t="s">
        <v>22</v>
      </c>
      <c r="H268"/>
      <c r="I268">
        <v>2.9</v>
      </c>
      <c r="J268">
        <v>1</v>
      </c>
      <c r="K268">
        <v>3.49</v>
      </c>
      <c r="L268">
        <v>116.94</v>
      </c>
      <c r="M268">
        <v>120.42999999999999</v>
      </c>
    </row>
    <row r="269" spans="1:13" x14ac:dyDescent="0.25">
      <c r="A269" t="s">
        <v>312</v>
      </c>
      <c r="B269" s="3">
        <v>45388.580555555556</v>
      </c>
      <c r="C269" s="2" t="s">
        <v>13</v>
      </c>
      <c r="D269" s="2" t="s">
        <v>14</v>
      </c>
      <c r="E269" t="s">
        <v>15</v>
      </c>
      <c r="F269">
        <v>1256.98</v>
      </c>
      <c r="G269" s="2" t="s">
        <v>34</v>
      </c>
      <c r="H269" t="s">
        <v>55</v>
      </c>
      <c r="I269">
        <v>2.5</v>
      </c>
      <c r="J269">
        <v>8.7999999999999995E-2</v>
      </c>
      <c r="K269">
        <v>0</v>
      </c>
      <c r="L269">
        <v>0</v>
      </c>
      <c r="M269">
        <v>0</v>
      </c>
    </row>
    <row r="270" spans="1:13" x14ac:dyDescent="0.25">
      <c r="A270" t="s">
        <v>313</v>
      </c>
      <c r="B270" s="3">
        <v>45389.272916666669</v>
      </c>
      <c r="C270" s="2" t="s">
        <v>24</v>
      </c>
      <c r="D270" s="2" t="s">
        <v>25</v>
      </c>
      <c r="E270" t="s">
        <v>33</v>
      </c>
      <c r="F270">
        <v>2796.53</v>
      </c>
      <c r="G270" s="2" t="s">
        <v>17</v>
      </c>
      <c r="H270"/>
      <c r="I270">
        <v>1.9</v>
      </c>
      <c r="J270">
        <v>1</v>
      </c>
      <c r="K270">
        <v>0</v>
      </c>
      <c r="L270">
        <v>0</v>
      </c>
      <c r="M270">
        <v>0</v>
      </c>
    </row>
    <row r="271" spans="1:13" x14ac:dyDescent="0.25">
      <c r="A271" t="s">
        <v>314</v>
      </c>
      <c r="B271" s="3">
        <v>45389.572222222225</v>
      </c>
      <c r="C271" s="2" t="s">
        <v>13</v>
      </c>
      <c r="D271" s="2" t="s">
        <v>14</v>
      </c>
      <c r="E271" t="s">
        <v>33</v>
      </c>
      <c r="F271">
        <v>3306.38</v>
      </c>
      <c r="G271" s="2" t="s">
        <v>22</v>
      </c>
      <c r="H271"/>
      <c r="I271">
        <v>1.9</v>
      </c>
      <c r="J271">
        <v>8.7999999999999995E-2</v>
      </c>
      <c r="K271">
        <v>5.5281599999999997</v>
      </c>
      <c r="L271">
        <v>285.43327999999997</v>
      </c>
      <c r="M271">
        <v>290.96143999999998</v>
      </c>
    </row>
    <row r="272" spans="1:13" x14ac:dyDescent="0.25">
      <c r="A272" t="s">
        <v>315</v>
      </c>
      <c r="B272" s="3">
        <v>45389.696527777778</v>
      </c>
      <c r="C272" s="2" t="s">
        <v>43</v>
      </c>
      <c r="D272" s="2" t="s">
        <v>25</v>
      </c>
      <c r="E272" t="s">
        <v>33</v>
      </c>
      <c r="F272">
        <v>3069.07</v>
      </c>
      <c r="G272" s="2" t="s">
        <v>22</v>
      </c>
      <c r="H272"/>
      <c r="I272">
        <v>1.9</v>
      </c>
      <c r="J272">
        <v>1</v>
      </c>
      <c r="K272">
        <v>58.31</v>
      </c>
      <c r="L272">
        <v>3010.76</v>
      </c>
      <c r="M272">
        <v>3069.07</v>
      </c>
    </row>
    <row r="273" spans="1:13" x14ac:dyDescent="0.25">
      <c r="A273" t="s">
        <v>316</v>
      </c>
      <c r="B273" s="3">
        <v>45390.042361111111</v>
      </c>
      <c r="C273" s="2" t="s">
        <v>19</v>
      </c>
      <c r="D273" s="2" t="s">
        <v>20</v>
      </c>
      <c r="E273" t="s">
        <v>28</v>
      </c>
      <c r="F273">
        <v>4693.1400000000003</v>
      </c>
      <c r="G273" s="2" t="s">
        <v>22</v>
      </c>
      <c r="H273"/>
      <c r="I273">
        <v>2.9</v>
      </c>
      <c r="J273">
        <v>8.7999999999999995E-2</v>
      </c>
      <c r="K273">
        <v>11.976799999999999</v>
      </c>
      <c r="L273">
        <v>401.01952</v>
      </c>
      <c r="M273">
        <v>412.99632000000003</v>
      </c>
    </row>
    <row r="274" spans="1:13" x14ac:dyDescent="0.25">
      <c r="A274" t="s">
        <v>317</v>
      </c>
      <c r="B274" s="3">
        <v>45390.293055555558</v>
      </c>
      <c r="C274" s="2" t="s">
        <v>58</v>
      </c>
      <c r="D274" s="2" t="s">
        <v>25</v>
      </c>
      <c r="E274" t="s">
        <v>28</v>
      </c>
      <c r="F274">
        <v>4751.49</v>
      </c>
      <c r="G274" s="2" t="s">
        <v>22</v>
      </c>
      <c r="H274"/>
      <c r="I274">
        <v>2.9</v>
      </c>
      <c r="J274">
        <v>1</v>
      </c>
      <c r="K274">
        <v>137.79</v>
      </c>
      <c r="L274">
        <v>4613.7</v>
      </c>
      <c r="M274">
        <v>4751.49</v>
      </c>
    </row>
    <row r="275" spans="1:13" x14ac:dyDescent="0.25">
      <c r="A275" t="s">
        <v>318</v>
      </c>
      <c r="B275" s="3">
        <v>45390.303472222222</v>
      </c>
      <c r="C275" s="2" t="s">
        <v>13</v>
      </c>
      <c r="D275" s="2" t="s">
        <v>14</v>
      </c>
      <c r="E275" t="s">
        <v>39</v>
      </c>
      <c r="F275">
        <v>4708.01</v>
      </c>
      <c r="G275" s="2" t="s">
        <v>22</v>
      </c>
      <c r="H275"/>
      <c r="I275">
        <v>3.2</v>
      </c>
      <c r="J275">
        <v>8.7999999999999995E-2</v>
      </c>
      <c r="K275">
        <v>13.25808</v>
      </c>
      <c r="L275">
        <v>401.04680000000002</v>
      </c>
      <c r="M275">
        <v>414.30488000000003</v>
      </c>
    </row>
    <row r="276" spans="1:13" x14ac:dyDescent="0.25">
      <c r="A276" t="s">
        <v>319</v>
      </c>
      <c r="B276" s="3">
        <v>45391.076388888891</v>
      </c>
      <c r="C276" s="2" t="s">
        <v>19</v>
      </c>
      <c r="D276" s="2" t="s">
        <v>20</v>
      </c>
      <c r="E276" t="s">
        <v>33</v>
      </c>
      <c r="F276">
        <v>3495.26</v>
      </c>
      <c r="G276" s="2" t="s">
        <v>17</v>
      </c>
      <c r="H276"/>
      <c r="I276">
        <v>1.9</v>
      </c>
      <c r="J276">
        <v>8.7999999999999995E-2</v>
      </c>
      <c r="K276">
        <v>0</v>
      </c>
      <c r="L276">
        <v>0</v>
      </c>
      <c r="M276">
        <v>0</v>
      </c>
    </row>
    <row r="277" spans="1:13" x14ac:dyDescent="0.25">
      <c r="A277" t="s">
        <v>320</v>
      </c>
      <c r="B277" s="3">
        <v>45391.394444444442</v>
      </c>
      <c r="C277" s="2" t="s">
        <v>27</v>
      </c>
      <c r="D277" s="2" t="s">
        <v>25</v>
      </c>
      <c r="E277" t="s">
        <v>28</v>
      </c>
      <c r="F277">
        <v>4812.75</v>
      </c>
      <c r="G277" s="2" t="s">
        <v>17</v>
      </c>
      <c r="H277"/>
      <c r="I277">
        <v>2.9</v>
      </c>
      <c r="J277">
        <v>1</v>
      </c>
      <c r="K277">
        <v>0</v>
      </c>
      <c r="L277">
        <v>0</v>
      </c>
      <c r="M277">
        <v>0</v>
      </c>
    </row>
    <row r="278" spans="1:13" x14ac:dyDescent="0.25">
      <c r="A278" t="s">
        <v>321</v>
      </c>
      <c r="B278" s="3">
        <v>45392.003472222219</v>
      </c>
      <c r="C278" s="2" t="s">
        <v>13</v>
      </c>
      <c r="D278" s="2" t="s">
        <v>14</v>
      </c>
      <c r="E278" t="s">
        <v>15</v>
      </c>
      <c r="F278">
        <v>4879.4399999999996</v>
      </c>
      <c r="G278" s="2" t="s">
        <v>34</v>
      </c>
      <c r="H278" t="s">
        <v>35</v>
      </c>
      <c r="I278">
        <v>2.5</v>
      </c>
      <c r="J278">
        <v>8.7999999999999995E-2</v>
      </c>
      <c r="K278">
        <v>0</v>
      </c>
      <c r="L278">
        <v>0</v>
      </c>
      <c r="M278">
        <v>0</v>
      </c>
    </row>
    <row r="279" spans="1:13" x14ac:dyDescent="0.25">
      <c r="A279" t="s">
        <v>322</v>
      </c>
      <c r="B279" s="3">
        <v>45392.279861111114</v>
      </c>
      <c r="C279" s="2" t="s">
        <v>37</v>
      </c>
      <c r="D279" s="2" t="s">
        <v>38</v>
      </c>
      <c r="E279" t="s">
        <v>39</v>
      </c>
      <c r="F279">
        <v>3973.79</v>
      </c>
      <c r="G279" s="2" t="s">
        <v>22</v>
      </c>
      <c r="H279"/>
      <c r="I279">
        <v>3.2</v>
      </c>
      <c r="J279">
        <v>0.23</v>
      </c>
      <c r="K279">
        <v>29.2468</v>
      </c>
      <c r="L279">
        <v>884.72490000000005</v>
      </c>
      <c r="M279">
        <v>913.97170000000006</v>
      </c>
    </row>
    <row r="280" spans="1:13" x14ac:dyDescent="0.25">
      <c r="A280" t="s">
        <v>323</v>
      </c>
      <c r="B280" s="3">
        <v>45393.101388888892</v>
      </c>
      <c r="C280" s="2" t="s">
        <v>37</v>
      </c>
      <c r="D280" s="2" t="s">
        <v>38</v>
      </c>
      <c r="E280" t="s">
        <v>44</v>
      </c>
      <c r="F280">
        <v>4383.1899999999996</v>
      </c>
      <c r="G280" s="2" t="s">
        <v>17</v>
      </c>
      <c r="H280"/>
      <c r="I280">
        <v>2.1</v>
      </c>
      <c r="J280">
        <v>0.23</v>
      </c>
      <c r="K280">
        <v>0</v>
      </c>
      <c r="L280">
        <v>0</v>
      </c>
      <c r="M280">
        <v>0</v>
      </c>
    </row>
    <row r="281" spans="1:13" x14ac:dyDescent="0.25">
      <c r="A281" t="s">
        <v>324</v>
      </c>
      <c r="B281" s="3">
        <v>45393.49722222222</v>
      </c>
      <c r="C281" s="2" t="s">
        <v>60</v>
      </c>
      <c r="D281" s="2" t="s">
        <v>25</v>
      </c>
      <c r="E281" t="s">
        <v>44</v>
      </c>
      <c r="F281">
        <v>1187.47</v>
      </c>
      <c r="G281" s="2" t="s">
        <v>34</v>
      </c>
      <c r="H281" t="s">
        <v>62</v>
      </c>
      <c r="I281">
        <v>2.1</v>
      </c>
      <c r="J281">
        <v>1</v>
      </c>
      <c r="K281">
        <v>0</v>
      </c>
      <c r="L281">
        <v>0</v>
      </c>
      <c r="M281">
        <v>0</v>
      </c>
    </row>
    <row r="282" spans="1:13" x14ac:dyDescent="0.25">
      <c r="A282" t="s">
        <v>325</v>
      </c>
      <c r="B282" s="3">
        <v>45393.515972222223</v>
      </c>
      <c r="C282" s="2" t="s">
        <v>31</v>
      </c>
      <c r="D282" s="2" t="s">
        <v>32</v>
      </c>
      <c r="E282" t="s">
        <v>33</v>
      </c>
      <c r="F282">
        <v>1301.52</v>
      </c>
      <c r="G282" s="2" t="s">
        <v>22</v>
      </c>
      <c r="H282"/>
      <c r="I282">
        <v>1.9</v>
      </c>
      <c r="J282">
        <v>1.17</v>
      </c>
      <c r="K282">
        <v>28.934099999999997</v>
      </c>
      <c r="L282">
        <v>1493.8443</v>
      </c>
      <c r="M282">
        <v>1522.7783999999999</v>
      </c>
    </row>
    <row r="283" spans="1:13" x14ac:dyDescent="0.25">
      <c r="A283" t="s">
        <v>326</v>
      </c>
      <c r="B283" s="3">
        <v>45393.642361111109</v>
      </c>
      <c r="C283" s="2" t="s">
        <v>19</v>
      </c>
      <c r="D283" s="2" t="s">
        <v>20</v>
      </c>
      <c r="E283" t="s">
        <v>44</v>
      </c>
      <c r="F283">
        <v>3083.82</v>
      </c>
      <c r="G283" s="2" t="s">
        <v>17</v>
      </c>
      <c r="H283"/>
      <c r="I283">
        <v>2.1</v>
      </c>
      <c r="J283">
        <v>8.7999999999999995E-2</v>
      </c>
      <c r="K283">
        <v>0</v>
      </c>
      <c r="L283">
        <v>0</v>
      </c>
      <c r="M283">
        <v>0</v>
      </c>
    </row>
    <row r="284" spans="1:13" x14ac:dyDescent="0.25">
      <c r="A284" t="s">
        <v>327</v>
      </c>
      <c r="B284" s="3">
        <v>45393.984027777777</v>
      </c>
      <c r="C284" s="2" t="s">
        <v>43</v>
      </c>
      <c r="D284" s="2" t="s">
        <v>25</v>
      </c>
      <c r="E284" t="s">
        <v>39</v>
      </c>
      <c r="F284">
        <v>649.79</v>
      </c>
      <c r="G284" s="2" t="s">
        <v>22</v>
      </c>
      <c r="H284"/>
      <c r="I284">
        <v>3.2</v>
      </c>
      <c r="J284">
        <v>1</v>
      </c>
      <c r="K284">
        <v>20.79</v>
      </c>
      <c r="L284">
        <v>629</v>
      </c>
      <c r="M284">
        <v>649.79</v>
      </c>
    </row>
    <row r="285" spans="1:13" x14ac:dyDescent="0.25">
      <c r="A285" t="s">
        <v>328</v>
      </c>
      <c r="B285" s="3">
        <v>45394.245138888888</v>
      </c>
      <c r="C285" s="2" t="s">
        <v>58</v>
      </c>
      <c r="D285" s="2" t="s">
        <v>25</v>
      </c>
      <c r="E285" t="s">
        <v>39</v>
      </c>
      <c r="F285">
        <v>2458.02</v>
      </c>
      <c r="G285" s="2" t="s">
        <v>22</v>
      </c>
      <c r="H285"/>
      <c r="I285">
        <v>3.2</v>
      </c>
      <c r="J285">
        <v>1</v>
      </c>
      <c r="K285">
        <v>78.66</v>
      </c>
      <c r="L285">
        <v>2379.36</v>
      </c>
      <c r="M285">
        <v>2458.02</v>
      </c>
    </row>
    <row r="286" spans="1:13" x14ac:dyDescent="0.25">
      <c r="A286" t="s">
        <v>329</v>
      </c>
      <c r="B286" s="3">
        <v>45394.559027777781</v>
      </c>
      <c r="C286" s="2" t="s">
        <v>47</v>
      </c>
      <c r="D286" s="2" t="s">
        <v>25</v>
      </c>
      <c r="E286" t="s">
        <v>33</v>
      </c>
      <c r="F286">
        <v>2271.61</v>
      </c>
      <c r="G286" s="2" t="s">
        <v>17</v>
      </c>
      <c r="H286"/>
      <c r="I286">
        <v>1.9</v>
      </c>
      <c r="J286">
        <v>1</v>
      </c>
      <c r="K286">
        <v>0</v>
      </c>
      <c r="L286">
        <v>0</v>
      </c>
      <c r="M286">
        <v>0</v>
      </c>
    </row>
    <row r="287" spans="1:13" x14ac:dyDescent="0.25">
      <c r="A287" t="s">
        <v>330</v>
      </c>
      <c r="B287" s="3">
        <v>45394.809027777781</v>
      </c>
      <c r="C287" s="2" t="s">
        <v>27</v>
      </c>
      <c r="D287" s="2" t="s">
        <v>25</v>
      </c>
      <c r="E287" t="s">
        <v>15</v>
      </c>
      <c r="F287">
        <v>727.92</v>
      </c>
      <c r="G287" s="2" t="s">
        <v>34</v>
      </c>
      <c r="H287" t="s">
        <v>35</v>
      </c>
      <c r="I287">
        <v>2.5</v>
      </c>
      <c r="J287">
        <v>1</v>
      </c>
      <c r="K287">
        <v>0</v>
      </c>
      <c r="L287">
        <v>0</v>
      </c>
      <c r="M287">
        <v>0</v>
      </c>
    </row>
    <row r="288" spans="1:13" x14ac:dyDescent="0.25">
      <c r="A288" t="s">
        <v>331</v>
      </c>
      <c r="B288" s="3">
        <v>45395.328472222223</v>
      </c>
      <c r="C288" s="2" t="s">
        <v>19</v>
      </c>
      <c r="D288" s="2" t="s">
        <v>20</v>
      </c>
      <c r="E288" t="s">
        <v>39</v>
      </c>
      <c r="F288">
        <v>3896.9</v>
      </c>
      <c r="G288" s="2" t="s">
        <v>22</v>
      </c>
      <c r="H288"/>
      <c r="I288">
        <v>3.2</v>
      </c>
      <c r="J288">
        <v>8.7999999999999995E-2</v>
      </c>
      <c r="K288">
        <v>10.973599999999999</v>
      </c>
      <c r="L288">
        <v>331.95359999999994</v>
      </c>
      <c r="M288">
        <v>342.92719999999991</v>
      </c>
    </row>
    <row r="289" spans="1:13" x14ac:dyDescent="0.25">
      <c r="A289" t="s">
        <v>332</v>
      </c>
      <c r="B289" s="3">
        <v>45395.601388888892</v>
      </c>
      <c r="C289" s="2" t="s">
        <v>60</v>
      </c>
      <c r="D289" s="2" t="s">
        <v>25</v>
      </c>
      <c r="E289" t="s">
        <v>44</v>
      </c>
      <c r="F289">
        <v>1713.19</v>
      </c>
      <c r="G289" s="2" t="s">
        <v>17</v>
      </c>
      <c r="H289"/>
      <c r="I289">
        <v>2.1</v>
      </c>
      <c r="J289">
        <v>1</v>
      </c>
      <c r="K289">
        <v>0</v>
      </c>
      <c r="L289">
        <v>0</v>
      </c>
      <c r="M289">
        <v>0</v>
      </c>
    </row>
    <row r="290" spans="1:13" x14ac:dyDescent="0.25">
      <c r="A290" t="s">
        <v>333</v>
      </c>
      <c r="B290" s="3">
        <v>45395.720138888886</v>
      </c>
      <c r="C290" s="2" t="s">
        <v>13</v>
      </c>
      <c r="D290" s="2" t="s">
        <v>14</v>
      </c>
      <c r="E290" t="s">
        <v>39</v>
      </c>
      <c r="F290">
        <v>555.04</v>
      </c>
      <c r="G290" s="2" t="s">
        <v>17</v>
      </c>
      <c r="H290"/>
      <c r="I290">
        <v>3.2</v>
      </c>
      <c r="J290">
        <v>8.7999999999999995E-2</v>
      </c>
      <c r="K290">
        <v>0</v>
      </c>
      <c r="L290">
        <v>0</v>
      </c>
      <c r="M290">
        <v>0</v>
      </c>
    </row>
    <row r="291" spans="1:13" x14ac:dyDescent="0.25">
      <c r="A291" t="s">
        <v>334</v>
      </c>
      <c r="B291" s="3">
        <v>45396.09097222222</v>
      </c>
      <c r="C291" s="2" t="s">
        <v>43</v>
      </c>
      <c r="D291" s="2" t="s">
        <v>25</v>
      </c>
      <c r="E291" t="s">
        <v>33</v>
      </c>
      <c r="F291">
        <v>3442.43</v>
      </c>
      <c r="G291" s="2" t="s">
        <v>34</v>
      </c>
      <c r="H291" t="s">
        <v>35</v>
      </c>
      <c r="I291">
        <v>1.9</v>
      </c>
      <c r="J291">
        <v>1</v>
      </c>
      <c r="K291">
        <v>0</v>
      </c>
      <c r="L291">
        <v>0</v>
      </c>
      <c r="M291">
        <v>0</v>
      </c>
    </row>
    <row r="292" spans="1:13" x14ac:dyDescent="0.25">
      <c r="A292" t="s">
        <v>335</v>
      </c>
      <c r="B292" s="3">
        <v>45396.472222222219</v>
      </c>
      <c r="C292" s="2" t="s">
        <v>58</v>
      </c>
      <c r="D292" s="2" t="s">
        <v>25</v>
      </c>
      <c r="E292" t="s">
        <v>28</v>
      </c>
      <c r="F292">
        <v>4321.78</v>
      </c>
      <c r="G292" s="2" t="s">
        <v>22</v>
      </c>
      <c r="H292"/>
      <c r="I292">
        <v>2.9</v>
      </c>
      <c r="J292">
        <v>1</v>
      </c>
      <c r="K292">
        <v>125.33</v>
      </c>
      <c r="L292">
        <v>4196.45</v>
      </c>
      <c r="M292">
        <v>4321.78</v>
      </c>
    </row>
    <row r="293" spans="1:13" x14ac:dyDescent="0.25">
      <c r="A293" t="s">
        <v>336</v>
      </c>
      <c r="B293" s="3">
        <v>45397.066666666666</v>
      </c>
      <c r="C293" s="2" t="s">
        <v>37</v>
      </c>
      <c r="D293" s="2" t="s">
        <v>38</v>
      </c>
      <c r="E293" t="s">
        <v>33</v>
      </c>
      <c r="F293">
        <v>2988.32</v>
      </c>
      <c r="G293" s="2" t="s">
        <v>22</v>
      </c>
      <c r="H293"/>
      <c r="I293">
        <v>1.9</v>
      </c>
      <c r="J293">
        <v>0.23</v>
      </c>
      <c r="K293">
        <v>13.0594</v>
      </c>
      <c r="L293">
        <v>674.25419999999997</v>
      </c>
      <c r="M293">
        <v>687.31359999999995</v>
      </c>
    </row>
    <row r="294" spans="1:13" x14ac:dyDescent="0.25">
      <c r="A294" t="s">
        <v>337</v>
      </c>
      <c r="B294" s="3">
        <v>45397.194444444445</v>
      </c>
      <c r="C294" s="2" t="s">
        <v>47</v>
      </c>
      <c r="D294" s="2" t="s">
        <v>25</v>
      </c>
      <c r="E294" t="s">
        <v>33</v>
      </c>
      <c r="F294">
        <v>2066.04</v>
      </c>
      <c r="G294" s="2" t="s">
        <v>22</v>
      </c>
      <c r="H294"/>
      <c r="I294">
        <v>1.9</v>
      </c>
      <c r="J294">
        <v>1</v>
      </c>
      <c r="K294">
        <v>39.25</v>
      </c>
      <c r="L294">
        <v>2026.79</v>
      </c>
      <c r="M294">
        <v>2066.04</v>
      </c>
    </row>
    <row r="295" spans="1:13" x14ac:dyDescent="0.25">
      <c r="A295" t="s">
        <v>338</v>
      </c>
      <c r="B295" s="3">
        <v>45397.6875</v>
      </c>
      <c r="C295" s="2" t="s">
        <v>37</v>
      </c>
      <c r="D295" s="2" t="s">
        <v>38</v>
      </c>
      <c r="E295" t="s">
        <v>15</v>
      </c>
      <c r="F295">
        <v>2196.4499999999998</v>
      </c>
      <c r="G295" s="2" t="s">
        <v>34</v>
      </c>
      <c r="H295" t="s">
        <v>62</v>
      </c>
      <c r="I295">
        <v>2.5</v>
      </c>
      <c r="J295">
        <v>0.23</v>
      </c>
      <c r="K295">
        <v>0</v>
      </c>
      <c r="L295">
        <v>0</v>
      </c>
      <c r="M295">
        <v>0</v>
      </c>
    </row>
    <row r="296" spans="1:13" x14ac:dyDescent="0.25">
      <c r="A296" t="s">
        <v>339</v>
      </c>
      <c r="B296" s="3">
        <v>45397.959722222222</v>
      </c>
      <c r="C296" s="2" t="s">
        <v>43</v>
      </c>
      <c r="D296" s="2" t="s">
        <v>25</v>
      </c>
      <c r="E296" t="s">
        <v>15</v>
      </c>
      <c r="F296">
        <v>588.02</v>
      </c>
      <c r="G296" s="2" t="s">
        <v>22</v>
      </c>
      <c r="H296"/>
      <c r="I296">
        <v>2.5</v>
      </c>
      <c r="J296">
        <v>1</v>
      </c>
      <c r="K296">
        <v>14.7</v>
      </c>
      <c r="L296">
        <v>573.32000000000005</v>
      </c>
      <c r="M296">
        <v>588.0200000000001</v>
      </c>
    </row>
    <row r="297" spans="1:13" x14ac:dyDescent="0.25">
      <c r="A297" t="s">
        <v>340</v>
      </c>
      <c r="B297" s="3">
        <v>45398.59652777778</v>
      </c>
      <c r="C297" s="2" t="s">
        <v>43</v>
      </c>
      <c r="D297" s="2" t="s">
        <v>25</v>
      </c>
      <c r="E297" t="s">
        <v>39</v>
      </c>
      <c r="F297">
        <v>461.2</v>
      </c>
      <c r="G297" s="2" t="s">
        <v>22</v>
      </c>
      <c r="H297"/>
      <c r="I297">
        <v>3.2</v>
      </c>
      <c r="J297">
        <v>1</v>
      </c>
      <c r="K297">
        <v>14.76</v>
      </c>
      <c r="L297">
        <v>446.44</v>
      </c>
      <c r="M297">
        <v>461.2</v>
      </c>
    </row>
    <row r="298" spans="1:13" x14ac:dyDescent="0.25">
      <c r="A298" t="s">
        <v>341</v>
      </c>
      <c r="B298" s="3">
        <v>45398.842361111114</v>
      </c>
      <c r="C298" s="2" t="s">
        <v>47</v>
      </c>
      <c r="D298" s="2" t="s">
        <v>25</v>
      </c>
      <c r="E298" t="s">
        <v>28</v>
      </c>
      <c r="F298">
        <v>1206.93</v>
      </c>
      <c r="G298" s="2" t="s">
        <v>17</v>
      </c>
      <c r="H298"/>
      <c r="I298">
        <v>2.9</v>
      </c>
      <c r="J298">
        <v>1</v>
      </c>
      <c r="K298">
        <v>0</v>
      </c>
      <c r="L298">
        <v>0</v>
      </c>
      <c r="M298">
        <v>0</v>
      </c>
    </row>
    <row r="299" spans="1:13" x14ac:dyDescent="0.25">
      <c r="A299" t="s">
        <v>342</v>
      </c>
      <c r="B299" s="3">
        <v>45399.552777777775</v>
      </c>
      <c r="C299" s="2" t="s">
        <v>37</v>
      </c>
      <c r="D299" s="2" t="s">
        <v>38</v>
      </c>
      <c r="E299" t="s">
        <v>33</v>
      </c>
      <c r="F299">
        <v>226.15</v>
      </c>
      <c r="G299" s="2" t="s">
        <v>22</v>
      </c>
      <c r="H299"/>
      <c r="I299">
        <v>1.9</v>
      </c>
      <c r="J299">
        <v>0.23</v>
      </c>
      <c r="K299">
        <v>0.98899999999999999</v>
      </c>
      <c r="L299">
        <v>51.025500000000001</v>
      </c>
      <c r="M299">
        <v>52.014499999999998</v>
      </c>
    </row>
    <row r="300" spans="1:13" x14ac:dyDescent="0.25">
      <c r="A300" t="s">
        <v>343</v>
      </c>
      <c r="B300" s="3">
        <v>45399.984027777777</v>
      </c>
      <c r="C300" s="2" t="s">
        <v>37</v>
      </c>
      <c r="D300" s="2" t="s">
        <v>38</v>
      </c>
      <c r="E300" t="s">
        <v>33</v>
      </c>
      <c r="F300">
        <v>838.25</v>
      </c>
      <c r="G300" s="2" t="s">
        <v>22</v>
      </c>
      <c r="H300"/>
      <c r="I300">
        <v>1.9</v>
      </c>
      <c r="J300">
        <v>0.23</v>
      </c>
      <c r="K300">
        <v>3.6638999999999999</v>
      </c>
      <c r="L300">
        <v>189.13360000000003</v>
      </c>
      <c r="M300">
        <v>192.79750000000004</v>
      </c>
    </row>
    <row r="301" spans="1:13" x14ac:dyDescent="0.25">
      <c r="A301" t="s">
        <v>344</v>
      </c>
      <c r="B301" s="3">
        <v>45399.990972222222</v>
      </c>
      <c r="C301" s="2" t="s">
        <v>37</v>
      </c>
      <c r="D301" s="2" t="s">
        <v>38</v>
      </c>
      <c r="E301" t="s">
        <v>44</v>
      </c>
      <c r="F301">
        <v>4529.08</v>
      </c>
      <c r="G301" s="2" t="s">
        <v>17</v>
      </c>
      <c r="H301"/>
      <c r="I301">
        <v>2.1</v>
      </c>
      <c r="J301">
        <v>0.23</v>
      </c>
      <c r="K301">
        <v>0</v>
      </c>
      <c r="L301">
        <v>0</v>
      </c>
      <c r="M301">
        <v>0</v>
      </c>
    </row>
    <row r="302" spans="1:13" x14ac:dyDescent="0.25">
      <c r="A302" t="s">
        <v>345</v>
      </c>
      <c r="B302" s="3">
        <v>45400.493750000001</v>
      </c>
      <c r="C302" s="2" t="s">
        <v>47</v>
      </c>
      <c r="D302" s="2" t="s">
        <v>25</v>
      </c>
      <c r="E302" t="s">
        <v>39</v>
      </c>
      <c r="F302">
        <v>4402.8</v>
      </c>
      <c r="G302" s="2" t="s">
        <v>22</v>
      </c>
      <c r="H302"/>
      <c r="I302">
        <v>3.2</v>
      </c>
      <c r="J302">
        <v>1</v>
      </c>
      <c r="K302">
        <v>140.88999999999999</v>
      </c>
      <c r="L302">
        <v>4261.91</v>
      </c>
      <c r="M302">
        <v>4402.8</v>
      </c>
    </row>
    <row r="303" spans="1:13" x14ac:dyDescent="0.25">
      <c r="A303" t="s">
        <v>346</v>
      </c>
      <c r="B303" s="3">
        <v>45400.741666666669</v>
      </c>
      <c r="C303" s="2" t="s">
        <v>24</v>
      </c>
      <c r="D303" s="2" t="s">
        <v>25</v>
      </c>
      <c r="E303" t="s">
        <v>39</v>
      </c>
      <c r="F303">
        <v>4975.8</v>
      </c>
      <c r="G303" s="2" t="s">
        <v>22</v>
      </c>
      <c r="H303"/>
      <c r="I303">
        <v>3.2</v>
      </c>
      <c r="J303">
        <v>1</v>
      </c>
      <c r="K303">
        <v>159.22999999999999</v>
      </c>
      <c r="L303">
        <v>4816.57</v>
      </c>
      <c r="M303">
        <v>4975.7999999999993</v>
      </c>
    </row>
    <row r="304" spans="1:13" x14ac:dyDescent="0.25">
      <c r="A304" t="s">
        <v>347</v>
      </c>
      <c r="B304" s="3">
        <v>45400.854861111111</v>
      </c>
      <c r="C304" s="2" t="s">
        <v>58</v>
      </c>
      <c r="D304" s="2" t="s">
        <v>25</v>
      </c>
      <c r="E304" t="s">
        <v>15</v>
      </c>
      <c r="F304">
        <v>1331.75</v>
      </c>
      <c r="G304" s="2" t="s">
        <v>22</v>
      </c>
      <c r="H304"/>
      <c r="I304">
        <v>2.5</v>
      </c>
      <c r="J304">
        <v>1</v>
      </c>
      <c r="K304">
        <v>33.29</v>
      </c>
      <c r="L304">
        <v>1298.46</v>
      </c>
      <c r="M304">
        <v>1331.75</v>
      </c>
    </row>
    <row r="305" spans="1:13" x14ac:dyDescent="0.25">
      <c r="A305" t="s">
        <v>348</v>
      </c>
      <c r="B305" s="3">
        <v>45400.959027777775</v>
      </c>
      <c r="C305" s="2" t="s">
        <v>19</v>
      </c>
      <c r="D305" s="2" t="s">
        <v>20</v>
      </c>
      <c r="E305" t="s">
        <v>33</v>
      </c>
      <c r="F305">
        <v>624.58000000000004</v>
      </c>
      <c r="G305" s="2" t="s">
        <v>22</v>
      </c>
      <c r="H305"/>
      <c r="I305">
        <v>1.9</v>
      </c>
      <c r="J305">
        <v>8.7999999999999995E-2</v>
      </c>
      <c r="K305">
        <v>1.0445599999999999</v>
      </c>
      <c r="L305">
        <v>53.918480000000002</v>
      </c>
      <c r="M305">
        <v>54.963039999999999</v>
      </c>
    </row>
    <row r="306" spans="1:13" x14ac:dyDescent="0.25">
      <c r="A306" t="s">
        <v>349</v>
      </c>
      <c r="B306" s="3">
        <v>45401.676388888889</v>
      </c>
      <c r="C306" s="2" t="s">
        <v>58</v>
      </c>
      <c r="D306" s="2" t="s">
        <v>25</v>
      </c>
      <c r="E306" t="s">
        <v>28</v>
      </c>
      <c r="F306">
        <v>626.84</v>
      </c>
      <c r="G306" s="2" t="s">
        <v>22</v>
      </c>
      <c r="H306"/>
      <c r="I306">
        <v>2.9</v>
      </c>
      <c r="J306">
        <v>1</v>
      </c>
      <c r="K306">
        <v>18.18</v>
      </c>
      <c r="L306">
        <v>608.66</v>
      </c>
      <c r="M306">
        <v>626.83999999999992</v>
      </c>
    </row>
    <row r="307" spans="1:13" x14ac:dyDescent="0.25">
      <c r="A307" t="s">
        <v>350</v>
      </c>
      <c r="B307" s="3">
        <v>45402.354166666664</v>
      </c>
      <c r="C307" s="2" t="s">
        <v>31</v>
      </c>
      <c r="D307" s="2" t="s">
        <v>32</v>
      </c>
      <c r="E307" t="s">
        <v>15</v>
      </c>
      <c r="F307">
        <v>1306.25</v>
      </c>
      <c r="G307" s="2" t="s">
        <v>22</v>
      </c>
      <c r="H307"/>
      <c r="I307">
        <v>2.5</v>
      </c>
      <c r="J307">
        <v>1.17</v>
      </c>
      <c r="K307">
        <v>38.212199999999996</v>
      </c>
      <c r="L307">
        <v>1490.1002999999998</v>
      </c>
      <c r="M307">
        <v>1528.3124999999998</v>
      </c>
    </row>
    <row r="308" spans="1:13" x14ac:dyDescent="0.25">
      <c r="A308" t="s">
        <v>351</v>
      </c>
      <c r="B308" s="3">
        <v>45402.42291666667</v>
      </c>
      <c r="C308" s="2" t="s">
        <v>31</v>
      </c>
      <c r="D308" s="2" t="s">
        <v>32</v>
      </c>
      <c r="E308" t="s">
        <v>44</v>
      </c>
      <c r="F308">
        <v>1987.26</v>
      </c>
      <c r="G308" s="2" t="s">
        <v>22</v>
      </c>
      <c r="H308"/>
      <c r="I308">
        <v>2.1</v>
      </c>
      <c r="J308">
        <v>1.17</v>
      </c>
      <c r="K308">
        <v>48.824099999999994</v>
      </c>
      <c r="L308">
        <v>2276.2700999999997</v>
      </c>
      <c r="M308">
        <v>2325.0941999999995</v>
      </c>
    </row>
    <row r="309" spans="1:13" x14ac:dyDescent="0.25">
      <c r="A309" t="s">
        <v>352</v>
      </c>
      <c r="B309" s="3">
        <v>45403.17083333333</v>
      </c>
      <c r="C309" s="2" t="s">
        <v>27</v>
      </c>
      <c r="D309" s="2" t="s">
        <v>25</v>
      </c>
      <c r="E309" t="s">
        <v>44</v>
      </c>
      <c r="F309">
        <v>2202.98</v>
      </c>
      <c r="G309" s="2" t="s">
        <v>22</v>
      </c>
      <c r="H309"/>
      <c r="I309">
        <v>2.1</v>
      </c>
      <c r="J309">
        <v>1</v>
      </c>
      <c r="K309">
        <v>46.26</v>
      </c>
      <c r="L309">
        <v>2156.7199999999998</v>
      </c>
      <c r="M309">
        <v>2202.98</v>
      </c>
    </row>
    <row r="310" spans="1:13" x14ac:dyDescent="0.25">
      <c r="A310" t="s">
        <v>353</v>
      </c>
      <c r="B310" s="3">
        <v>45403.43472222222</v>
      </c>
      <c r="C310" s="2" t="s">
        <v>47</v>
      </c>
      <c r="D310" s="2" t="s">
        <v>25</v>
      </c>
      <c r="E310" t="s">
        <v>15</v>
      </c>
      <c r="F310">
        <v>2323.79</v>
      </c>
      <c r="G310" s="2" t="s">
        <v>22</v>
      </c>
      <c r="H310"/>
      <c r="I310">
        <v>2.5</v>
      </c>
      <c r="J310">
        <v>1</v>
      </c>
      <c r="K310">
        <v>58.09</v>
      </c>
      <c r="L310">
        <v>2265.6999999999998</v>
      </c>
      <c r="M310">
        <v>2323.79</v>
      </c>
    </row>
    <row r="311" spans="1:13" x14ac:dyDescent="0.25">
      <c r="A311" t="s">
        <v>354</v>
      </c>
      <c r="B311" s="3">
        <v>45403.779166666667</v>
      </c>
      <c r="C311" s="2" t="s">
        <v>43</v>
      </c>
      <c r="D311" s="2" t="s">
        <v>25</v>
      </c>
      <c r="E311" t="s">
        <v>15</v>
      </c>
      <c r="F311">
        <v>2214.96</v>
      </c>
      <c r="G311" s="2" t="s">
        <v>17</v>
      </c>
      <c r="H311"/>
      <c r="I311">
        <v>2.5</v>
      </c>
      <c r="J311">
        <v>1</v>
      </c>
      <c r="K311">
        <v>0</v>
      </c>
      <c r="L311">
        <v>0</v>
      </c>
      <c r="M311">
        <v>0</v>
      </c>
    </row>
    <row r="312" spans="1:13" x14ac:dyDescent="0.25">
      <c r="A312" t="s">
        <v>355</v>
      </c>
      <c r="B312" s="3">
        <v>45404.336805555555</v>
      </c>
      <c r="C312" s="2" t="s">
        <v>58</v>
      </c>
      <c r="D312" s="2" t="s">
        <v>25</v>
      </c>
      <c r="E312" t="s">
        <v>44</v>
      </c>
      <c r="F312">
        <v>3825.05</v>
      </c>
      <c r="G312" s="2" t="s">
        <v>17</v>
      </c>
      <c r="H312"/>
      <c r="I312">
        <v>2.1</v>
      </c>
      <c r="J312">
        <v>1</v>
      </c>
      <c r="K312">
        <v>0</v>
      </c>
      <c r="L312">
        <v>0</v>
      </c>
      <c r="M312">
        <v>0</v>
      </c>
    </row>
    <row r="313" spans="1:13" x14ac:dyDescent="0.25">
      <c r="A313" t="s">
        <v>356</v>
      </c>
      <c r="B313" s="3">
        <v>45404.376388888886</v>
      </c>
      <c r="C313" s="2" t="s">
        <v>47</v>
      </c>
      <c r="D313" s="2" t="s">
        <v>25</v>
      </c>
      <c r="E313" t="s">
        <v>44</v>
      </c>
      <c r="F313">
        <v>1450.46</v>
      </c>
      <c r="G313" s="2" t="s">
        <v>34</v>
      </c>
      <c r="H313" t="s">
        <v>100</v>
      </c>
      <c r="I313">
        <v>2.1</v>
      </c>
      <c r="J313">
        <v>1</v>
      </c>
      <c r="K313">
        <v>0</v>
      </c>
      <c r="L313">
        <v>0</v>
      </c>
      <c r="M313">
        <v>0</v>
      </c>
    </row>
    <row r="314" spans="1:13" x14ac:dyDescent="0.25">
      <c r="A314" t="s">
        <v>357</v>
      </c>
      <c r="B314" s="3">
        <v>45406.013888888891</v>
      </c>
      <c r="C314" s="2" t="s">
        <v>31</v>
      </c>
      <c r="D314" s="2" t="s">
        <v>32</v>
      </c>
      <c r="E314" t="s">
        <v>39</v>
      </c>
      <c r="F314">
        <v>696.62</v>
      </c>
      <c r="G314" s="2" t="s">
        <v>22</v>
      </c>
      <c r="H314"/>
      <c r="I314">
        <v>3.2</v>
      </c>
      <c r="J314">
        <v>1.17</v>
      </c>
      <c r="K314">
        <v>26.079299999999996</v>
      </c>
      <c r="L314">
        <v>788.96609999999998</v>
      </c>
      <c r="M314">
        <v>815.04539999999997</v>
      </c>
    </row>
    <row r="315" spans="1:13" x14ac:dyDescent="0.25">
      <c r="A315" t="s">
        <v>358</v>
      </c>
      <c r="B315" s="3">
        <v>45406.140277777777</v>
      </c>
      <c r="C315" s="2" t="s">
        <v>13</v>
      </c>
      <c r="D315" s="2" t="s">
        <v>14</v>
      </c>
      <c r="E315" t="s">
        <v>39</v>
      </c>
      <c r="F315">
        <v>3815.4</v>
      </c>
      <c r="G315" s="2" t="s">
        <v>17</v>
      </c>
      <c r="H315"/>
      <c r="I315">
        <v>3.2</v>
      </c>
      <c r="J315">
        <v>8.7999999999999995E-2</v>
      </c>
      <c r="K315">
        <v>0</v>
      </c>
      <c r="L315">
        <v>0</v>
      </c>
      <c r="M315">
        <v>0</v>
      </c>
    </row>
    <row r="316" spans="1:13" x14ac:dyDescent="0.25">
      <c r="A316" t="s">
        <v>359</v>
      </c>
      <c r="B316" s="3">
        <v>45406.836111111108</v>
      </c>
      <c r="C316" s="2" t="s">
        <v>60</v>
      </c>
      <c r="D316" s="2" t="s">
        <v>25</v>
      </c>
      <c r="E316" t="s">
        <v>28</v>
      </c>
      <c r="F316">
        <v>1004.81</v>
      </c>
      <c r="G316" s="2" t="s">
        <v>22</v>
      </c>
      <c r="H316"/>
      <c r="I316">
        <v>2.9</v>
      </c>
      <c r="J316">
        <v>1</v>
      </c>
      <c r="K316">
        <v>29.14</v>
      </c>
      <c r="L316">
        <v>975.67</v>
      </c>
      <c r="M316">
        <v>1004.81</v>
      </c>
    </row>
    <row r="317" spans="1:13" x14ac:dyDescent="0.25">
      <c r="A317" t="s">
        <v>360</v>
      </c>
      <c r="B317" s="3">
        <v>45407.181250000001</v>
      </c>
      <c r="C317" s="2" t="s">
        <v>58</v>
      </c>
      <c r="D317" s="2" t="s">
        <v>25</v>
      </c>
      <c r="E317" t="s">
        <v>44</v>
      </c>
      <c r="F317">
        <v>3652.15</v>
      </c>
      <c r="G317" s="2" t="s">
        <v>17</v>
      </c>
      <c r="H317"/>
      <c r="I317">
        <v>2.1</v>
      </c>
      <c r="J317">
        <v>1</v>
      </c>
      <c r="K317">
        <v>0</v>
      </c>
      <c r="L317">
        <v>0</v>
      </c>
      <c r="M317">
        <v>0</v>
      </c>
    </row>
    <row r="318" spans="1:13" x14ac:dyDescent="0.25">
      <c r="A318" t="s">
        <v>361</v>
      </c>
      <c r="B318" s="3">
        <v>45407.256249999999</v>
      </c>
      <c r="C318" s="2" t="s">
        <v>60</v>
      </c>
      <c r="D318" s="2" t="s">
        <v>25</v>
      </c>
      <c r="E318" t="s">
        <v>28</v>
      </c>
      <c r="F318">
        <v>4919.84</v>
      </c>
      <c r="G318" s="2" t="s">
        <v>17</v>
      </c>
      <c r="H318"/>
      <c r="I318">
        <v>2.9</v>
      </c>
      <c r="J318">
        <v>1</v>
      </c>
      <c r="K318">
        <v>0</v>
      </c>
      <c r="L318">
        <v>0</v>
      </c>
      <c r="M318">
        <v>0</v>
      </c>
    </row>
    <row r="319" spans="1:13" x14ac:dyDescent="0.25">
      <c r="A319" t="s">
        <v>362</v>
      </c>
      <c r="B319" s="3">
        <v>45408.20208333333</v>
      </c>
      <c r="C319" s="2" t="s">
        <v>58</v>
      </c>
      <c r="D319" s="2" t="s">
        <v>25</v>
      </c>
      <c r="E319" t="s">
        <v>15</v>
      </c>
      <c r="F319">
        <v>4491.3500000000004</v>
      </c>
      <c r="G319" s="2" t="s">
        <v>17</v>
      </c>
      <c r="H319"/>
      <c r="I319">
        <v>2.5</v>
      </c>
      <c r="J319">
        <v>1</v>
      </c>
      <c r="K319">
        <v>0</v>
      </c>
      <c r="L319">
        <v>0</v>
      </c>
      <c r="M319">
        <v>0</v>
      </c>
    </row>
    <row r="320" spans="1:13" x14ac:dyDescent="0.25">
      <c r="A320" t="s">
        <v>363</v>
      </c>
      <c r="B320" s="3">
        <v>45408.710416666669</v>
      </c>
      <c r="C320" s="2" t="s">
        <v>58</v>
      </c>
      <c r="D320" s="2" t="s">
        <v>25</v>
      </c>
      <c r="E320" t="s">
        <v>33</v>
      </c>
      <c r="F320">
        <v>4828.4799999999996</v>
      </c>
      <c r="G320" s="2" t="s">
        <v>34</v>
      </c>
      <c r="H320" t="s">
        <v>100</v>
      </c>
      <c r="I320">
        <v>1.9</v>
      </c>
      <c r="J320">
        <v>1</v>
      </c>
      <c r="K320">
        <v>0</v>
      </c>
      <c r="L320">
        <v>0</v>
      </c>
      <c r="M320">
        <v>0</v>
      </c>
    </row>
    <row r="321" spans="1:13" x14ac:dyDescent="0.25">
      <c r="A321" t="s">
        <v>364</v>
      </c>
      <c r="B321" s="3">
        <v>45409.289583333331</v>
      </c>
      <c r="C321" s="2" t="s">
        <v>19</v>
      </c>
      <c r="D321" s="2" t="s">
        <v>20</v>
      </c>
      <c r="E321" t="s">
        <v>15</v>
      </c>
      <c r="F321">
        <v>242.34</v>
      </c>
      <c r="G321" s="2" t="s">
        <v>22</v>
      </c>
      <c r="H321"/>
      <c r="I321">
        <v>2.5</v>
      </c>
      <c r="J321">
        <v>8.7999999999999995E-2</v>
      </c>
      <c r="K321">
        <v>0.53327999999999998</v>
      </c>
      <c r="L321">
        <v>20.792639999999999</v>
      </c>
      <c r="M321">
        <v>21.32592</v>
      </c>
    </row>
    <row r="322" spans="1:13" x14ac:dyDescent="0.25">
      <c r="A322" t="s">
        <v>365</v>
      </c>
      <c r="B322" s="3">
        <v>45409.324305555558</v>
      </c>
      <c r="C322" s="2" t="s">
        <v>47</v>
      </c>
      <c r="D322" s="2" t="s">
        <v>25</v>
      </c>
      <c r="E322" t="s">
        <v>15</v>
      </c>
      <c r="F322">
        <v>665.07</v>
      </c>
      <c r="G322" s="2" t="s">
        <v>22</v>
      </c>
      <c r="H322"/>
      <c r="I322">
        <v>2.5</v>
      </c>
      <c r="J322">
        <v>1</v>
      </c>
      <c r="K322">
        <v>16.63</v>
      </c>
      <c r="L322">
        <v>648.44000000000005</v>
      </c>
      <c r="M322">
        <v>665.07</v>
      </c>
    </row>
    <row r="323" spans="1:13" x14ac:dyDescent="0.25">
      <c r="A323" t="s">
        <v>366</v>
      </c>
      <c r="B323" s="3">
        <v>45409.525000000001</v>
      </c>
      <c r="C323" s="2" t="s">
        <v>24</v>
      </c>
      <c r="D323" s="2" t="s">
        <v>25</v>
      </c>
      <c r="E323" t="s">
        <v>15</v>
      </c>
      <c r="F323">
        <v>3276.49</v>
      </c>
      <c r="G323" s="2" t="s">
        <v>22</v>
      </c>
      <c r="H323"/>
      <c r="I323">
        <v>2.5</v>
      </c>
      <c r="J323">
        <v>1</v>
      </c>
      <c r="K323">
        <v>81.91</v>
      </c>
      <c r="L323">
        <v>3194.58</v>
      </c>
      <c r="M323">
        <v>3276.49</v>
      </c>
    </row>
    <row r="324" spans="1:13" x14ac:dyDescent="0.25">
      <c r="A324" t="s">
        <v>367</v>
      </c>
      <c r="B324" s="3">
        <v>45409.82708333333</v>
      </c>
      <c r="C324" s="2" t="s">
        <v>37</v>
      </c>
      <c r="D324" s="2" t="s">
        <v>38</v>
      </c>
      <c r="E324" t="s">
        <v>44</v>
      </c>
      <c r="F324">
        <v>3108.25</v>
      </c>
      <c r="G324" s="2" t="s">
        <v>22</v>
      </c>
      <c r="H324"/>
      <c r="I324">
        <v>2.1</v>
      </c>
      <c r="J324">
        <v>0.23</v>
      </c>
      <c r="K324">
        <v>15.0121</v>
      </c>
      <c r="L324">
        <v>699.8854</v>
      </c>
      <c r="M324">
        <v>714.89750000000004</v>
      </c>
    </row>
    <row r="325" spans="1:13" x14ac:dyDescent="0.25">
      <c r="A325" t="s">
        <v>368</v>
      </c>
      <c r="B325" s="3">
        <v>45410.29791666667</v>
      </c>
      <c r="C325" s="2" t="s">
        <v>19</v>
      </c>
      <c r="D325" s="2" t="s">
        <v>20</v>
      </c>
      <c r="E325" t="s">
        <v>39</v>
      </c>
      <c r="F325">
        <v>1966.46</v>
      </c>
      <c r="G325" s="2" t="s">
        <v>22</v>
      </c>
      <c r="H325"/>
      <c r="I325">
        <v>3.2</v>
      </c>
      <c r="J325">
        <v>8.7999999999999995E-2</v>
      </c>
      <c r="K325">
        <v>5.5378400000000001</v>
      </c>
      <c r="L325">
        <v>167.51064</v>
      </c>
      <c r="M325">
        <v>173.04847999999998</v>
      </c>
    </row>
    <row r="326" spans="1:13" x14ac:dyDescent="0.25">
      <c r="A326" t="s">
        <v>369</v>
      </c>
      <c r="B326" s="3">
        <v>45411.368750000001</v>
      </c>
      <c r="C326" s="2" t="s">
        <v>47</v>
      </c>
      <c r="D326" s="2" t="s">
        <v>25</v>
      </c>
      <c r="E326" t="s">
        <v>28</v>
      </c>
      <c r="F326">
        <v>2004.99</v>
      </c>
      <c r="G326" s="2" t="s">
        <v>22</v>
      </c>
      <c r="H326"/>
      <c r="I326">
        <v>2.9</v>
      </c>
      <c r="J326">
        <v>1</v>
      </c>
      <c r="K326">
        <v>58.14</v>
      </c>
      <c r="L326">
        <v>1946.85</v>
      </c>
      <c r="M326">
        <v>2004.99</v>
      </c>
    </row>
    <row r="327" spans="1:13" x14ac:dyDescent="0.25">
      <c r="A327" t="s">
        <v>370</v>
      </c>
      <c r="B327" s="3">
        <v>45411.543055555558</v>
      </c>
      <c r="C327" s="2" t="s">
        <v>37</v>
      </c>
      <c r="D327" s="2" t="s">
        <v>38</v>
      </c>
      <c r="E327" t="s">
        <v>15</v>
      </c>
      <c r="F327">
        <v>1936.53</v>
      </c>
      <c r="G327" s="2" t="s">
        <v>22</v>
      </c>
      <c r="H327"/>
      <c r="I327">
        <v>2.5</v>
      </c>
      <c r="J327">
        <v>0.23</v>
      </c>
      <c r="K327">
        <v>11.1343</v>
      </c>
      <c r="L327">
        <v>434.26760000000002</v>
      </c>
      <c r="M327">
        <v>445.40190000000001</v>
      </c>
    </row>
    <row r="328" spans="1:13" x14ac:dyDescent="0.25">
      <c r="A328" t="s">
        <v>371</v>
      </c>
      <c r="B328" s="3">
        <v>45411.573611111111</v>
      </c>
      <c r="C328" s="2" t="s">
        <v>43</v>
      </c>
      <c r="D328" s="2" t="s">
        <v>25</v>
      </c>
      <c r="E328" t="s">
        <v>39</v>
      </c>
      <c r="F328">
        <v>2972.31</v>
      </c>
      <c r="G328" s="2" t="s">
        <v>34</v>
      </c>
      <c r="H328" t="s">
        <v>62</v>
      </c>
      <c r="I328">
        <v>3.2</v>
      </c>
      <c r="J328">
        <v>1</v>
      </c>
      <c r="K328">
        <v>0</v>
      </c>
      <c r="L328">
        <v>0</v>
      </c>
      <c r="M328">
        <v>0</v>
      </c>
    </row>
    <row r="329" spans="1:13" x14ac:dyDescent="0.25">
      <c r="A329" t="s">
        <v>372</v>
      </c>
      <c r="B329" s="3">
        <v>45411.723611111112</v>
      </c>
      <c r="C329" s="2" t="s">
        <v>60</v>
      </c>
      <c r="D329" s="2" t="s">
        <v>25</v>
      </c>
      <c r="E329" t="s">
        <v>39</v>
      </c>
      <c r="F329">
        <v>3797.06</v>
      </c>
      <c r="G329" s="2" t="s">
        <v>34</v>
      </c>
      <c r="H329" t="s">
        <v>62</v>
      </c>
      <c r="I329">
        <v>3.2</v>
      </c>
      <c r="J329">
        <v>1</v>
      </c>
      <c r="K329">
        <v>0</v>
      </c>
      <c r="L329">
        <v>0</v>
      </c>
      <c r="M329">
        <v>0</v>
      </c>
    </row>
    <row r="330" spans="1:13" x14ac:dyDescent="0.25">
      <c r="A330" t="s">
        <v>373</v>
      </c>
      <c r="B330" s="3">
        <v>45412.638194444444</v>
      </c>
      <c r="C330" s="2" t="s">
        <v>31</v>
      </c>
      <c r="D330" s="2" t="s">
        <v>32</v>
      </c>
      <c r="E330" t="s">
        <v>15</v>
      </c>
      <c r="F330">
        <v>2515.4899999999998</v>
      </c>
      <c r="G330" s="2" t="s">
        <v>17</v>
      </c>
      <c r="H330"/>
      <c r="I330">
        <v>2.5</v>
      </c>
      <c r="J330">
        <v>1.17</v>
      </c>
      <c r="K330">
        <v>0</v>
      </c>
      <c r="L330">
        <v>0</v>
      </c>
      <c r="M330">
        <v>0</v>
      </c>
    </row>
    <row r="331" spans="1:13" x14ac:dyDescent="0.25">
      <c r="A331" t="s">
        <v>374</v>
      </c>
      <c r="B331" s="3">
        <v>45412.678472222222</v>
      </c>
      <c r="C331" s="2" t="s">
        <v>60</v>
      </c>
      <c r="D331" s="2" t="s">
        <v>25</v>
      </c>
      <c r="E331" t="s">
        <v>39</v>
      </c>
      <c r="F331">
        <v>4453.1099999999997</v>
      </c>
      <c r="G331" s="2" t="s">
        <v>22</v>
      </c>
      <c r="H331"/>
      <c r="I331">
        <v>3.2</v>
      </c>
      <c r="J331">
        <v>1</v>
      </c>
      <c r="K331">
        <v>142.5</v>
      </c>
      <c r="L331">
        <v>4310.6099999999997</v>
      </c>
      <c r="M331">
        <v>4453.1099999999997</v>
      </c>
    </row>
    <row r="332" spans="1:13" x14ac:dyDescent="0.25">
      <c r="A332" t="s">
        <v>375</v>
      </c>
      <c r="B332" s="3">
        <v>45413.379861111112</v>
      </c>
      <c r="C332" s="2" t="s">
        <v>60</v>
      </c>
      <c r="D332" s="2" t="s">
        <v>25</v>
      </c>
      <c r="E332" t="s">
        <v>44</v>
      </c>
      <c r="F332">
        <v>3198.37</v>
      </c>
      <c r="G332" s="2" t="s">
        <v>17</v>
      </c>
      <c r="H332"/>
      <c r="I332">
        <v>2.1</v>
      </c>
      <c r="J332">
        <v>1</v>
      </c>
      <c r="K332">
        <v>0</v>
      </c>
      <c r="L332">
        <v>0</v>
      </c>
      <c r="M332">
        <v>0</v>
      </c>
    </row>
    <row r="333" spans="1:13" x14ac:dyDescent="0.25">
      <c r="A333" t="s">
        <v>376</v>
      </c>
      <c r="B333" s="3">
        <v>45413.625694444447</v>
      </c>
      <c r="C333" s="2" t="s">
        <v>37</v>
      </c>
      <c r="D333" s="2" t="s">
        <v>38</v>
      </c>
      <c r="E333" t="s">
        <v>33</v>
      </c>
      <c r="F333">
        <v>1850.87</v>
      </c>
      <c r="G333" s="2" t="s">
        <v>17</v>
      </c>
      <c r="H333"/>
      <c r="I333">
        <v>1.9</v>
      </c>
      <c r="J333">
        <v>0.23</v>
      </c>
      <c r="K333">
        <v>0</v>
      </c>
      <c r="L333">
        <v>0</v>
      </c>
      <c r="M333">
        <v>0</v>
      </c>
    </row>
    <row r="334" spans="1:13" x14ac:dyDescent="0.25">
      <c r="A334" t="s">
        <v>377</v>
      </c>
      <c r="B334" s="3">
        <v>45413.763888888891</v>
      </c>
      <c r="C334" s="2" t="s">
        <v>37</v>
      </c>
      <c r="D334" s="2" t="s">
        <v>38</v>
      </c>
      <c r="E334" t="s">
        <v>33</v>
      </c>
      <c r="F334">
        <v>3520.23</v>
      </c>
      <c r="G334" s="2" t="s">
        <v>22</v>
      </c>
      <c r="H334"/>
      <c r="I334">
        <v>1.9</v>
      </c>
      <c r="J334">
        <v>0.23</v>
      </c>
      <c r="K334">
        <v>15.382399999999999</v>
      </c>
      <c r="L334">
        <v>794.27049999999997</v>
      </c>
      <c r="M334">
        <v>809.65289999999993</v>
      </c>
    </row>
    <row r="335" spans="1:13" x14ac:dyDescent="0.25">
      <c r="A335" t="s">
        <v>378</v>
      </c>
      <c r="B335" s="3">
        <v>45413.938888888886</v>
      </c>
      <c r="C335" s="2" t="s">
        <v>47</v>
      </c>
      <c r="D335" s="2" t="s">
        <v>25</v>
      </c>
      <c r="E335" t="s">
        <v>15</v>
      </c>
      <c r="F335">
        <v>2886</v>
      </c>
      <c r="G335" s="2" t="s">
        <v>22</v>
      </c>
      <c r="H335"/>
      <c r="I335">
        <v>2.5</v>
      </c>
      <c r="J335">
        <v>1</v>
      </c>
      <c r="K335">
        <v>72.150000000000006</v>
      </c>
      <c r="L335">
        <v>2813.85</v>
      </c>
      <c r="M335">
        <v>2886</v>
      </c>
    </row>
    <row r="336" spans="1:13" x14ac:dyDescent="0.25">
      <c r="A336" t="s">
        <v>379</v>
      </c>
      <c r="B336" s="3">
        <v>45414.1875</v>
      </c>
      <c r="C336" s="2" t="s">
        <v>31</v>
      </c>
      <c r="D336" s="2" t="s">
        <v>32</v>
      </c>
      <c r="E336" t="s">
        <v>33</v>
      </c>
      <c r="F336">
        <v>2330.52</v>
      </c>
      <c r="G336" s="2" t="s">
        <v>22</v>
      </c>
      <c r="H336"/>
      <c r="I336">
        <v>1.9</v>
      </c>
      <c r="J336">
        <v>1.17</v>
      </c>
      <c r="K336">
        <v>51.807600000000001</v>
      </c>
      <c r="L336">
        <v>2674.9007999999994</v>
      </c>
      <c r="M336">
        <v>2726.7083999999995</v>
      </c>
    </row>
    <row r="337" spans="1:13" x14ac:dyDescent="0.25">
      <c r="A337" t="s">
        <v>380</v>
      </c>
      <c r="B337" s="3">
        <v>45414.503472222219</v>
      </c>
      <c r="C337" s="2" t="s">
        <v>60</v>
      </c>
      <c r="D337" s="2" t="s">
        <v>25</v>
      </c>
      <c r="E337" t="s">
        <v>44</v>
      </c>
      <c r="F337">
        <v>1948.63</v>
      </c>
      <c r="G337" s="2" t="s">
        <v>34</v>
      </c>
      <c r="H337" t="s">
        <v>62</v>
      </c>
      <c r="I337">
        <v>2.1</v>
      </c>
      <c r="J337">
        <v>1</v>
      </c>
      <c r="K337">
        <v>0</v>
      </c>
      <c r="L337">
        <v>0</v>
      </c>
      <c r="M337">
        <v>0</v>
      </c>
    </row>
    <row r="338" spans="1:13" x14ac:dyDescent="0.25">
      <c r="A338" t="s">
        <v>381</v>
      </c>
      <c r="B338" s="3">
        <v>45415.277083333334</v>
      </c>
      <c r="C338" s="2" t="s">
        <v>13</v>
      </c>
      <c r="D338" s="2" t="s">
        <v>14</v>
      </c>
      <c r="E338" t="s">
        <v>39</v>
      </c>
      <c r="F338">
        <v>1343.95</v>
      </c>
      <c r="G338" s="2" t="s">
        <v>34</v>
      </c>
      <c r="H338" t="s">
        <v>78</v>
      </c>
      <c r="I338">
        <v>3.2</v>
      </c>
      <c r="J338">
        <v>8.7999999999999995E-2</v>
      </c>
      <c r="K338">
        <v>0</v>
      </c>
      <c r="L338">
        <v>0</v>
      </c>
      <c r="M338">
        <v>0</v>
      </c>
    </row>
    <row r="339" spans="1:13" x14ac:dyDescent="0.25">
      <c r="A339" t="s">
        <v>382</v>
      </c>
      <c r="B339" s="3">
        <v>45415.304861111108</v>
      </c>
      <c r="C339" s="2" t="s">
        <v>27</v>
      </c>
      <c r="D339" s="2" t="s">
        <v>25</v>
      </c>
      <c r="E339" t="s">
        <v>15</v>
      </c>
      <c r="F339">
        <v>2816.31</v>
      </c>
      <c r="G339" s="2" t="s">
        <v>34</v>
      </c>
      <c r="H339" t="s">
        <v>100</v>
      </c>
      <c r="I339">
        <v>2.5</v>
      </c>
      <c r="J339">
        <v>1</v>
      </c>
      <c r="K339">
        <v>0</v>
      </c>
      <c r="L339">
        <v>0</v>
      </c>
      <c r="M339">
        <v>0</v>
      </c>
    </row>
    <row r="340" spans="1:13" x14ac:dyDescent="0.25">
      <c r="A340" t="s">
        <v>383</v>
      </c>
      <c r="B340" s="3">
        <v>45415.406944444447</v>
      </c>
      <c r="C340" s="2" t="s">
        <v>58</v>
      </c>
      <c r="D340" s="2" t="s">
        <v>25</v>
      </c>
      <c r="E340" t="s">
        <v>33</v>
      </c>
      <c r="F340">
        <v>3662.61</v>
      </c>
      <c r="G340" s="2" t="s">
        <v>22</v>
      </c>
      <c r="H340"/>
      <c r="I340">
        <v>1.9</v>
      </c>
      <c r="J340">
        <v>1</v>
      </c>
      <c r="K340">
        <v>69.59</v>
      </c>
      <c r="L340">
        <v>3593.02</v>
      </c>
      <c r="M340">
        <v>3662.61</v>
      </c>
    </row>
    <row r="341" spans="1:13" x14ac:dyDescent="0.25">
      <c r="A341" t="s">
        <v>384</v>
      </c>
      <c r="B341" s="3">
        <v>45416.047222222223</v>
      </c>
      <c r="C341" s="2" t="s">
        <v>19</v>
      </c>
      <c r="D341" s="2" t="s">
        <v>20</v>
      </c>
      <c r="E341" t="s">
        <v>33</v>
      </c>
      <c r="F341">
        <v>682.27</v>
      </c>
      <c r="G341" s="2" t="s">
        <v>17</v>
      </c>
      <c r="H341"/>
      <c r="I341">
        <v>1.9</v>
      </c>
      <c r="J341">
        <v>8.7999999999999995E-2</v>
      </c>
      <c r="K341">
        <v>0</v>
      </c>
      <c r="L341">
        <v>0</v>
      </c>
      <c r="M341">
        <v>0</v>
      </c>
    </row>
    <row r="342" spans="1:13" x14ac:dyDescent="0.25">
      <c r="A342" t="s">
        <v>385</v>
      </c>
      <c r="B342" s="3">
        <v>45416.070833333331</v>
      </c>
      <c r="C342" s="2" t="s">
        <v>13</v>
      </c>
      <c r="D342" s="2" t="s">
        <v>14</v>
      </c>
      <c r="E342" t="s">
        <v>44</v>
      </c>
      <c r="F342">
        <v>271.93</v>
      </c>
      <c r="G342" s="2" t="s">
        <v>34</v>
      </c>
      <c r="H342" t="s">
        <v>62</v>
      </c>
      <c r="I342">
        <v>2.1</v>
      </c>
      <c r="J342">
        <v>8.7999999999999995E-2</v>
      </c>
      <c r="K342">
        <v>0</v>
      </c>
      <c r="L342">
        <v>0</v>
      </c>
      <c r="M342">
        <v>0</v>
      </c>
    </row>
    <row r="343" spans="1:13" x14ac:dyDescent="0.25">
      <c r="A343" t="s">
        <v>386</v>
      </c>
      <c r="B343" s="3">
        <v>45416.095138888886</v>
      </c>
      <c r="C343" s="2" t="s">
        <v>58</v>
      </c>
      <c r="D343" s="2" t="s">
        <v>25</v>
      </c>
      <c r="E343" t="s">
        <v>39</v>
      </c>
      <c r="F343">
        <v>457.08</v>
      </c>
      <c r="G343" s="2" t="s">
        <v>34</v>
      </c>
      <c r="H343" t="s">
        <v>55</v>
      </c>
      <c r="I343">
        <v>3.2</v>
      </c>
      <c r="J343">
        <v>1</v>
      </c>
      <c r="K343">
        <v>0</v>
      </c>
      <c r="L343">
        <v>0</v>
      </c>
      <c r="M343">
        <v>0</v>
      </c>
    </row>
    <row r="344" spans="1:13" x14ac:dyDescent="0.25">
      <c r="A344" t="s">
        <v>387</v>
      </c>
      <c r="B344" s="3">
        <v>45416.660416666666</v>
      </c>
      <c r="C344" s="2" t="s">
        <v>58</v>
      </c>
      <c r="D344" s="2" t="s">
        <v>25</v>
      </c>
      <c r="E344" t="s">
        <v>44</v>
      </c>
      <c r="F344">
        <v>493.68</v>
      </c>
      <c r="G344" s="2" t="s">
        <v>34</v>
      </c>
      <c r="H344" t="s">
        <v>62</v>
      </c>
      <c r="I344">
        <v>2.1</v>
      </c>
      <c r="J344">
        <v>1</v>
      </c>
      <c r="K344">
        <v>0</v>
      </c>
      <c r="L344">
        <v>0</v>
      </c>
      <c r="M344">
        <v>0</v>
      </c>
    </row>
    <row r="345" spans="1:13" x14ac:dyDescent="0.25">
      <c r="A345" t="s">
        <v>388</v>
      </c>
      <c r="B345" s="3">
        <v>45416.945138888892</v>
      </c>
      <c r="C345" s="2" t="s">
        <v>27</v>
      </c>
      <c r="D345" s="2" t="s">
        <v>25</v>
      </c>
      <c r="E345" t="s">
        <v>28</v>
      </c>
      <c r="F345">
        <v>3166.98</v>
      </c>
      <c r="G345" s="2" t="s">
        <v>22</v>
      </c>
      <c r="H345"/>
      <c r="I345">
        <v>2.9</v>
      </c>
      <c r="J345">
        <v>1</v>
      </c>
      <c r="K345">
        <v>91.84</v>
      </c>
      <c r="L345">
        <v>3075.14</v>
      </c>
      <c r="M345">
        <v>3166.98</v>
      </c>
    </row>
    <row r="346" spans="1:13" x14ac:dyDescent="0.25">
      <c r="A346" t="s">
        <v>389</v>
      </c>
      <c r="B346" s="3">
        <v>45417.69027777778</v>
      </c>
      <c r="C346" s="2" t="s">
        <v>58</v>
      </c>
      <c r="D346" s="2" t="s">
        <v>25</v>
      </c>
      <c r="E346" t="s">
        <v>28</v>
      </c>
      <c r="F346">
        <v>1943.12</v>
      </c>
      <c r="G346" s="2" t="s">
        <v>22</v>
      </c>
      <c r="H346"/>
      <c r="I346">
        <v>2.9</v>
      </c>
      <c r="J346">
        <v>1</v>
      </c>
      <c r="K346">
        <v>56.35</v>
      </c>
      <c r="L346">
        <v>1886.77</v>
      </c>
      <c r="M346">
        <v>1943.12</v>
      </c>
    </row>
    <row r="347" spans="1:13" x14ac:dyDescent="0.25">
      <c r="A347" t="s">
        <v>390</v>
      </c>
      <c r="B347" s="3">
        <v>45417.720138888886</v>
      </c>
      <c r="C347" s="2" t="s">
        <v>19</v>
      </c>
      <c r="D347" s="2" t="s">
        <v>20</v>
      </c>
      <c r="E347" t="s">
        <v>33</v>
      </c>
      <c r="F347">
        <v>254.1</v>
      </c>
      <c r="G347" s="2" t="s">
        <v>22</v>
      </c>
      <c r="H347"/>
      <c r="I347">
        <v>1.9</v>
      </c>
      <c r="J347">
        <v>8.7999999999999995E-2</v>
      </c>
      <c r="K347">
        <v>0.42503999999999997</v>
      </c>
      <c r="L347">
        <v>21.935759999999998</v>
      </c>
      <c r="M347">
        <v>22.360799999999998</v>
      </c>
    </row>
    <row r="348" spans="1:13" x14ac:dyDescent="0.25">
      <c r="A348" t="s">
        <v>391</v>
      </c>
      <c r="B348" s="3">
        <v>45417.959722222222</v>
      </c>
      <c r="C348" s="2" t="s">
        <v>58</v>
      </c>
      <c r="D348" s="2" t="s">
        <v>25</v>
      </c>
      <c r="E348" t="s">
        <v>15</v>
      </c>
      <c r="F348">
        <v>2703.4</v>
      </c>
      <c r="G348" s="2" t="s">
        <v>22</v>
      </c>
      <c r="H348"/>
      <c r="I348">
        <v>2.5</v>
      </c>
      <c r="J348">
        <v>1</v>
      </c>
      <c r="K348">
        <v>67.58</v>
      </c>
      <c r="L348">
        <v>2635.82</v>
      </c>
      <c r="M348">
        <v>2703.4</v>
      </c>
    </row>
    <row r="349" spans="1:13" x14ac:dyDescent="0.25">
      <c r="A349" t="s">
        <v>392</v>
      </c>
      <c r="B349" s="3">
        <v>45419.011111111111</v>
      </c>
      <c r="C349" s="2" t="s">
        <v>58</v>
      </c>
      <c r="D349" s="2" t="s">
        <v>25</v>
      </c>
      <c r="E349" t="s">
        <v>44</v>
      </c>
      <c r="F349">
        <v>3771.25</v>
      </c>
      <c r="G349" s="2" t="s">
        <v>22</v>
      </c>
      <c r="H349"/>
      <c r="I349">
        <v>2.1</v>
      </c>
      <c r="J349">
        <v>1</v>
      </c>
      <c r="K349">
        <v>79.2</v>
      </c>
      <c r="L349">
        <v>3692.05</v>
      </c>
      <c r="M349">
        <v>3771.25</v>
      </c>
    </row>
    <row r="350" spans="1:13" x14ac:dyDescent="0.25">
      <c r="A350" t="s">
        <v>393</v>
      </c>
      <c r="B350" s="3">
        <v>45419.061805555553</v>
      </c>
      <c r="C350" s="2" t="s">
        <v>60</v>
      </c>
      <c r="D350" s="2" t="s">
        <v>25</v>
      </c>
      <c r="E350" t="s">
        <v>39</v>
      </c>
      <c r="F350">
        <v>1377.15</v>
      </c>
      <c r="G350" s="2" t="s">
        <v>34</v>
      </c>
      <c r="H350" t="s">
        <v>100</v>
      </c>
      <c r="I350">
        <v>3.2</v>
      </c>
      <c r="J350">
        <v>1</v>
      </c>
      <c r="K350">
        <v>0</v>
      </c>
      <c r="L350">
        <v>0</v>
      </c>
      <c r="M350">
        <v>0</v>
      </c>
    </row>
    <row r="351" spans="1:13" x14ac:dyDescent="0.25">
      <c r="A351" t="s">
        <v>394</v>
      </c>
      <c r="B351" s="3">
        <v>45419.102777777778</v>
      </c>
      <c r="C351" s="2" t="s">
        <v>13</v>
      </c>
      <c r="D351" s="2" t="s">
        <v>14</v>
      </c>
      <c r="E351" t="s">
        <v>28</v>
      </c>
      <c r="F351">
        <v>3264.2</v>
      </c>
      <c r="G351" s="2" t="s">
        <v>17</v>
      </c>
      <c r="H351"/>
      <c r="I351">
        <v>2.9</v>
      </c>
      <c r="J351">
        <v>8.7999999999999995E-2</v>
      </c>
      <c r="K351">
        <v>0</v>
      </c>
      <c r="L351">
        <v>0</v>
      </c>
      <c r="M351">
        <v>0</v>
      </c>
    </row>
    <row r="352" spans="1:13" x14ac:dyDescent="0.25">
      <c r="A352" t="s">
        <v>395</v>
      </c>
      <c r="B352" s="3">
        <v>45419.149305555555</v>
      </c>
      <c r="C352" s="2" t="s">
        <v>58</v>
      </c>
      <c r="D352" s="2" t="s">
        <v>25</v>
      </c>
      <c r="E352" t="s">
        <v>33</v>
      </c>
      <c r="F352">
        <v>3955.8</v>
      </c>
      <c r="G352" s="2" t="s">
        <v>22</v>
      </c>
      <c r="H352"/>
      <c r="I352">
        <v>1.9</v>
      </c>
      <c r="J352">
        <v>1</v>
      </c>
      <c r="K352">
        <v>75.16</v>
      </c>
      <c r="L352">
        <v>3880.64</v>
      </c>
      <c r="M352">
        <v>3955.7999999999997</v>
      </c>
    </row>
    <row r="353" spans="1:13" x14ac:dyDescent="0.25">
      <c r="A353" t="s">
        <v>396</v>
      </c>
      <c r="B353" s="3">
        <v>45419.258333333331</v>
      </c>
      <c r="C353" s="2" t="s">
        <v>13</v>
      </c>
      <c r="D353" s="2" t="s">
        <v>14</v>
      </c>
      <c r="E353" t="s">
        <v>15</v>
      </c>
      <c r="F353">
        <v>2115.19</v>
      </c>
      <c r="G353" s="2" t="s">
        <v>22</v>
      </c>
      <c r="H353"/>
      <c r="I353">
        <v>2.5</v>
      </c>
      <c r="J353">
        <v>8.7999999999999995E-2</v>
      </c>
      <c r="K353">
        <v>4.6534399999999998</v>
      </c>
      <c r="L353">
        <v>181.48327999999998</v>
      </c>
      <c r="M353">
        <v>186.13671999999997</v>
      </c>
    </row>
    <row r="354" spans="1:13" x14ac:dyDescent="0.25">
      <c r="A354" t="s">
        <v>397</v>
      </c>
      <c r="B354" s="3">
        <v>45419.484027777777</v>
      </c>
      <c r="C354" s="2" t="s">
        <v>43</v>
      </c>
      <c r="D354" s="2" t="s">
        <v>25</v>
      </c>
      <c r="E354" t="s">
        <v>28</v>
      </c>
      <c r="F354">
        <v>2349.7199999999998</v>
      </c>
      <c r="G354" s="2" t="s">
        <v>22</v>
      </c>
      <c r="H354"/>
      <c r="I354">
        <v>2.9</v>
      </c>
      <c r="J354">
        <v>1</v>
      </c>
      <c r="K354">
        <v>68.14</v>
      </c>
      <c r="L354">
        <v>2281.58</v>
      </c>
      <c r="M354">
        <v>2349.7199999999998</v>
      </c>
    </row>
    <row r="355" spans="1:13" x14ac:dyDescent="0.25">
      <c r="A355" t="s">
        <v>398</v>
      </c>
      <c r="B355" s="3">
        <v>45419.685416666667</v>
      </c>
      <c r="C355" s="2" t="s">
        <v>47</v>
      </c>
      <c r="D355" s="2" t="s">
        <v>25</v>
      </c>
      <c r="E355" t="s">
        <v>33</v>
      </c>
      <c r="F355">
        <v>2759.46</v>
      </c>
      <c r="G355" s="2" t="s">
        <v>22</v>
      </c>
      <c r="H355"/>
      <c r="I355">
        <v>1.9</v>
      </c>
      <c r="J355">
        <v>1</v>
      </c>
      <c r="K355">
        <v>52.43</v>
      </c>
      <c r="L355">
        <v>2707.03</v>
      </c>
      <c r="M355">
        <v>2759.46</v>
      </c>
    </row>
    <row r="356" spans="1:13" x14ac:dyDescent="0.25">
      <c r="A356" t="s">
        <v>399</v>
      </c>
      <c r="B356" s="3">
        <v>45420.045138888891</v>
      </c>
      <c r="C356" s="2" t="s">
        <v>58</v>
      </c>
      <c r="D356" s="2" t="s">
        <v>25</v>
      </c>
      <c r="E356" t="s">
        <v>39</v>
      </c>
      <c r="F356">
        <v>27.69</v>
      </c>
      <c r="G356" s="2" t="s">
        <v>22</v>
      </c>
      <c r="H356"/>
      <c r="I356">
        <v>3.2</v>
      </c>
      <c r="J356">
        <v>1</v>
      </c>
      <c r="K356">
        <v>0.89</v>
      </c>
      <c r="L356">
        <v>26.8</v>
      </c>
      <c r="M356">
        <v>27.69</v>
      </c>
    </row>
    <row r="357" spans="1:13" x14ac:dyDescent="0.25">
      <c r="A357" t="s">
        <v>400</v>
      </c>
      <c r="B357" s="3">
        <v>45420.536805555559</v>
      </c>
      <c r="C357" s="2" t="s">
        <v>60</v>
      </c>
      <c r="D357" s="2" t="s">
        <v>25</v>
      </c>
      <c r="E357" t="s">
        <v>28</v>
      </c>
      <c r="F357">
        <v>1930.14</v>
      </c>
      <c r="G357" s="2" t="s">
        <v>34</v>
      </c>
      <c r="H357" t="s">
        <v>35</v>
      </c>
      <c r="I357">
        <v>2.9</v>
      </c>
      <c r="J357">
        <v>1</v>
      </c>
      <c r="K357">
        <v>0</v>
      </c>
      <c r="L357">
        <v>0</v>
      </c>
      <c r="M357">
        <v>0</v>
      </c>
    </row>
    <row r="358" spans="1:13" x14ac:dyDescent="0.25">
      <c r="A358" t="s">
        <v>401</v>
      </c>
      <c r="B358" s="3">
        <v>45420.711111111108</v>
      </c>
      <c r="C358" s="2" t="s">
        <v>19</v>
      </c>
      <c r="D358" s="2" t="s">
        <v>20</v>
      </c>
      <c r="E358" t="s">
        <v>44</v>
      </c>
      <c r="F358">
        <v>2044.09</v>
      </c>
      <c r="G358" s="2" t="s">
        <v>34</v>
      </c>
      <c r="H358" t="s">
        <v>55</v>
      </c>
      <c r="I358">
        <v>2.1</v>
      </c>
      <c r="J358">
        <v>8.7999999999999995E-2</v>
      </c>
      <c r="K358">
        <v>0</v>
      </c>
      <c r="L358">
        <v>0</v>
      </c>
      <c r="M358">
        <v>0</v>
      </c>
    </row>
    <row r="359" spans="1:13" x14ac:dyDescent="0.25">
      <c r="A359" t="s">
        <v>402</v>
      </c>
      <c r="B359" s="3">
        <v>45422.210416666669</v>
      </c>
      <c r="C359" s="2" t="s">
        <v>47</v>
      </c>
      <c r="D359" s="2" t="s">
        <v>25</v>
      </c>
      <c r="E359" t="s">
        <v>44</v>
      </c>
      <c r="F359">
        <v>1363.69</v>
      </c>
      <c r="G359" s="2" t="s">
        <v>34</v>
      </c>
      <c r="H359" t="s">
        <v>78</v>
      </c>
      <c r="I359">
        <v>2.1</v>
      </c>
      <c r="J359">
        <v>1</v>
      </c>
      <c r="K359">
        <v>0</v>
      </c>
      <c r="L359">
        <v>0</v>
      </c>
      <c r="M359">
        <v>0</v>
      </c>
    </row>
    <row r="360" spans="1:13" x14ac:dyDescent="0.25">
      <c r="A360" t="s">
        <v>403</v>
      </c>
      <c r="B360" s="3">
        <v>45422.875</v>
      </c>
      <c r="C360" s="2" t="s">
        <v>43</v>
      </c>
      <c r="D360" s="2" t="s">
        <v>25</v>
      </c>
      <c r="E360" t="s">
        <v>39</v>
      </c>
      <c r="F360">
        <v>798.3</v>
      </c>
      <c r="G360" s="2" t="s">
        <v>34</v>
      </c>
      <c r="H360" t="s">
        <v>62</v>
      </c>
      <c r="I360">
        <v>3.2</v>
      </c>
      <c r="J360">
        <v>1</v>
      </c>
      <c r="K360">
        <v>0</v>
      </c>
      <c r="L360">
        <v>0</v>
      </c>
      <c r="M360">
        <v>0</v>
      </c>
    </row>
    <row r="361" spans="1:13" x14ac:dyDescent="0.25">
      <c r="A361" t="s">
        <v>404</v>
      </c>
      <c r="B361" s="3">
        <v>45423.286805555559</v>
      </c>
      <c r="C361" s="2" t="s">
        <v>27</v>
      </c>
      <c r="D361" s="2" t="s">
        <v>25</v>
      </c>
      <c r="E361" t="s">
        <v>33</v>
      </c>
      <c r="F361">
        <v>2643.58</v>
      </c>
      <c r="G361" s="2" t="s">
        <v>22</v>
      </c>
      <c r="H361"/>
      <c r="I361">
        <v>1.9</v>
      </c>
      <c r="J361">
        <v>1</v>
      </c>
      <c r="K361">
        <v>50.23</v>
      </c>
      <c r="L361">
        <v>2593.35</v>
      </c>
      <c r="M361">
        <v>2643.58</v>
      </c>
    </row>
    <row r="362" spans="1:13" x14ac:dyDescent="0.25">
      <c r="A362" t="s">
        <v>405</v>
      </c>
      <c r="B362" s="3">
        <v>45424.234027777777</v>
      </c>
      <c r="C362" s="2" t="s">
        <v>60</v>
      </c>
      <c r="D362" s="2" t="s">
        <v>25</v>
      </c>
      <c r="E362" t="s">
        <v>44</v>
      </c>
      <c r="F362">
        <v>2310.61</v>
      </c>
      <c r="G362" s="2" t="s">
        <v>22</v>
      </c>
      <c r="H362"/>
      <c r="I362">
        <v>2.1</v>
      </c>
      <c r="J362">
        <v>1</v>
      </c>
      <c r="K362">
        <v>48.52</v>
      </c>
      <c r="L362">
        <v>2262.09</v>
      </c>
      <c r="M362">
        <v>2310.61</v>
      </c>
    </row>
    <row r="363" spans="1:13" x14ac:dyDescent="0.25">
      <c r="A363" t="s">
        <v>406</v>
      </c>
      <c r="B363" s="3">
        <v>45424.362500000003</v>
      </c>
      <c r="C363" s="2" t="s">
        <v>13</v>
      </c>
      <c r="D363" s="2" t="s">
        <v>14</v>
      </c>
      <c r="E363" t="s">
        <v>44</v>
      </c>
      <c r="F363">
        <v>4819.3</v>
      </c>
      <c r="G363" s="2" t="s">
        <v>34</v>
      </c>
      <c r="H363" t="s">
        <v>78</v>
      </c>
      <c r="I363">
        <v>2.1</v>
      </c>
      <c r="J363">
        <v>8.7999999999999995E-2</v>
      </c>
      <c r="K363">
        <v>0</v>
      </c>
      <c r="L363">
        <v>0</v>
      </c>
      <c r="M363">
        <v>0</v>
      </c>
    </row>
    <row r="364" spans="1:13" x14ac:dyDescent="0.25">
      <c r="A364" t="s">
        <v>407</v>
      </c>
      <c r="B364" s="3">
        <v>45425.209027777775</v>
      </c>
      <c r="C364" s="2" t="s">
        <v>58</v>
      </c>
      <c r="D364" s="2" t="s">
        <v>25</v>
      </c>
      <c r="E364" t="s">
        <v>15</v>
      </c>
      <c r="F364">
        <v>3742.91</v>
      </c>
      <c r="G364" s="2" t="s">
        <v>22</v>
      </c>
      <c r="H364"/>
      <c r="I364">
        <v>2.5</v>
      </c>
      <c r="J364">
        <v>1</v>
      </c>
      <c r="K364">
        <v>93.57</v>
      </c>
      <c r="L364">
        <v>3649.34</v>
      </c>
      <c r="M364">
        <v>3742.9100000000003</v>
      </c>
    </row>
    <row r="365" spans="1:13" x14ac:dyDescent="0.25">
      <c r="A365" t="s">
        <v>408</v>
      </c>
      <c r="B365" s="3">
        <v>45425.279166666667</v>
      </c>
      <c r="C365" s="2" t="s">
        <v>37</v>
      </c>
      <c r="D365" s="2" t="s">
        <v>38</v>
      </c>
      <c r="E365" t="s">
        <v>44</v>
      </c>
      <c r="F365">
        <v>1984.97</v>
      </c>
      <c r="G365" s="2" t="s">
        <v>22</v>
      </c>
      <c r="H365"/>
      <c r="I365">
        <v>2.1</v>
      </c>
      <c r="J365">
        <v>0.23</v>
      </c>
      <c r="K365">
        <v>9.5864000000000011</v>
      </c>
      <c r="L365">
        <v>446.95670000000001</v>
      </c>
      <c r="M365">
        <v>456.54310000000004</v>
      </c>
    </row>
    <row r="366" spans="1:13" x14ac:dyDescent="0.25">
      <c r="A366" t="s">
        <v>409</v>
      </c>
      <c r="B366" s="3">
        <v>45425.480555555558</v>
      </c>
      <c r="C366" s="2" t="s">
        <v>43</v>
      </c>
      <c r="D366" s="2" t="s">
        <v>25</v>
      </c>
      <c r="E366" t="s">
        <v>15</v>
      </c>
      <c r="F366">
        <v>4016.05</v>
      </c>
      <c r="G366" s="2" t="s">
        <v>34</v>
      </c>
      <c r="H366" t="s">
        <v>62</v>
      </c>
      <c r="I366">
        <v>2.5</v>
      </c>
      <c r="J366">
        <v>1</v>
      </c>
      <c r="K366">
        <v>0</v>
      </c>
      <c r="L366">
        <v>0</v>
      </c>
      <c r="M366">
        <v>0</v>
      </c>
    </row>
    <row r="367" spans="1:13" x14ac:dyDescent="0.25">
      <c r="A367" t="s">
        <v>410</v>
      </c>
      <c r="B367" s="3">
        <v>45425.749305555553</v>
      </c>
      <c r="C367" s="2" t="s">
        <v>19</v>
      </c>
      <c r="D367" s="2" t="s">
        <v>20</v>
      </c>
      <c r="E367" t="s">
        <v>33</v>
      </c>
      <c r="F367">
        <v>1483.01</v>
      </c>
      <c r="G367" s="2" t="s">
        <v>22</v>
      </c>
      <c r="H367"/>
      <c r="I367">
        <v>1.9</v>
      </c>
      <c r="J367">
        <v>8.7999999999999995E-2</v>
      </c>
      <c r="K367">
        <v>2.4798399999999998</v>
      </c>
      <c r="L367">
        <v>128.02503999999999</v>
      </c>
      <c r="M367">
        <v>130.50487999999999</v>
      </c>
    </row>
    <row r="368" spans="1:13" x14ac:dyDescent="0.25">
      <c r="A368" t="s">
        <v>411</v>
      </c>
      <c r="B368" s="3">
        <v>45425.762499999997</v>
      </c>
      <c r="C368" s="2" t="s">
        <v>43</v>
      </c>
      <c r="D368" s="2" t="s">
        <v>25</v>
      </c>
      <c r="E368" t="s">
        <v>28</v>
      </c>
      <c r="F368">
        <v>277.85000000000002</v>
      </c>
      <c r="G368" s="2" t="s">
        <v>17</v>
      </c>
      <c r="H368"/>
      <c r="I368">
        <v>2.9</v>
      </c>
      <c r="J368">
        <v>1</v>
      </c>
      <c r="K368">
        <v>0</v>
      </c>
      <c r="L368">
        <v>0</v>
      </c>
      <c r="M368">
        <v>0</v>
      </c>
    </row>
    <row r="369" spans="1:13" x14ac:dyDescent="0.25">
      <c r="A369" t="s">
        <v>412</v>
      </c>
      <c r="B369" s="3">
        <v>45425.864583333336</v>
      </c>
      <c r="C369" s="2" t="s">
        <v>47</v>
      </c>
      <c r="D369" s="2" t="s">
        <v>25</v>
      </c>
      <c r="E369" t="s">
        <v>44</v>
      </c>
      <c r="F369">
        <v>2591.29</v>
      </c>
      <c r="G369" s="2" t="s">
        <v>22</v>
      </c>
      <c r="H369"/>
      <c r="I369">
        <v>2.1</v>
      </c>
      <c r="J369">
        <v>1</v>
      </c>
      <c r="K369">
        <v>54.42</v>
      </c>
      <c r="L369">
        <v>2536.87</v>
      </c>
      <c r="M369">
        <v>2591.29</v>
      </c>
    </row>
    <row r="370" spans="1:13" x14ac:dyDescent="0.25">
      <c r="A370" t="s">
        <v>413</v>
      </c>
      <c r="B370" s="3">
        <v>45426.100694444445</v>
      </c>
      <c r="C370" s="2" t="s">
        <v>13</v>
      </c>
      <c r="D370" s="2" t="s">
        <v>14</v>
      </c>
      <c r="E370" t="s">
        <v>15</v>
      </c>
      <c r="F370">
        <v>3812.54</v>
      </c>
      <c r="G370" s="2" t="s">
        <v>34</v>
      </c>
      <c r="H370" t="s">
        <v>100</v>
      </c>
      <c r="I370">
        <v>2.5</v>
      </c>
      <c r="J370">
        <v>8.7999999999999995E-2</v>
      </c>
      <c r="K370">
        <v>0</v>
      </c>
      <c r="L370">
        <v>0</v>
      </c>
      <c r="M370">
        <v>0</v>
      </c>
    </row>
    <row r="371" spans="1:13" x14ac:dyDescent="0.25">
      <c r="A371" t="s">
        <v>414</v>
      </c>
      <c r="B371" s="3">
        <v>45426.251388888886</v>
      </c>
      <c r="C371" s="2" t="s">
        <v>60</v>
      </c>
      <c r="D371" s="2" t="s">
        <v>25</v>
      </c>
      <c r="E371" t="s">
        <v>15</v>
      </c>
      <c r="F371">
        <v>1439.57</v>
      </c>
      <c r="G371" s="2" t="s">
        <v>17</v>
      </c>
      <c r="H371"/>
      <c r="I371">
        <v>2.5</v>
      </c>
      <c r="J371">
        <v>1</v>
      </c>
      <c r="K371">
        <v>0</v>
      </c>
      <c r="L371">
        <v>0</v>
      </c>
      <c r="M371">
        <v>0</v>
      </c>
    </row>
    <row r="372" spans="1:13" x14ac:dyDescent="0.25">
      <c r="A372" t="s">
        <v>415</v>
      </c>
      <c r="B372" s="3">
        <v>45426.95416666667</v>
      </c>
      <c r="C372" s="2" t="s">
        <v>27</v>
      </c>
      <c r="D372" s="2" t="s">
        <v>25</v>
      </c>
      <c r="E372" t="s">
        <v>28</v>
      </c>
      <c r="F372">
        <v>3093.84</v>
      </c>
      <c r="G372" s="2" t="s">
        <v>17</v>
      </c>
      <c r="H372"/>
      <c r="I372">
        <v>2.9</v>
      </c>
      <c r="J372">
        <v>1</v>
      </c>
      <c r="K372">
        <v>0</v>
      </c>
      <c r="L372">
        <v>0</v>
      </c>
      <c r="M372">
        <v>0</v>
      </c>
    </row>
    <row r="373" spans="1:13" x14ac:dyDescent="0.25">
      <c r="A373" t="s">
        <v>416</v>
      </c>
      <c r="B373" s="3">
        <v>45427.047222222223</v>
      </c>
      <c r="C373" s="2" t="s">
        <v>58</v>
      </c>
      <c r="D373" s="2" t="s">
        <v>25</v>
      </c>
      <c r="E373" t="s">
        <v>33</v>
      </c>
      <c r="F373">
        <v>3730.87</v>
      </c>
      <c r="G373" s="2" t="s">
        <v>34</v>
      </c>
      <c r="H373" t="s">
        <v>55</v>
      </c>
      <c r="I373">
        <v>1.9</v>
      </c>
      <c r="J373">
        <v>1</v>
      </c>
      <c r="K373">
        <v>0</v>
      </c>
      <c r="L373">
        <v>0</v>
      </c>
      <c r="M373">
        <v>0</v>
      </c>
    </row>
    <row r="374" spans="1:13" x14ac:dyDescent="0.25">
      <c r="A374" t="s">
        <v>417</v>
      </c>
      <c r="B374" s="3">
        <v>45428.220833333333</v>
      </c>
      <c r="C374" s="2" t="s">
        <v>47</v>
      </c>
      <c r="D374" s="2" t="s">
        <v>25</v>
      </c>
      <c r="E374" t="s">
        <v>44</v>
      </c>
      <c r="F374">
        <v>3456.07</v>
      </c>
      <c r="G374" s="2" t="s">
        <v>22</v>
      </c>
      <c r="H374"/>
      <c r="I374">
        <v>2.1</v>
      </c>
      <c r="J374">
        <v>1</v>
      </c>
      <c r="K374">
        <v>72.58</v>
      </c>
      <c r="L374">
        <v>3383.49</v>
      </c>
      <c r="M374">
        <v>3456.0699999999997</v>
      </c>
    </row>
    <row r="375" spans="1:13" x14ac:dyDescent="0.25">
      <c r="A375" t="s">
        <v>418</v>
      </c>
      <c r="B375" s="3">
        <v>45429.197916666664</v>
      </c>
      <c r="C375" s="2" t="s">
        <v>43</v>
      </c>
      <c r="D375" s="2" t="s">
        <v>25</v>
      </c>
      <c r="E375" t="s">
        <v>28</v>
      </c>
      <c r="F375">
        <v>460.08</v>
      </c>
      <c r="G375" s="2" t="s">
        <v>22</v>
      </c>
      <c r="H375"/>
      <c r="I375">
        <v>2.9</v>
      </c>
      <c r="J375">
        <v>1</v>
      </c>
      <c r="K375">
        <v>13.34</v>
      </c>
      <c r="L375">
        <v>446.74</v>
      </c>
      <c r="M375">
        <v>460.08</v>
      </c>
    </row>
    <row r="376" spans="1:13" x14ac:dyDescent="0.25">
      <c r="A376" t="s">
        <v>419</v>
      </c>
      <c r="B376" s="3">
        <v>45429.776388888888</v>
      </c>
      <c r="C376" s="2" t="s">
        <v>58</v>
      </c>
      <c r="D376" s="2" t="s">
        <v>25</v>
      </c>
      <c r="E376" t="s">
        <v>28</v>
      </c>
      <c r="F376">
        <v>4056.86</v>
      </c>
      <c r="G376" s="2" t="s">
        <v>17</v>
      </c>
      <c r="H376"/>
      <c r="I376">
        <v>2.9</v>
      </c>
      <c r="J376">
        <v>1</v>
      </c>
      <c r="K376">
        <v>0</v>
      </c>
      <c r="L376">
        <v>0</v>
      </c>
      <c r="M376">
        <v>0</v>
      </c>
    </row>
    <row r="377" spans="1:13" x14ac:dyDescent="0.25">
      <c r="A377" t="s">
        <v>420</v>
      </c>
      <c r="B377" s="3">
        <v>45429.976388888892</v>
      </c>
      <c r="C377" s="2" t="s">
        <v>19</v>
      </c>
      <c r="D377" s="2" t="s">
        <v>20</v>
      </c>
      <c r="E377" t="s">
        <v>28</v>
      </c>
      <c r="F377">
        <v>2214.17</v>
      </c>
      <c r="G377" s="2" t="s">
        <v>34</v>
      </c>
      <c r="H377" t="s">
        <v>55</v>
      </c>
      <c r="I377">
        <v>2.9</v>
      </c>
      <c r="J377">
        <v>8.7999999999999995E-2</v>
      </c>
      <c r="K377">
        <v>0</v>
      </c>
      <c r="L377">
        <v>0</v>
      </c>
      <c r="M377">
        <v>0</v>
      </c>
    </row>
    <row r="378" spans="1:13" x14ac:dyDescent="0.25">
      <c r="A378" t="s">
        <v>421</v>
      </c>
      <c r="B378" s="3">
        <v>45430.197916666664</v>
      </c>
      <c r="C378" s="2" t="s">
        <v>47</v>
      </c>
      <c r="D378" s="2" t="s">
        <v>25</v>
      </c>
      <c r="E378" t="s">
        <v>33</v>
      </c>
      <c r="F378">
        <v>864.66</v>
      </c>
      <c r="G378" s="2" t="s">
        <v>22</v>
      </c>
      <c r="H378"/>
      <c r="I378">
        <v>1.9</v>
      </c>
      <c r="J378">
        <v>1</v>
      </c>
      <c r="K378">
        <v>16.43</v>
      </c>
      <c r="L378">
        <v>848.23</v>
      </c>
      <c r="M378">
        <v>864.66</v>
      </c>
    </row>
    <row r="379" spans="1:13" x14ac:dyDescent="0.25">
      <c r="A379" t="s">
        <v>422</v>
      </c>
      <c r="B379" s="3">
        <v>45430.315972222219</v>
      </c>
      <c r="C379" s="2" t="s">
        <v>58</v>
      </c>
      <c r="D379" s="2" t="s">
        <v>25</v>
      </c>
      <c r="E379" t="s">
        <v>15</v>
      </c>
      <c r="F379">
        <v>737.76</v>
      </c>
      <c r="G379" s="2" t="s">
        <v>22</v>
      </c>
      <c r="H379"/>
      <c r="I379">
        <v>2.5</v>
      </c>
      <c r="J379">
        <v>1</v>
      </c>
      <c r="K379">
        <v>18.440000000000001</v>
      </c>
      <c r="L379">
        <v>719.32</v>
      </c>
      <c r="M379">
        <v>737.7600000000001</v>
      </c>
    </row>
    <row r="380" spans="1:13" x14ac:dyDescent="0.25">
      <c r="A380" t="s">
        <v>423</v>
      </c>
      <c r="B380" s="3">
        <v>45431.160416666666</v>
      </c>
      <c r="C380" s="2" t="s">
        <v>37</v>
      </c>
      <c r="D380" s="2" t="s">
        <v>38</v>
      </c>
      <c r="E380" t="s">
        <v>15</v>
      </c>
      <c r="F380">
        <v>3719.11</v>
      </c>
      <c r="G380" s="2" t="s">
        <v>34</v>
      </c>
      <c r="H380" t="s">
        <v>62</v>
      </c>
      <c r="I380">
        <v>2.5</v>
      </c>
      <c r="J380">
        <v>0.23</v>
      </c>
      <c r="K380">
        <v>0</v>
      </c>
      <c r="L380">
        <v>0</v>
      </c>
      <c r="M380">
        <v>0</v>
      </c>
    </row>
    <row r="381" spans="1:13" x14ac:dyDescent="0.25">
      <c r="A381" t="s">
        <v>424</v>
      </c>
      <c r="B381" s="3">
        <v>45431.285416666666</v>
      </c>
      <c r="C381" s="2" t="s">
        <v>31</v>
      </c>
      <c r="D381" s="2" t="s">
        <v>32</v>
      </c>
      <c r="E381" t="s">
        <v>39</v>
      </c>
      <c r="F381">
        <v>3658.28</v>
      </c>
      <c r="G381" s="2" t="s">
        <v>22</v>
      </c>
      <c r="H381"/>
      <c r="I381">
        <v>3.2</v>
      </c>
      <c r="J381">
        <v>1.17</v>
      </c>
      <c r="K381">
        <v>136.96019999999999</v>
      </c>
      <c r="L381">
        <v>4143.2273999999998</v>
      </c>
      <c r="M381">
        <v>4280.1875999999993</v>
      </c>
    </row>
    <row r="382" spans="1:13" x14ac:dyDescent="0.25">
      <c r="A382" t="s">
        <v>425</v>
      </c>
      <c r="B382" s="3">
        <v>45431.401388888888</v>
      </c>
      <c r="C382" s="2" t="s">
        <v>24</v>
      </c>
      <c r="D382" s="2" t="s">
        <v>25</v>
      </c>
      <c r="E382" t="s">
        <v>39</v>
      </c>
      <c r="F382">
        <v>3440.61</v>
      </c>
      <c r="G382" s="2" t="s">
        <v>22</v>
      </c>
      <c r="H382"/>
      <c r="I382">
        <v>3.2</v>
      </c>
      <c r="J382">
        <v>1</v>
      </c>
      <c r="K382">
        <v>110.1</v>
      </c>
      <c r="L382">
        <v>3330.51</v>
      </c>
      <c r="M382">
        <v>3440.61</v>
      </c>
    </row>
    <row r="383" spans="1:13" x14ac:dyDescent="0.25">
      <c r="A383" t="s">
        <v>426</v>
      </c>
      <c r="B383" s="3">
        <v>45431.69027777778</v>
      </c>
      <c r="C383" s="2" t="s">
        <v>43</v>
      </c>
      <c r="D383" s="2" t="s">
        <v>25</v>
      </c>
      <c r="E383" t="s">
        <v>15</v>
      </c>
      <c r="F383">
        <v>2994.2</v>
      </c>
      <c r="G383" s="2" t="s">
        <v>34</v>
      </c>
      <c r="H383" t="s">
        <v>62</v>
      </c>
      <c r="I383">
        <v>2.5</v>
      </c>
      <c r="J383">
        <v>1</v>
      </c>
      <c r="K383">
        <v>0</v>
      </c>
      <c r="L383">
        <v>0</v>
      </c>
      <c r="M383">
        <v>0</v>
      </c>
    </row>
    <row r="384" spans="1:13" x14ac:dyDescent="0.25">
      <c r="A384" t="s">
        <v>427</v>
      </c>
      <c r="B384" s="3">
        <v>45433.044444444444</v>
      </c>
      <c r="C384" s="2" t="s">
        <v>37</v>
      </c>
      <c r="D384" s="2" t="s">
        <v>38</v>
      </c>
      <c r="E384" t="s">
        <v>39</v>
      </c>
      <c r="F384">
        <v>2436.27</v>
      </c>
      <c r="G384" s="2" t="s">
        <v>17</v>
      </c>
      <c r="H384"/>
      <c r="I384">
        <v>3.2</v>
      </c>
      <c r="J384">
        <v>0.23</v>
      </c>
      <c r="K384">
        <v>0</v>
      </c>
      <c r="L384">
        <v>0</v>
      </c>
      <c r="M384">
        <v>0</v>
      </c>
    </row>
    <row r="385" spans="1:13" x14ac:dyDescent="0.25">
      <c r="A385" t="s">
        <v>428</v>
      </c>
      <c r="B385" s="3">
        <v>45433.554861111108</v>
      </c>
      <c r="C385" s="2" t="s">
        <v>43</v>
      </c>
      <c r="D385" s="2" t="s">
        <v>25</v>
      </c>
      <c r="E385" t="s">
        <v>28</v>
      </c>
      <c r="F385">
        <v>1265.98</v>
      </c>
      <c r="G385" s="2" t="s">
        <v>22</v>
      </c>
      <c r="H385"/>
      <c r="I385">
        <v>2.9</v>
      </c>
      <c r="J385">
        <v>1</v>
      </c>
      <c r="K385">
        <v>36.71</v>
      </c>
      <c r="L385">
        <v>1229.27</v>
      </c>
      <c r="M385">
        <v>1265.98</v>
      </c>
    </row>
    <row r="386" spans="1:13" x14ac:dyDescent="0.25">
      <c r="A386" t="s">
        <v>429</v>
      </c>
      <c r="B386" s="3">
        <v>45433.572222222225</v>
      </c>
      <c r="C386" s="2" t="s">
        <v>37</v>
      </c>
      <c r="D386" s="2" t="s">
        <v>38</v>
      </c>
      <c r="E386" t="s">
        <v>39</v>
      </c>
      <c r="F386">
        <v>3905.85</v>
      </c>
      <c r="G386" s="2" t="s">
        <v>22</v>
      </c>
      <c r="H386"/>
      <c r="I386">
        <v>3.2</v>
      </c>
      <c r="J386">
        <v>0.23</v>
      </c>
      <c r="K386">
        <v>28.747700000000002</v>
      </c>
      <c r="L386">
        <v>869.59780000000012</v>
      </c>
      <c r="M386">
        <v>898.34550000000013</v>
      </c>
    </row>
    <row r="387" spans="1:13" x14ac:dyDescent="0.25">
      <c r="A387" t="s">
        <v>430</v>
      </c>
      <c r="B387" s="3">
        <v>45435.206250000003</v>
      </c>
      <c r="C387" s="2" t="s">
        <v>13</v>
      </c>
      <c r="D387" s="2" t="s">
        <v>14</v>
      </c>
      <c r="E387" t="s">
        <v>44</v>
      </c>
      <c r="F387">
        <v>3670.39</v>
      </c>
      <c r="G387" s="2" t="s">
        <v>22</v>
      </c>
      <c r="H387"/>
      <c r="I387">
        <v>2.1</v>
      </c>
      <c r="J387">
        <v>8.7999999999999995E-2</v>
      </c>
      <c r="K387">
        <v>6.7830399999999997</v>
      </c>
      <c r="L387">
        <v>316.21127999999999</v>
      </c>
      <c r="M387">
        <v>322.99432000000002</v>
      </c>
    </row>
    <row r="388" spans="1:13" x14ac:dyDescent="0.25">
      <c r="A388" t="s">
        <v>431</v>
      </c>
      <c r="B388" s="3">
        <v>45435.62222222222</v>
      </c>
      <c r="C388" s="2" t="s">
        <v>27</v>
      </c>
      <c r="D388" s="2" t="s">
        <v>25</v>
      </c>
      <c r="E388" t="s">
        <v>28</v>
      </c>
      <c r="F388">
        <v>3099.69</v>
      </c>
      <c r="G388" s="2" t="s">
        <v>22</v>
      </c>
      <c r="H388"/>
      <c r="I388">
        <v>2.9</v>
      </c>
      <c r="J388">
        <v>1</v>
      </c>
      <c r="K388">
        <v>89.89</v>
      </c>
      <c r="L388">
        <v>3009.8</v>
      </c>
      <c r="M388">
        <v>3099.69</v>
      </c>
    </row>
    <row r="389" spans="1:13" x14ac:dyDescent="0.25">
      <c r="A389" t="s">
        <v>432</v>
      </c>
      <c r="B389" s="3">
        <v>45435.662499999999</v>
      </c>
      <c r="C389" s="2" t="s">
        <v>31</v>
      </c>
      <c r="D389" s="2" t="s">
        <v>32</v>
      </c>
      <c r="E389" t="s">
        <v>44</v>
      </c>
      <c r="F389">
        <v>1509.4</v>
      </c>
      <c r="G389" s="2" t="s">
        <v>34</v>
      </c>
      <c r="H389" t="s">
        <v>62</v>
      </c>
      <c r="I389">
        <v>2.1</v>
      </c>
      <c r="J389">
        <v>1.17</v>
      </c>
      <c r="K389">
        <v>0</v>
      </c>
      <c r="L389">
        <v>0</v>
      </c>
      <c r="M389">
        <v>0</v>
      </c>
    </row>
    <row r="390" spans="1:13" x14ac:dyDescent="0.25">
      <c r="A390" t="s">
        <v>433</v>
      </c>
      <c r="B390" s="3">
        <v>45436.010416666664</v>
      </c>
      <c r="C390" s="2" t="s">
        <v>58</v>
      </c>
      <c r="D390" s="2" t="s">
        <v>25</v>
      </c>
      <c r="E390" t="s">
        <v>33</v>
      </c>
      <c r="F390">
        <v>3129.82</v>
      </c>
      <c r="G390" s="2" t="s">
        <v>34</v>
      </c>
      <c r="H390" t="s">
        <v>55</v>
      </c>
      <c r="I390">
        <v>1.9</v>
      </c>
      <c r="J390">
        <v>1</v>
      </c>
      <c r="K390">
        <v>0</v>
      </c>
      <c r="L390">
        <v>0</v>
      </c>
      <c r="M390">
        <v>0</v>
      </c>
    </row>
    <row r="391" spans="1:13" x14ac:dyDescent="0.25">
      <c r="A391" t="s">
        <v>434</v>
      </c>
      <c r="B391" s="3">
        <v>45436.159722222219</v>
      </c>
      <c r="C391" s="2" t="s">
        <v>31</v>
      </c>
      <c r="D391" s="2" t="s">
        <v>32</v>
      </c>
      <c r="E391" t="s">
        <v>15</v>
      </c>
      <c r="F391">
        <v>3048.92</v>
      </c>
      <c r="G391" s="2" t="s">
        <v>22</v>
      </c>
      <c r="H391"/>
      <c r="I391">
        <v>2.5</v>
      </c>
      <c r="J391">
        <v>1.17</v>
      </c>
      <c r="K391">
        <v>89.177399999999992</v>
      </c>
      <c r="L391">
        <v>3478.0589999999997</v>
      </c>
      <c r="M391">
        <v>3567.2363999999998</v>
      </c>
    </row>
    <row r="392" spans="1:13" x14ac:dyDescent="0.25">
      <c r="A392" t="s">
        <v>435</v>
      </c>
      <c r="B392" s="3">
        <v>45436.484722222223</v>
      </c>
      <c r="C392" s="2" t="s">
        <v>19</v>
      </c>
      <c r="D392" s="2" t="s">
        <v>20</v>
      </c>
      <c r="E392" t="s">
        <v>44</v>
      </c>
      <c r="F392">
        <v>523.63</v>
      </c>
      <c r="G392" s="2" t="s">
        <v>22</v>
      </c>
      <c r="H392"/>
      <c r="I392">
        <v>2.1</v>
      </c>
      <c r="J392">
        <v>8.7999999999999995E-2</v>
      </c>
      <c r="K392">
        <v>0.96799999999999997</v>
      </c>
      <c r="L392">
        <v>45.111439999999995</v>
      </c>
      <c r="M392">
        <v>46.079439999999991</v>
      </c>
    </row>
    <row r="393" spans="1:13" x14ac:dyDescent="0.25">
      <c r="A393" t="s">
        <v>436</v>
      </c>
      <c r="B393" s="3">
        <v>45436.6</v>
      </c>
      <c r="C393" s="2" t="s">
        <v>58</v>
      </c>
      <c r="D393" s="2" t="s">
        <v>25</v>
      </c>
      <c r="E393" t="s">
        <v>28</v>
      </c>
      <c r="F393">
        <v>790.05</v>
      </c>
      <c r="G393" s="2" t="s">
        <v>22</v>
      </c>
      <c r="H393"/>
      <c r="I393">
        <v>2.9</v>
      </c>
      <c r="J393">
        <v>1</v>
      </c>
      <c r="K393">
        <v>22.91</v>
      </c>
      <c r="L393">
        <v>767.14</v>
      </c>
      <c r="M393">
        <v>790.05</v>
      </c>
    </row>
    <row r="394" spans="1:13" x14ac:dyDescent="0.25">
      <c r="A394" t="s">
        <v>437</v>
      </c>
      <c r="B394" s="3">
        <v>45437.01666666667</v>
      </c>
      <c r="C394" s="2" t="s">
        <v>60</v>
      </c>
      <c r="D394" s="2" t="s">
        <v>25</v>
      </c>
      <c r="E394" t="s">
        <v>44</v>
      </c>
      <c r="F394">
        <v>3901.35</v>
      </c>
      <c r="G394" s="2" t="s">
        <v>22</v>
      </c>
      <c r="H394"/>
      <c r="I394">
        <v>2.1</v>
      </c>
      <c r="J394">
        <v>1</v>
      </c>
      <c r="K394">
        <v>81.93</v>
      </c>
      <c r="L394">
        <v>3819.42</v>
      </c>
      <c r="M394">
        <v>3901.35</v>
      </c>
    </row>
    <row r="395" spans="1:13" x14ac:dyDescent="0.25">
      <c r="A395" t="s">
        <v>438</v>
      </c>
      <c r="B395" s="3">
        <v>45437.472222222219</v>
      </c>
      <c r="C395" s="2" t="s">
        <v>13</v>
      </c>
      <c r="D395" s="2" t="s">
        <v>14</v>
      </c>
      <c r="E395" t="s">
        <v>15</v>
      </c>
      <c r="F395">
        <v>4449.2700000000004</v>
      </c>
      <c r="G395" s="2" t="s">
        <v>34</v>
      </c>
      <c r="H395" t="s">
        <v>100</v>
      </c>
      <c r="I395">
        <v>2.5</v>
      </c>
      <c r="J395">
        <v>8.7999999999999995E-2</v>
      </c>
      <c r="K395">
        <v>0</v>
      </c>
      <c r="L395">
        <v>0</v>
      </c>
      <c r="M395">
        <v>0</v>
      </c>
    </row>
    <row r="396" spans="1:13" x14ac:dyDescent="0.25">
      <c r="A396" t="s">
        <v>439</v>
      </c>
      <c r="B396" s="3">
        <v>45437.794444444444</v>
      </c>
      <c r="C396" s="2" t="s">
        <v>24</v>
      </c>
      <c r="D396" s="2" t="s">
        <v>25</v>
      </c>
      <c r="E396" t="s">
        <v>39</v>
      </c>
      <c r="F396">
        <v>2258.7199999999998</v>
      </c>
      <c r="G396" s="2" t="s">
        <v>17</v>
      </c>
      <c r="H396"/>
      <c r="I396">
        <v>3.2</v>
      </c>
      <c r="J396">
        <v>1</v>
      </c>
      <c r="K396">
        <v>0</v>
      </c>
      <c r="L396">
        <v>0</v>
      </c>
      <c r="M396">
        <v>0</v>
      </c>
    </row>
    <row r="397" spans="1:13" x14ac:dyDescent="0.25">
      <c r="A397" t="s">
        <v>440</v>
      </c>
      <c r="B397" s="3">
        <v>45437.865972222222</v>
      </c>
      <c r="C397" s="2" t="s">
        <v>13</v>
      </c>
      <c r="D397" s="2" t="s">
        <v>14</v>
      </c>
      <c r="E397" t="s">
        <v>39</v>
      </c>
      <c r="F397">
        <v>948.12</v>
      </c>
      <c r="G397" s="2" t="s">
        <v>22</v>
      </c>
      <c r="H397"/>
      <c r="I397">
        <v>3.2</v>
      </c>
      <c r="J397">
        <v>8.7999999999999995E-2</v>
      </c>
      <c r="K397">
        <v>2.6699199999999998</v>
      </c>
      <c r="L397">
        <v>80.76464</v>
      </c>
      <c r="M397">
        <v>83.434560000000005</v>
      </c>
    </row>
    <row r="398" spans="1:13" x14ac:dyDescent="0.25">
      <c r="A398" t="s">
        <v>441</v>
      </c>
      <c r="B398" s="3">
        <v>45438.611111111109</v>
      </c>
      <c r="C398" s="2" t="s">
        <v>27</v>
      </c>
      <c r="D398" s="2" t="s">
        <v>25</v>
      </c>
      <c r="E398" t="s">
        <v>44</v>
      </c>
      <c r="F398">
        <v>2114.86</v>
      </c>
      <c r="G398" s="2" t="s">
        <v>17</v>
      </c>
      <c r="H398"/>
      <c r="I398">
        <v>2.1</v>
      </c>
      <c r="J398">
        <v>1</v>
      </c>
      <c r="K398">
        <v>0</v>
      </c>
      <c r="L398">
        <v>0</v>
      </c>
      <c r="M398">
        <v>0</v>
      </c>
    </row>
    <row r="399" spans="1:13" x14ac:dyDescent="0.25">
      <c r="A399" t="s">
        <v>442</v>
      </c>
      <c r="B399" s="3">
        <v>45438.628472222219</v>
      </c>
      <c r="C399" s="2" t="s">
        <v>27</v>
      </c>
      <c r="D399" s="2" t="s">
        <v>25</v>
      </c>
      <c r="E399" t="s">
        <v>33</v>
      </c>
      <c r="F399">
        <v>4258.71</v>
      </c>
      <c r="G399" s="2" t="s">
        <v>22</v>
      </c>
      <c r="H399"/>
      <c r="I399">
        <v>1.9</v>
      </c>
      <c r="J399">
        <v>1</v>
      </c>
      <c r="K399">
        <v>80.92</v>
      </c>
      <c r="L399">
        <v>4177.79</v>
      </c>
      <c r="M399">
        <v>4258.71</v>
      </c>
    </row>
    <row r="400" spans="1:13" x14ac:dyDescent="0.25">
      <c r="A400" t="s">
        <v>443</v>
      </c>
      <c r="B400" s="3">
        <v>45439.01458333333</v>
      </c>
      <c r="C400" s="2" t="s">
        <v>31</v>
      </c>
      <c r="D400" s="2" t="s">
        <v>32</v>
      </c>
      <c r="E400" t="s">
        <v>39</v>
      </c>
      <c r="F400">
        <v>2361.2399999999998</v>
      </c>
      <c r="G400" s="2" t="s">
        <v>22</v>
      </c>
      <c r="H400"/>
      <c r="I400">
        <v>3.2</v>
      </c>
      <c r="J400">
        <v>1.17</v>
      </c>
      <c r="K400">
        <v>88.405199999999994</v>
      </c>
      <c r="L400">
        <v>2674.2455999999997</v>
      </c>
      <c r="M400">
        <v>2762.6507999999999</v>
      </c>
    </row>
    <row r="401" spans="1:13" x14ac:dyDescent="0.25">
      <c r="A401" t="s">
        <v>444</v>
      </c>
      <c r="B401" s="3">
        <v>45439.6</v>
      </c>
      <c r="C401" s="2" t="s">
        <v>37</v>
      </c>
      <c r="D401" s="2" t="s">
        <v>38</v>
      </c>
      <c r="E401" t="s">
        <v>33</v>
      </c>
      <c r="F401">
        <v>495.85</v>
      </c>
      <c r="G401" s="2" t="s">
        <v>17</v>
      </c>
      <c r="H401"/>
      <c r="I401">
        <v>1.9</v>
      </c>
      <c r="J401">
        <v>0.23</v>
      </c>
      <c r="K401">
        <v>0</v>
      </c>
      <c r="L401">
        <v>0</v>
      </c>
      <c r="M401">
        <v>0</v>
      </c>
    </row>
    <row r="402" spans="1:13" x14ac:dyDescent="0.25">
      <c r="A402" t="s">
        <v>445</v>
      </c>
      <c r="B402" s="3">
        <v>45439.804861111108</v>
      </c>
      <c r="C402" s="2" t="s">
        <v>37</v>
      </c>
      <c r="D402" s="2" t="s">
        <v>38</v>
      </c>
      <c r="E402" t="s">
        <v>28</v>
      </c>
      <c r="F402">
        <v>2541.9899999999998</v>
      </c>
      <c r="G402" s="2" t="s">
        <v>22</v>
      </c>
      <c r="H402"/>
      <c r="I402">
        <v>2.9</v>
      </c>
      <c r="J402">
        <v>0.23</v>
      </c>
      <c r="K402">
        <v>16.9556</v>
      </c>
      <c r="L402">
        <v>567.70209999999997</v>
      </c>
      <c r="M402">
        <v>584.65769999999998</v>
      </c>
    </row>
    <row r="403" spans="1:13" x14ac:dyDescent="0.25">
      <c r="A403" t="s">
        <v>446</v>
      </c>
      <c r="B403" s="3">
        <v>45439.966666666667</v>
      </c>
      <c r="C403" s="2" t="s">
        <v>43</v>
      </c>
      <c r="D403" s="2" t="s">
        <v>25</v>
      </c>
      <c r="E403" t="s">
        <v>39</v>
      </c>
      <c r="F403">
        <v>1168.19</v>
      </c>
      <c r="G403" s="2" t="s">
        <v>22</v>
      </c>
      <c r="H403"/>
      <c r="I403">
        <v>3.2</v>
      </c>
      <c r="J403">
        <v>1</v>
      </c>
      <c r="K403">
        <v>37.380000000000003</v>
      </c>
      <c r="L403">
        <v>1130.81</v>
      </c>
      <c r="M403">
        <v>1168.19</v>
      </c>
    </row>
    <row r="404" spans="1:13" x14ac:dyDescent="0.25">
      <c r="A404" t="s">
        <v>447</v>
      </c>
      <c r="B404" s="3">
        <v>45440.506249999999</v>
      </c>
      <c r="C404" s="2" t="s">
        <v>27</v>
      </c>
      <c r="D404" s="2" t="s">
        <v>25</v>
      </c>
      <c r="E404" t="s">
        <v>39</v>
      </c>
      <c r="F404">
        <v>2384.5100000000002</v>
      </c>
      <c r="G404" s="2" t="s">
        <v>22</v>
      </c>
      <c r="H404"/>
      <c r="I404">
        <v>3.2</v>
      </c>
      <c r="J404">
        <v>1</v>
      </c>
      <c r="K404">
        <v>76.3</v>
      </c>
      <c r="L404">
        <v>2308.21</v>
      </c>
      <c r="M404">
        <v>2384.5100000000002</v>
      </c>
    </row>
    <row r="405" spans="1:13" x14ac:dyDescent="0.25">
      <c r="A405" t="s">
        <v>448</v>
      </c>
      <c r="B405" s="3">
        <v>45440.602083333331</v>
      </c>
      <c r="C405" s="2" t="s">
        <v>31</v>
      </c>
      <c r="D405" s="2" t="s">
        <v>32</v>
      </c>
      <c r="E405" t="s">
        <v>15</v>
      </c>
      <c r="F405">
        <v>751.55</v>
      </c>
      <c r="G405" s="2" t="s">
        <v>22</v>
      </c>
      <c r="H405"/>
      <c r="I405">
        <v>2.5</v>
      </c>
      <c r="J405">
        <v>1.17</v>
      </c>
      <c r="K405">
        <v>21.984299999999998</v>
      </c>
      <c r="L405">
        <v>857.3291999999999</v>
      </c>
      <c r="M405">
        <v>879.31349999999986</v>
      </c>
    </row>
    <row r="406" spans="1:13" x14ac:dyDescent="0.25">
      <c r="A406" t="s">
        <v>449</v>
      </c>
      <c r="B406" s="3">
        <v>45440.615277777775</v>
      </c>
      <c r="C406" s="2" t="s">
        <v>13</v>
      </c>
      <c r="D406" s="2" t="s">
        <v>14</v>
      </c>
      <c r="E406" t="s">
        <v>33</v>
      </c>
      <c r="F406">
        <v>1695.8</v>
      </c>
      <c r="G406" s="2" t="s">
        <v>22</v>
      </c>
      <c r="H406"/>
      <c r="I406">
        <v>1.9</v>
      </c>
      <c r="J406">
        <v>8.7999999999999995E-2</v>
      </c>
      <c r="K406">
        <v>2.8353599999999997</v>
      </c>
      <c r="L406">
        <v>146.39503999999999</v>
      </c>
      <c r="M406">
        <v>149.2304</v>
      </c>
    </row>
    <row r="407" spans="1:13" x14ac:dyDescent="0.25">
      <c r="A407" t="s">
        <v>450</v>
      </c>
      <c r="B407" s="3">
        <v>45441.25277777778</v>
      </c>
      <c r="C407" s="2" t="s">
        <v>60</v>
      </c>
      <c r="D407" s="2" t="s">
        <v>25</v>
      </c>
      <c r="E407" t="s">
        <v>44</v>
      </c>
      <c r="F407">
        <v>3226.91</v>
      </c>
      <c r="G407" s="2" t="s">
        <v>34</v>
      </c>
      <c r="H407" t="s">
        <v>100</v>
      </c>
      <c r="I407">
        <v>2.1</v>
      </c>
      <c r="J407">
        <v>1</v>
      </c>
      <c r="K407">
        <v>0</v>
      </c>
      <c r="L407">
        <v>0</v>
      </c>
      <c r="M407">
        <v>0</v>
      </c>
    </row>
    <row r="408" spans="1:13" x14ac:dyDescent="0.25">
      <c r="A408" t="s">
        <v>451</v>
      </c>
      <c r="B408" s="3">
        <v>45441.558333333334</v>
      </c>
      <c r="C408" s="2" t="s">
        <v>31</v>
      </c>
      <c r="D408" s="2" t="s">
        <v>32</v>
      </c>
      <c r="E408" t="s">
        <v>33</v>
      </c>
      <c r="F408">
        <v>2864.08</v>
      </c>
      <c r="G408" s="2" t="s">
        <v>22</v>
      </c>
      <c r="H408"/>
      <c r="I408">
        <v>1.9</v>
      </c>
      <c r="J408">
        <v>1.17</v>
      </c>
      <c r="K408">
        <v>63.671399999999998</v>
      </c>
      <c r="L408">
        <v>3287.3021999999996</v>
      </c>
      <c r="M408">
        <v>3350.9735999999998</v>
      </c>
    </row>
    <row r="409" spans="1:13" x14ac:dyDescent="0.25">
      <c r="A409" t="s">
        <v>452</v>
      </c>
      <c r="B409" s="3">
        <v>45441.600694444445</v>
      </c>
      <c r="C409" s="2" t="s">
        <v>47</v>
      </c>
      <c r="D409" s="2" t="s">
        <v>25</v>
      </c>
      <c r="E409" t="s">
        <v>39</v>
      </c>
      <c r="F409">
        <v>840.77</v>
      </c>
      <c r="G409" s="2" t="s">
        <v>22</v>
      </c>
      <c r="H409"/>
      <c r="I409">
        <v>3.2</v>
      </c>
      <c r="J409">
        <v>1</v>
      </c>
      <c r="K409">
        <v>26.9</v>
      </c>
      <c r="L409">
        <v>813.87</v>
      </c>
      <c r="M409">
        <v>840.77</v>
      </c>
    </row>
    <row r="410" spans="1:13" x14ac:dyDescent="0.25">
      <c r="A410" t="s">
        <v>453</v>
      </c>
      <c r="B410" s="3">
        <v>45441.988888888889</v>
      </c>
      <c r="C410" s="2" t="s">
        <v>43</v>
      </c>
      <c r="D410" s="2" t="s">
        <v>25</v>
      </c>
      <c r="E410" t="s">
        <v>33</v>
      </c>
      <c r="F410">
        <v>1636.17</v>
      </c>
      <c r="G410" s="2" t="s">
        <v>22</v>
      </c>
      <c r="H410"/>
      <c r="I410">
        <v>1.9</v>
      </c>
      <c r="J410">
        <v>1</v>
      </c>
      <c r="K410">
        <v>31.09</v>
      </c>
      <c r="L410">
        <v>1605.08</v>
      </c>
      <c r="M410">
        <v>1636.1699999999998</v>
      </c>
    </row>
    <row r="411" spans="1:13" x14ac:dyDescent="0.25">
      <c r="A411" t="s">
        <v>454</v>
      </c>
      <c r="B411" s="3">
        <v>45442.145833333336</v>
      </c>
      <c r="C411" s="2" t="s">
        <v>27</v>
      </c>
      <c r="D411" s="2" t="s">
        <v>25</v>
      </c>
      <c r="E411" t="s">
        <v>39</v>
      </c>
      <c r="F411">
        <v>3816.96</v>
      </c>
      <c r="G411" s="2" t="s">
        <v>22</v>
      </c>
      <c r="H411"/>
      <c r="I411">
        <v>3.2</v>
      </c>
      <c r="J411">
        <v>1</v>
      </c>
      <c r="K411">
        <v>122.14</v>
      </c>
      <c r="L411">
        <v>3694.82</v>
      </c>
      <c r="M411">
        <v>3816.96</v>
      </c>
    </row>
    <row r="412" spans="1:13" x14ac:dyDescent="0.25">
      <c r="A412" t="s">
        <v>455</v>
      </c>
      <c r="B412" s="3">
        <v>45442.571527777778</v>
      </c>
      <c r="C412" s="2" t="s">
        <v>13</v>
      </c>
      <c r="D412" s="2" t="s">
        <v>14</v>
      </c>
      <c r="E412" t="s">
        <v>44</v>
      </c>
      <c r="F412">
        <v>1740.03</v>
      </c>
      <c r="G412" s="2" t="s">
        <v>34</v>
      </c>
      <c r="H412" t="s">
        <v>78</v>
      </c>
      <c r="I412">
        <v>2.1</v>
      </c>
      <c r="J412">
        <v>8.7999999999999995E-2</v>
      </c>
      <c r="K412">
        <v>0</v>
      </c>
      <c r="L412">
        <v>0</v>
      </c>
      <c r="M412">
        <v>0</v>
      </c>
    </row>
    <row r="413" spans="1:13" x14ac:dyDescent="0.25">
      <c r="A413" t="s">
        <v>456</v>
      </c>
      <c r="B413" s="3">
        <v>45443.356944444444</v>
      </c>
      <c r="C413" s="2" t="s">
        <v>37</v>
      </c>
      <c r="D413" s="2" t="s">
        <v>38</v>
      </c>
      <c r="E413" t="s">
        <v>15</v>
      </c>
      <c r="F413">
        <v>3881.83</v>
      </c>
      <c r="G413" s="2" t="s">
        <v>17</v>
      </c>
      <c r="H413"/>
      <c r="I413">
        <v>2.5</v>
      </c>
      <c r="J413">
        <v>0.23</v>
      </c>
      <c r="K413">
        <v>0</v>
      </c>
      <c r="L413">
        <v>0</v>
      </c>
      <c r="M413">
        <v>0</v>
      </c>
    </row>
    <row r="414" spans="1:13" x14ac:dyDescent="0.25">
      <c r="A414" t="s">
        <v>457</v>
      </c>
      <c r="B414" s="3">
        <v>45443.449305555558</v>
      </c>
      <c r="C414" s="2" t="s">
        <v>58</v>
      </c>
      <c r="D414" s="2" t="s">
        <v>25</v>
      </c>
      <c r="E414" t="s">
        <v>44</v>
      </c>
      <c r="F414">
        <v>669.48</v>
      </c>
      <c r="G414" s="2" t="s">
        <v>17</v>
      </c>
      <c r="H414"/>
      <c r="I414">
        <v>2.1</v>
      </c>
      <c r="J414">
        <v>1</v>
      </c>
      <c r="K414">
        <v>0</v>
      </c>
      <c r="L414">
        <v>0</v>
      </c>
      <c r="M414">
        <v>0</v>
      </c>
    </row>
    <row r="415" spans="1:13" x14ac:dyDescent="0.25">
      <c r="A415" t="s">
        <v>458</v>
      </c>
      <c r="B415" s="3">
        <v>45443.835416666669</v>
      </c>
      <c r="C415" s="2" t="s">
        <v>24</v>
      </c>
      <c r="D415" s="2" t="s">
        <v>25</v>
      </c>
      <c r="E415" t="s">
        <v>15</v>
      </c>
      <c r="F415">
        <v>572.59</v>
      </c>
      <c r="G415" s="2" t="s">
        <v>34</v>
      </c>
      <c r="H415" t="s">
        <v>100</v>
      </c>
      <c r="I415">
        <v>2.5</v>
      </c>
      <c r="J415">
        <v>1</v>
      </c>
      <c r="K415">
        <v>0</v>
      </c>
      <c r="L415">
        <v>0</v>
      </c>
      <c r="M415">
        <v>0</v>
      </c>
    </row>
    <row r="416" spans="1:13" x14ac:dyDescent="0.25">
      <c r="A416" t="s">
        <v>459</v>
      </c>
      <c r="B416" s="3">
        <v>45444.061111111114</v>
      </c>
      <c r="C416" s="2" t="s">
        <v>47</v>
      </c>
      <c r="D416" s="2" t="s">
        <v>25</v>
      </c>
      <c r="E416" t="s">
        <v>39</v>
      </c>
      <c r="F416">
        <v>2200.96</v>
      </c>
      <c r="G416" s="2" t="s">
        <v>22</v>
      </c>
      <c r="H416"/>
      <c r="I416">
        <v>3.2</v>
      </c>
      <c r="J416">
        <v>1</v>
      </c>
      <c r="K416">
        <v>70.430000000000007</v>
      </c>
      <c r="L416">
        <v>2130.5300000000002</v>
      </c>
      <c r="M416">
        <v>2200.96</v>
      </c>
    </row>
    <row r="417" spans="1:13" x14ac:dyDescent="0.25">
      <c r="A417" t="s">
        <v>460</v>
      </c>
      <c r="B417" s="3">
        <v>45444.775694444441</v>
      </c>
      <c r="C417" s="2" t="s">
        <v>43</v>
      </c>
      <c r="D417" s="2" t="s">
        <v>25</v>
      </c>
      <c r="E417" t="s">
        <v>44</v>
      </c>
      <c r="F417">
        <v>2697.52</v>
      </c>
      <c r="G417" s="2" t="s">
        <v>22</v>
      </c>
      <c r="H417"/>
      <c r="I417">
        <v>2.1</v>
      </c>
      <c r="J417">
        <v>1</v>
      </c>
      <c r="K417">
        <v>56.65</v>
      </c>
      <c r="L417">
        <v>2640.87</v>
      </c>
      <c r="M417">
        <v>2697.52</v>
      </c>
    </row>
    <row r="418" spans="1:13" x14ac:dyDescent="0.25">
      <c r="A418" t="s">
        <v>461</v>
      </c>
      <c r="B418" s="3">
        <v>45444.879166666666</v>
      </c>
      <c r="C418" s="2" t="s">
        <v>43</v>
      </c>
      <c r="D418" s="2" t="s">
        <v>25</v>
      </c>
      <c r="E418" t="s">
        <v>28</v>
      </c>
      <c r="F418">
        <v>4941.92</v>
      </c>
      <c r="G418" s="2" t="s">
        <v>22</v>
      </c>
      <c r="H418"/>
      <c r="I418">
        <v>2.9</v>
      </c>
      <c r="J418">
        <v>1</v>
      </c>
      <c r="K418">
        <v>143.32</v>
      </c>
      <c r="L418">
        <v>4798.6000000000004</v>
      </c>
      <c r="M418">
        <v>4941.92</v>
      </c>
    </row>
    <row r="419" spans="1:13" x14ac:dyDescent="0.25">
      <c r="A419" t="s">
        <v>462</v>
      </c>
      <c r="B419" s="3">
        <v>45445.239583333336</v>
      </c>
      <c r="C419" s="2" t="s">
        <v>27</v>
      </c>
      <c r="D419" s="2" t="s">
        <v>25</v>
      </c>
      <c r="E419" t="s">
        <v>39</v>
      </c>
      <c r="F419">
        <v>1128.97</v>
      </c>
      <c r="G419" s="2" t="s">
        <v>22</v>
      </c>
      <c r="H419"/>
      <c r="I419">
        <v>3.2</v>
      </c>
      <c r="J419">
        <v>1</v>
      </c>
      <c r="K419">
        <v>36.130000000000003</v>
      </c>
      <c r="L419">
        <v>1092.8399999999999</v>
      </c>
      <c r="M419">
        <v>1128.97</v>
      </c>
    </row>
    <row r="420" spans="1:13" x14ac:dyDescent="0.25">
      <c r="A420" t="s">
        <v>463</v>
      </c>
      <c r="B420" s="3">
        <v>45445.357638888891</v>
      </c>
      <c r="C420" s="2" t="s">
        <v>19</v>
      </c>
      <c r="D420" s="2" t="s">
        <v>20</v>
      </c>
      <c r="E420" t="s">
        <v>28</v>
      </c>
      <c r="F420">
        <v>503.88</v>
      </c>
      <c r="G420" s="2" t="s">
        <v>22</v>
      </c>
      <c r="H420"/>
      <c r="I420">
        <v>2.9</v>
      </c>
      <c r="J420">
        <v>8.7999999999999995E-2</v>
      </c>
      <c r="K420">
        <v>1.2856799999999999</v>
      </c>
      <c r="L420">
        <v>43.055759999999999</v>
      </c>
      <c r="M420">
        <v>44.341439999999999</v>
      </c>
    </row>
    <row r="421" spans="1:13" x14ac:dyDescent="0.25">
      <c r="A421" t="s">
        <v>464</v>
      </c>
      <c r="B421" s="3">
        <v>45445.404166666667</v>
      </c>
      <c r="C421" s="2" t="s">
        <v>19</v>
      </c>
      <c r="D421" s="2" t="s">
        <v>20</v>
      </c>
      <c r="E421" t="s">
        <v>44</v>
      </c>
      <c r="F421">
        <v>2603.14</v>
      </c>
      <c r="G421" s="2" t="s">
        <v>22</v>
      </c>
      <c r="H421"/>
      <c r="I421">
        <v>2.1</v>
      </c>
      <c r="J421">
        <v>8.7999999999999995E-2</v>
      </c>
      <c r="K421">
        <v>4.8109599999999997</v>
      </c>
      <c r="L421">
        <v>224.26535999999996</v>
      </c>
      <c r="M421">
        <v>229.07631999999995</v>
      </c>
    </row>
    <row r="422" spans="1:13" x14ac:dyDescent="0.25">
      <c r="A422" t="s">
        <v>465</v>
      </c>
      <c r="B422" s="3">
        <v>45445.443055555559</v>
      </c>
      <c r="C422" s="2" t="s">
        <v>24</v>
      </c>
      <c r="D422" s="2" t="s">
        <v>25</v>
      </c>
      <c r="E422" t="s">
        <v>15</v>
      </c>
      <c r="F422">
        <v>896.41</v>
      </c>
      <c r="G422" s="2" t="s">
        <v>34</v>
      </c>
      <c r="H422" t="s">
        <v>62</v>
      </c>
      <c r="I422">
        <v>2.5</v>
      </c>
      <c r="J422">
        <v>1</v>
      </c>
      <c r="K422">
        <v>0</v>
      </c>
      <c r="L422">
        <v>0</v>
      </c>
      <c r="M422">
        <v>0</v>
      </c>
    </row>
    <row r="423" spans="1:13" x14ac:dyDescent="0.25">
      <c r="A423" t="s">
        <v>466</v>
      </c>
      <c r="B423" s="3">
        <v>45445.870138888888</v>
      </c>
      <c r="C423" s="2" t="s">
        <v>43</v>
      </c>
      <c r="D423" s="2" t="s">
        <v>25</v>
      </c>
      <c r="E423" t="s">
        <v>28</v>
      </c>
      <c r="F423">
        <v>2091.61</v>
      </c>
      <c r="G423" s="2" t="s">
        <v>34</v>
      </c>
      <c r="H423" t="s">
        <v>35</v>
      </c>
      <c r="I423">
        <v>2.9</v>
      </c>
      <c r="J423">
        <v>1</v>
      </c>
      <c r="K423">
        <v>0</v>
      </c>
      <c r="L423">
        <v>0</v>
      </c>
      <c r="M423">
        <v>0</v>
      </c>
    </row>
    <row r="424" spans="1:13" x14ac:dyDescent="0.25">
      <c r="A424" t="s">
        <v>467</v>
      </c>
      <c r="B424" s="3">
        <v>45446.03125</v>
      </c>
      <c r="C424" s="2" t="s">
        <v>13</v>
      </c>
      <c r="D424" s="2" t="s">
        <v>14</v>
      </c>
      <c r="E424" t="s">
        <v>44</v>
      </c>
      <c r="F424">
        <v>237.12</v>
      </c>
      <c r="G424" s="2" t="s">
        <v>22</v>
      </c>
      <c r="H424"/>
      <c r="I424">
        <v>2.1</v>
      </c>
      <c r="J424">
        <v>8.7999999999999995E-2</v>
      </c>
      <c r="K424">
        <v>0.43824000000000002</v>
      </c>
      <c r="L424">
        <v>20.428319999999999</v>
      </c>
      <c r="M424">
        <v>20.86656</v>
      </c>
    </row>
    <row r="425" spans="1:13" x14ac:dyDescent="0.25">
      <c r="A425" t="s">
        <v>468</v>
      </c>
      <c r="B425" s="3">
        <v>45446.124305555553</v>
      </c>
      <c r="C425" s="2" t="s">
        <v>24</v>
      </c>
      <c r="D425" s="2" t="s">
        <v>25</v>
      </c>
      <c r="E425" t="s">
        <v>39</v>
      </c>
      <c r="F425">
        <v>4298.49</v>
      </c>
      <c r="G425" s="2" t="s">
        <v>22</v>
      </c>
      <c r="H425"/>
      <c r="I425">
        <v>3.2</v>
      </c>
      <c r="J425">
        <v>1</v>
      </c>
      <c r="K425">
        <v>137.55000000000001</v>
      </c>
      <c r="L425">
        <v>4160.9399999999996</v>
      </c>
      <c r="M425">
        <v>4298.49</v>
      </c>
    </row>
    <row r="426" spans="1:13" x14ac:dyDescent="0.25">
      <c r="A426" t="s">
        <v>469</v>
      </c>
      <c r="B426" s="3">
        <v>45446.195833333331</v>
      </c>
      <c r="C426" s="2" t="s">
        <v>13</v>
      </c>
      <c r="D426" s="2" t="s">
        <v>14</v>
      </c>
      <c r="E426" t="s">
        <v>44</v>
      </c>
      <c r="F426">
        <v>1509.5</v>
      </c>
      <c r="G426" s="2" t="s">
        <v>22</v>
      </c>
      <c r="H426"/>
      <c r="I426">
        <v>2.1</v>
      </c>
      <c r="J426">
        <v>8.7999999999999995E-2</v>
      </c>
      <c r="K426">
        <v>2.7895999999999996</v>
      </c>
      <c r="L426">
        <v>130.04639999999998</v>
      </c>
      <c r="M426">
        <v>132.83599999999998</v>
      </c>
    </row>
    <row r="427" spans="1:13" x14ac:dyDescent="0.25">
      <c r="A427" t="s">
        <v>470</v>
      </c>
      <c r="B427" s="3">
        <v>45446.272916666669</v>
      </c>
      <c r="C427" s="2" t="s">
        <v>47</v>
      </c>
      <c r="D427" s="2" t="s">
        <v>25</v>
      </c>
      <c r="E427" t="s">
        <v>44</v>
      </c>
      <c r="F427">
        <v>1877.34</v>
      </c>
      <c r="G427" s="2" t="s">
        <v>22</v>
      </c>
      <c r="H427"/>
      <c r="I427">
        <v>2.1</v>
      </c>
      <c r="J427">
        <v>1</v>
      </c>
      <c r="K427">
        <v>39.42</v>
      </c>
      <c r="L427">
        <v>1837.92</v>
      </c>
      <c r="M427">
        <v>1877.3400000000001</v>
      </c>
    </row>
    <row r="428" spans="1:13" x14ac:dyDescent="0.25">
      <c r="A428" t="s">
        <v>471</v>
      </c>
      <c r="B428" s="3">
        <v>45447.629861111112</v>
      </c>
      <c r="C428" s="2" t="s">
        <v>31</v>
      </c>
      <c r="D428" s="2" t="s">
        <v>32</v>
      </c>
      <c r="E428" t="s">
        <v>44</v>
      </c>
      <c r="F428">
        <v>686.96</v>
      </c>
      <c r="G428" s="2" t="s">
        <v>34</v>
      </c>
      <c r="H428" t="s">
        <v>62</v>
      </c>
      <c r="I428">
        <v>2.1</v>
      </c>
      <c r="J428">
        <v>1.17</v>
      </c>
      <c r="K428">
        <v>0</v>
      </c>
      <c r="L428">
        <v>0</v>
      </c>
      <c r="M428">
        <v>0</v>
      </c>
    </row>
    <row r="429" spans="1:13" x14ac:dyDescent="0.25">
      <c r="A429" t="s">
        <v>472</v>
      </c>
      <c r="B429" s="3">
        <v>45448.900694444441</v>
      </c>
      <c r="C429" s="2" t="s">
        <v>37</v>
      </c>
      <c r="D429" s="2" t="s">
        <v>38</v>
      </c>
      <c r="E429" t="s">
        <v>15</v>
      </c>
      <c r="F429">
        <v>2659.3</v>
      </c>
      <c r="G429" s="2" t="s">
        <v>34</v>
      </c>
      <c r="H429" t="s">
        <v>100</v>
      </c>
      <c r="I429">
        <v>2.5</v>
      </c>
      <c r="J429">
        <v>0.23</v>
      </c>
      <c r="K429">
        <v>0</v>
      </c>
      <c r="L429">
        <v>0</v>
      </c>
      <c r="M429">
        <v>0</v>
      </c>
    </row>
    <row r="430" spans="1:13" x14ac:dyDescent="0.25">
      <c r="A430" t="s">
        <v>473</v>
      </c>
      <c r="B430" s="3">
        <v>45449.175694444442</v>
      </c>
      <c r="C430" s="2" t="s">
        <v>27</v>
      </c>
      <c r="D430" s="2" t="s">
        <v>25</v>
      </c>
      <c r="E430" t="s">
        <v>28</v>
      </c>
      <c r="F430">
        <v>3457.18</v>
      </c>
      <c r="G430" s="2" t="s">
        <v>22</v>
      </c>
      <c r="H430"/>
      <c r="I430">
        <v>2.9</v>
      </c>
      <c r="J430">
        <v>1</v>
      </c>
      <c r="K430">
        <v>100.26</v>
      </c>
      <c r="L430">
        <v>3356.92</v>
      </c>
      <c r="M430">
        <v>3457.1800000000003</v>
      </c>
    </row>
    <row r="431" spans="1:13" x14ac:dyDescent="0.25">
      <c r="A431" t="s">
        <v>474</v>
      </c>
      <c r="B431" s="3">
        <v>45449.497916666667</v>
      </c>
      <c r="C431" s="2" t="s">
        <v>60</v>
      </c>
      <c r="D431" s="2" t="s">
        <v>25</v>
      </c>
      <c r="E431" t="s">
        <v>39</v>
      </c>
      <c r="F431">
        <v>3413.51</v>
      </c>
      <c r="G431" s="2" t="s">
        <v>22</v>
      </c>
      <c r="H431"/>
      <c r="I431">
        <v>3.2</v>
      </c>
      <c r="J431">
        <v>1</v>
      </c>
      <c r="K431">
        <v>109.23</v>
      </c>
      <c r="L431">
        <v>3304.28</v>
      </c>
      <c r="M431">
        <v>3413.51</v>
      </c>
    </row>
    <row r="432" spans="1:13" x14ac:dyDescent="0.25">
      <c r="A432" t="s">
        <v>475</v>
      </c>
      <c r="B432" s="3">
        <v>45449.50277777778</v>
      </c>
      <c r="C432" s="2" t="s">
        <v>19</v>
      </c>
      <c r="D432" s="2" t="s">
        <v>20</v>
      </c>
      <c r="E432" t="s">
        <v>28</v>
      </c>
      <c r="F432">
        <v>3859</v>
      </c>
      <c r="G432" s="2" t="s">
        <v>34</v>
      </c>
      <c r="H432" t="s">
        <v>62</v>
      </c>
      <c r="I432">
        <v>2.9</v>
      </c>
      <c r="J432">
        <v>8.7999999999999995E-2</v>
      </c>
      <c r="K432">
        <v>0</v>
      </c>
      <c r="L432">
        <v>0</v>
      </c>
      <c r="M432">
        <v>0</v>
      </c>
    </row>
    <row r="433" spans="1:13" x14ac:dyDescent="0.25">
      <c r="A433" t="s">
        <v>476</v>
      </c>
      <c r="B433" s="3">
        <v>45449.625694444447</v>
      </c>
      <c r="C433" s="2" t="s">
        <v>31</v>
      </c>
      <c r="D433" s="2" t="s">
        <v>32</v>
      </c>
      <c r="E433" t="s">
        <v>15</v>
      </c>
      <c r="F433">
        <v>2291.58</v>
      </c>
      <c r="G433" s="2" t="s">
        <v>22</v>
      </c>
      <c r="H433"/>
      <c r="I433">
        <v>2.5</v>
      </c>
      <c r="J433">
        <v>1.17</v>
      </c>
      <c r="K433">
        <v>67.029299999999992</v>
      </c>
      <c r="L433">
        <v>2614.1192999999998</v>
      </c>
      <c r="M433">
        <v>2681.1486</v>
      </c>
    </row>
    <row r="434" spans="1:13" x14ac:dyDescent="0.25">
      <c r="A434" t="s">
        <v>477</v>
      </c>
      <c r="B434" s="3">
        <v>45450.105555555558</v>
      </c>
      <c r="C434" s="2" t="s">
        <v>24</v>
      </c>
      <c r="D434" s="2" t="s">
        <v>25</v>
      </c>
      <c r="E434" t="s">
        <v>44</v>
      </c>
      <c r="F434">
        <v>1640.48</v>
      </c>
      <c r="G434" s="2" t="s">
        <v>17</v>
      </c>
      <c r="H434"/>
      <c r="I434">
        <v>2.1</v>
      </c>
      <c r="J434">
        <v>1</v>
      </c>
      <c r="K434">
        <v>0</v>
      </c>
      <c r="L434">
        <v>0</v>
      </c>
      <c r="M434">
        <v>0</v>
      </c>
    </row>
    <row r="435" spans="1:13" x14ac:dyDescent="0.25">
      <c r="A435" t="s">
        <v>478</v>
      </c>
      <c r="B435" s="3">
        <v>45450.217361111114</v>
      </c>
      <c r="C435" s="2" t="s">
        <v>37</v>
      </c>
      <c r="D435" s="2" t="s">
        <v>38</v>
      </c>
      <c r="E435" t="s">
        <v>15</v>
      </c>
      <c r="F435">
        <v>1140.45</v>
      </c>
      <c r="G435" s="2" t="s">
        <v>22</v>
      </c>
      <c r="H435"/>
      <c r="I435">
        <v>2.5</v>
      </c>
      <c r="J435">
        <v>0.23</v>
      </c>
      <c r="K435">
        <v>6.5573000000000006</v>
      </c>
      <c r="L435">
        <v>255.74620000000002</v>
      </c>
      <c r="M435">
        <v>262.30350000000004</v>
      </c>
    </row>
    <row r="436" spans="1:13" x14ac:dyDescent="0.25">
      <c r="A436" t="s">
        <v>479</v>
      </c>
      <c r="B436" s="3">
        <v>45450.935416666667</v>
      </c>
      <c r="C436" s="2" t="s">
        <v>24</v>
      </c>
      <c r="D436" s="2" t="s">
        <v>25</v>
      </c>
      <c r="E436" t="s">
        <v>28</v>
      </c>
      <c r="F436">
        <v>440.2</v>
      </c>
      <c r="G436" s="2" t="s">
        <v>34</v>
      </c>
      <c r="H436" t="s">
        <v>78</v>
      </c>
      <c r="I436">
        <v>2.9</v>
      </c>
      <c r="J436">
        <v>1</v>
      </c>
      <c r="K436">
        <v>0</v>
      </c>
      <c r="L436">
        <v>0</v>
      </c>
      <c r="M436">
        <v>0</v>
      </c>
    </row>
    <row r="437" spans="1:13" x14ac:dyDescent="0.25">
      <c r="A437" t="s">
        <v>480</v>
      </c>
      <c r="B437" s="3">
        <v>45450.947916666664</v>
      </c>
      <c r="C437" s="2" t="s">
        <v>13</v>
      </c>
      <c r="D437" s="2" t="s">
        <v>14</v>
      </c>
      <c r="E437" t="s">
        <v>44</v>
      </c>
      <c r="F437">
        <v>4978.47</v>
      </c>
      <c r="G437" s="2" t="s">
        <v>22</v>
      </c>
      <c r="H437"/>
      <c r="I437">
        <v>2.1</v>
      </c>
      <c r="J437">
        <v>8.7999999999999995E-2</v>
      </c>
      <c r="K437">
        <v>9.2003999999999984</v>
      </c>
      <c r="L437">
        <v>428.90495999999996</v>
      </c>
      <c r="M437">
        <v>438.10535999999996</v>
      </c>
    </row>
    <row r="438" spans="1:13" x14ac:dyDescent="0.25">
      <c r="A438" t="s">
        <v>481</v>
      </c>
      <c r="B438" s="3">
        <v>45451.932638888888</v>
      </c>
      <c r="C438" s="2" t="s">
        <v>27</v>
      </c>
      <c r="D438" s="2" t="s">
        <v>25</v>
      </c>
      <c r="E438" t="s">
        <v>15</v>
      </c>
      <c r="F438">
        <v>2620.37</v>
      </c>
      <c r="G438" s="2" t="s">
        <v>22</v>
      </c>
      <c r="H438"/>
      <c r="I438">
        <v>2.5</v>
      </c>
      <c r="J438">
        <v>1</v>
      </c>
      <c r="K438">
        <v>65.510000000000005</v>
      </c>
      <c r="L438">
        <v>2554.86</v>
      </c>
      <c r="M438">
        <v>2620.3700000000003</v>
      </c>
    </row>
    <row r="439" spans="1:13" x14ac:dyDescent="0.25">
      <c r="A439" t="s">
        <v>482</v>
      </c>
      <c r="B439" s="3">
        <v>45453.083333333336</v>
      </c>
      <c r="C439" s="2" t="s">
        <v>43</v>
      </c>
      <c r="D439" s="2" t="s">
        <v>25</v>
      </c>
      <c r="E439" t="s">
        <v>33</v>
      </c>
      <c r="F439">
        <v>4980.5200000000004</v>
      </c>
      <c r="G439" s="2" t="s">
        <v>22</v>
      </c>
      <c r="H439"/>
      <c r="I439">
        <v>1.9</v>
      </c>
      <c r="J439">
        <v>1</v>
      </c>
      <c r="K439">
        <v>94.63</v>
      </c>
      <c r="L439">
        <v>4885.8900000000003</v>
      </c>
      <c r="M439">
        <v>4980.5200000000004</v>
      </c>
    </row>
    <row r="440" spans="1:13" x14ac:dyDescent="0.25">
      <c r="A440" t="s">
        <v>483</v>
      </c>
      <c r="B440" s="3">
        <v>45453.146527777775</v>
      </c>
      <c r="C440" s="2" t="s">
        <v>60</v>
      </c>
      <c r="D440" s="2" t="s">
        <v>25</v>
      </c>
      <c r="E440" t="s">
        <v>28</v>
      </c>
      <c r="F440">
        <v>2067.5700000000002</v>
      </c>
      <c r="G440" s="2" t="s">
        <v>17</v>
      </c>
      <c r="H440"/>
      <c r="I440">
        <v>2.9</v>
      </c>
      <c r="J440">
        <v>1</v>
      </c>
      <c r="K440">
        <v>0</v>
      </c>
      <c r="L440">
        <v>0</v>
      </c>
      <c r="M440">
        <v>0</v>
      </c>
    </row>
    <row r="441" spans="1:13" x14ac:dyDescent="0.25">
      <c r="A441" t="s">
        <v>484</v>
      </c>
      <c r="B441" s="3">
        <v>45453.157638888886</v>
      </c>
      <c r="C441" s="2" t="s">
        <v>13</v>
      </c>
      <c r="D441" s="2" t="s">
        <v>14</v>
      </c>
      <c r="E441" t="s">
        <v>44</v>
      </c>
      <c r="F441">
        <v>1089.76</v>
      </c>
      <c r="G441" s="2" t="s">
        <v>34</v>
      </c>
      <c r="H441" t="s">
        <v>62</v>
      </c>
      <c r="I441">
        <v>2.1</v>
      </c>
      <c r="J441">
        <v>8.7999999999999995E-2</v>
      </c>
      <c r="K441">
        <v>0</v>
      </c>
      <c r="L441">
        <v>0</v>
      </c>
      <c r="M441">
        <v>0</v>
      </c>
    </row>
    <row r="442" spans="1:13" x14ac:dyDescent="0.25">
      <c r="A442" t="s">
        <v>485</v>
      </c>
      <c r="B442" s="3">
        <v>45453.722222222219</v>
      </c>
      <c r="C442" s="2" t="s">
        <v>37</v>
      </c>
      <c r="D442" s="2" t="s">
        <v>38</v>
      </c>
      <c r="E442" t="s">
        <v>15</v>
      </c>
      <c r="F442">
        <v>4132.51</v>
      </c>
      <c r="G442" s="2" t="s">
        <v>22</v>
      </c>
      <c r="H442"/>
      <c r="I442">
        <v>2.5</v>
      </c>
      <c r="J442">
        <v>0.23</v>
      </c>
      <c r="K442">
        <v>23.761300000000002</v>
      </c>
      <c r="L442">
        <v>926.71600000000001</v>
      </c>
      <c r="M442">
        <v>950.47730000000001</v>
      </c>
    </row>
    <row r="443" spans="1:13" x14ac:dyDescent="0.25">
      <c r="A443" t="s">
        <v>486</v>
      </c>
      <c r="B443" s="3">
        <v>45453.910416666666</v>
      </c>
      <c r="C443" s="2" t="s">
        <v>47</v>
      </c>
      <c r="D443" s="2" t="s">
        <v>25</v>
      </c>
      <c r="E443" t="s">
        <v>39</v>
      </c>
      <c r="F443">
        <v>488.21</v>
      </c>
      <c r="G443" s="2" t="s">
        <v>17</v>
      </c>
      <c r="H443"/>
      <c r="I443">
        <v>3.2</v>
      </c>
      <c r="J443">
        <v>1</v>
      </c>
      <c r="K443">
        <v>0</v>
      </c>
      <c r="L443">
        <v>0</v>
      </c>
      <c r="M443">
        <v>0</v>
      </c>
    </row>
    <row r="444" spans="1:13" x14ac:dyDescent="0.25">
      <c r="A444" t="s">
        <v>487</v>
      </c>
      <c r="B444" s="3">
        <v>45453.916666666664</v>
      </c>
      <c r="C444" s="2" t="s">
        <v>60</v>
      </c>
      <c r="D444" s="2" t="s">
        <v>25</v>
      </c>
      <c r="E444" t="s">
        <v>44</v>
      </c>
      <c r="F444">
        <v>2909.23</v>
      </c>
      <c r="G444" s="2" t="s">
        <v>22</v>
      </c>
      <c r="H444"/>
      <c r="I444">
        <v>2.1</v>
      </c>
      <c r="J444">
        <v>1</v>
      </c>
      <c r="K444">
        <v>61.09</v>
      </c>
      <c r="L444">
        <v>2848.14</v>
      </c>
      <c r="M444">
        <v>2909.23</v>
      </c>
    </row>
    <row r="445" spans="1:13" x14ac:dyDescent="0.25">
      <c r="A445" t="s">
        <v>488</v>
      </c>
      <c r="B445" s="3">
        <v>45454.107638888891</v>
      </c>
      <c r="C445" s="2" t="s">
        <v>13</v>
      </c>
      <c r="D445" s="2" t="s">
        <v>14</v>
      </c>
      <c r="E445" t="s">
        <v>28</v>
      </c>
      <c r="F445">
        <v>1594.81</v>
      </c>
      <c r="G445" s="2" t="s">
        <v>22</v>
      </c>
      <c r="H445"/>
      <c r="I445">
        <v>2.9</v>
      </c>
      <c r="J445">
        <v>8.7999999999999995E-2</v>
      </c>
      <c r="K445">
        <v>4.0699999999999994</v>
      </c>
      <c r="L445">
        <v>136.27328</v>
      </c>
      <c r="M445">
        <v>140.34327999999999</v>
      </c>
    </row>
    <row r="446" spans="1:13" x14ac:dyDescent="0.25">
      <c r="A446" t="s">
        <v>489</v>
      </c>
      <c r="B446" s="3">
        <v>45454.595138888886</v>
      </c>
      <c r="C446" s="2" t="s">
        <v>24</v>
      </c>
      <c r="D446" s="2" t="s">
        <v>25</v>
      </c>
      <c r="E446" t="s">
        <v>28</v>
      </c>
      <c r="F446">
        <v>689.2</v>
      </c>
      <c r="G446" s="2" t="s">
        <v>17</v>
      </c>
      <c r="H446"/>
      <c r="I446">
        <v>2.9</v>
      </c>
      <c r="J446">
        <v>1</v>
      </c>
      <c r="K446">
        <v>0</v>
      </c>
      <c r="L446">
        <v>0</v>
      </c>
      <c r="M446">
        <v>0</v>
      </c>
    </row>
    <row r="447" spans="1:13" x14ac:dyDescent="0.25">
      <c r="A447" t="s">
        <v>490</v>
      </c>
      <c r="B447" s="3">
        <v>45454.755555555559</v>
      </c>
      <c r="C447" s="2" t="s">
        <v>43</v>
      </c>
      <c r="D447" s="2" t="s">
        <v>25</v>
      </c>
      <c r="E447" t="s">
        <v>39</v>
      </c>
      <c r="F447">
        <v>930.64</v>
      </c>
      <c r="G447" s="2" t="s">
        <v>17</v>
      </c>
      <c r="H447"/>
      <c r="I447">
        <v>3.2</v>
      </c>
      <c r="J447">
        <v>1</v>
      </c>
      <c r="K447">
        <v>0</v>
      </c>
      <c r="L447">
        <v>0</v>
      </c>
      <c r="M447">
        <v>0</v>
      </c>
    </row>
    <row r="448" spans="1:13" x14ac:dyDescent="0.25">
      <c r="A448" t="s">
        <v>491</v>
      </c>
      <c r="B448" s="3">
        <v>45455.55972222222</v>
      </c>
      <c r="C448" s="2" t="s">
        <v>47</v>
      </c>
      <c r="D448" s="2" t="s">
        <v>25</v>
      </c>
      <c r="E448" t="s">
        <v>15</v>
      </c>
      <c r="F448">
        <v>768.27</v>
      </c>
      <c r="G448" s="2" t="s">
        <v>22</v>
      </c>
      <c r="H448"/>
      <c r="I448">
        <v>2.5</v>
      </c>
      <c r="J448">
        <v>1</v>
      </c>
      <c r="K448">
        <v>19.21</v>
      </c>
      <c r="L448">
        <v>749.06</v>
      </c>
      <c r="M448">
        <v>768.27</v>
      </c>
    </row>
    <row r="449" spans="1:13" x14ac:dyDescent="0.25">
      <c r="A449" t="s">
        <v>492</v>
      </c>
      <c r="B449" s="3">
        <v>45455.604166666664</v>
      </c>
      <c r="C449" s="2" t="s">
        <v>27</v>
      </c>
      <c r="D449" s="2" t="s">
        <v>25</v>
      </c>
      <c r="E449" t="s">
        <v>39</v>
      </c>
      <c r="F449">
        <v>3440.46</v>
      </c>
      <c r="G449" s="2" t="s">
        <v>22</v>
      </c>
      <c r="H449"/>
      <c r="I449">
        <v>3.2</v>
      </c>
      <c r="J449">
        <v>1</v>
      </c>
      <c r="K449">
        <v>110.09</v>
      </c>
      <c r="L449">
        <v>3330.37</v>
      </c>
      <c r="M449">
        <v>3440.46</v>
      </c>
    </row>
    <row r="450" spans="1:13" x14ac:dyDescent="0.25">
      <c r="A450" t="s">
        <v>493</v>
      </c>
      <c r="B450" s="3">
        <v>45455.73333333333</v>
      </c>
      <c r="C450" s="2" t="s">
        <v>27</v>
      </c>
      <c r="D450" s="2" t="s">
        <v>25</v>
      </c>
      <c r="E450" t="s">
        <v>39</v>
      </c>
      <c r="F450">
        <v>3491.87</v>
      </c>
      <c r="G450" s="2" t="s">
        <v>22</v>
      </c>
      <c r="H450"/>
      <c r="I450">
        <v>3.2</v>
      </c>
      <c r="J450">
        <v>1</v>
      </c>
      <c r="K450">
        <v>111.74</v>
      </c>
      <c r="L450">
        <v>3380.13</v>
      </c>
      <c r="M450">
        <v>3491.87</v>
      </c>
    </row>
    <row r="451" spans="1:13" x14ac:dyDescent="0.25">
      <c r="A451" t="s">
        <v>494</v>
      </c>
      <c r="B451" s="3">
        <v>45455.93472222222</v>
      </c>
      <c r="C451" s="2" t="s">
        <v>58</v>
      </c>
      <c r="D451" s="2" t="s">
        <v>25</v>
      </c>
      <c r="E451" t="s">
        <v>44</v>
      </c>
      <c r="F451">
        <v>1888.54</v>
      </c>
      <c r="G451" s="2" t="s">
        <v>17</v>
      </c>
      <c r="H451"/>
      <c r="I451">
        <v>2.1</v>
      </c>
      <c r="J451">
        <v>1</v>
      </c>
      <c r="K451">
        <v>0</v>
      </c>
      <c r="L451">
        <v>0</v>
      </c>
      <c r="M451">
        <v>0</v>
      </c>
    </row>
    <row r="452" spans="1:13" x14ac:dyDescent="0.25">
      <c r="A452" t="s">
        <v>495</v>
      </c>
      <c r="B452" s="3">
        <v>45456.283333333333</v>
      </c>
      <c r="C452" s="2" t="s">
        <v>60</v>
      </c>
      <c r="D452" s="2" t="s">
        <v>25</v>
      </c>
      <c r="E452" t="s">
        <v>33</v>
      </c>
      <c r="F452">
        <v>1684.16</v>
      </c>
      <c r="G452" s="2" t="s">
        <v>22</v>
      </c>
      <c r="H452"/>
      <c r="I452">
        <v>1.9</v>
      </c>
      <c r="J452">
        <v>1</v>
      </c>
      <c r="K452">
        <v>32</v>
      </c>
      <c r="L452">
        <v>1652.16</v>
      </c>
      <c r="M452">
        <v>1684.16</v>
      </c>
    </row>
    <row r="453" spans="1:13" x14ac:dyDescent="0.25">
      <c r="A453" t="s">
        <v>496</v>
      </c>
      <c r="B453" s="3">
        <v>45456.675000000003</v>
      </c>
      <c r="C453" s="2" t="s">
        <v>60</v>
      </c>
      <c r="D453" s="2" t="s">
        <v>25</v>
      </c>
      <c r="E453" t="s">
        <v>28</v>
      </c>
      <c r="F453">
        <v>1139.07</v>
      </c>
      <c r="G453" s="2" t="s">
        <v>22</v>
      </c>
      <c r="H453"/>
      <c r="I453">
        <v>2.9</v>
      </c>
      <c r="J453">
        <v>1</v>
      </c>
      <c r="K453">
        <v>33.03</v>
      </c>
      <c r="L453">
        <v>1106.04</v>
      </c>
      <c r="M453">
        <v>1139.07</v>
      </c>
    </row>
    <row r="454" spans="1:13" x14ac:dyDescent="0.25">
      <c r="A454" t="s">
        <v>497</v>
      </c>
      <c r="B454" s="3">
        <v>45457.328472222223</v>
      </c>
      <c r="C454" s="2" t="s">
        <v>31</v>
      </c>
      <c r="D454" s="2" t="s">
        <v>32</v>
      </c>
      <c r="E454" t="s">
        <v>39</v>
      </c>
      <c r="F454">
        <v>1226.8800000000001</v>
      </c>
      <c r="G454" s="2" t="s">
        <v>34</v>
      </c>
      <c r="H454" t="s">
        <v>100</v>
      </c>
      <c r="I454">
        <v>3.2</v>
      </c>
      <c r="J454">
        <v>1.17</v>
      </c>
      <c r="K454">
        <v>0</v>
      </c>
      <c r="L454">
        <v>0</v>
      </c>
      <c r="M454">
        <v>0</v>
      </c>
    </row>
    <row r="455" spans="1:13" x14ac:dyDescent="0.25">
      <c r="A455" t="s">
        <v>498</v>
      </c>
      <c r="B455" s="3">
        <v>45458.054166666669</v>
      </c>
      <c r="C455" s="2" t="s">
        <v>37</v>
      </c>
      <c r="D455" s="2" t="s">
        <v>38</v>
      </c>
      <c r="E455" t="s">
        <v>39</v>
      </c>
      <c r="F455">
        <v>736.39</v>
      </c>
      <c r="G455" s="2" t="s">
        <v>17</v>
      </c>
      <c r="H455"/>
      <c r="I455">
        <v>3.2</v>
      </c>
      <c r="J455">
        <v>0.23</v>
      </c>
      <c r="K455">
        <v>0</v>
      </c>
      <c r="L455">
        <v>0</v>
      </c>
      <c r="M455">
        <v>0</v>
      </c>
    </row>
    <row r="456" spans="1:13" x14ac:dyDescent="0.25">
      <c r="A456" t="s">
        <v>499</v>
      </c>
      <c r="B456" s="3">
        <v>45458.632638888892</v>
      </c>
      <c r="C456" s="2" t="s">
        <v>43</v>
      </c>
      <c r="D456" s="2" t="s">
        <v>25</v>
      </c>
      <c r="E456" t="s">
        <v>33</v>
      </c>
      <c r="F456">
        <v>2980.2</v>
      </c>
      <c r="G456" s="2" t="s">
        <v>22</v>
      </c>
      <c r="H456"/>
      <c r="I456">
        <v>1.9</v>
      </c>
      <c r="J456">
        <v>1</v>
      </c>
      <c r="K456">
        <v>56.62</v>
      </c>
      <c r="L456">
        <v>2923.58</v>
      </c>
      <c r="M456">
        <v>2980.2</v>
      </c>
    </row>
    <row r="457" spans="1:13" x14ac:dyDescent="0.25">
      <c r="A457" t="s">
        <v>500</v>
      </c>
      <c r="B457" s="3">
        <v>45458.990277777775</v>
      </c>
      <c r="C457" s="2" t="s">
        <v>19</v>
      </c>
      <c r="D457" s="2" t="s">
        <v>20</v>
      </c>
      <c r="E457" t="s">
        <v>44</v>
      </c>
      <c r="F457">
        <v>4317.76</v>
      </c>
      <c r="G457" s="2" t="s">
        <v>22</v>
      </c>
      <c r="H457"/>
      <c r="I457">
        <v>2.1</v>
      </c>
      <c r="J457">
        <v>8.7999999999999995E-2</v>
      </c>
      <c r="K457">
        <v>7.9789599999999998</v>
      </c>
      <c r="L457">
        <v>371.98392000000001</v>
      </c>
      <c r="M457">
        <v>379.96287999999998</v>
      </c>
    </row>
    <row r="458" spans="1:13" x14ac:dyDescent="0.25">
      <c r="A458" t="s">
        <v>501</v>
      </c>
      <c r="B458" s="3">
        <v>45459.027777777781</v>
      </c>
      <c r="C458" s="2" t="s">
        <v>47</v>
      </c>
      <c r="D458" s="2" t="s">
        <v>25</v>
      </c>
      <c r="E458" t="s">
        <v>15</v>
      </c>
      <c r="F458">
        <v>1148.4100000000001</v>
      </c>
      <c r="G458" s="2" t="s">
        <v>17</v>
      </c>
      <c r="H458"/>
      <c r="I458">
        <v>2.5</v>
      </c>
      <c r="J458">
        <v>1</v>
      </c>
      <c r="K458">
        <v>0</v>
      </c>
      <c r="L458">
        <v>0</v>
      </c>
      <c r="M458">
        <v>0</v>
      </c>
    </row>
    <row r="459" spans="1:13" x14ac:dyDescent="0.25">
      <c r="A459" t="s">
        <v>502</v>
      </c>
      <c r="B459" s="3">
        <v>45459.567361111112</v>
      </c>
      <c r="C459" s="2" t="s">
        <v>24</v>
      </c>
      <c r="D459" s="2" t="s">
        <v>25</v>
      </c>
      <c r="E459" t="s">
        <v>33</v>
      </c>
      <c r="F459">
        <v>4569.6400000000003</v>
      </c>
      <c r="G459" s="2" t="s">
        <v>22</v>
      </c>
      <c r="H459"/>
      <c r="I459">
        <v>1.9</v>
      </c>
      <c r="J459">
        <v>1</v>
      </c>
      <c r="K459">
        <v>86.82</v>
      </c>
      <c r="L459">
        <v>4482.82</v>
      </c>
      <c r="M459">
        <v>4569.6399999999994</v>
      </c>
    </row>
    <row r="460" spans="1:13" x14ac:dyDescent="0.25">
      <c r="A460" t="s">
        <v>503</v>
      </c>
      <c r="B460" s="3">
        <v>45459.692361111112</v>
      </c>
      <c r="C460" s="2" t="s">
        <v>24</v>
      </c>
      <c r="D460" s="2" t="s">
        <v>25</v>
      </c>
      <c r="E460" t="s">
        <v>39</v>
      </c>
      <c r="F460">
        <v>498.96</v>
      </c>
      <c r="G460" s="2" t="s">
        <v>34</v>
      </c>
      <c r="H460" t="s">
        <v>55</v>
      </c>
      <c r="I460">
        <v>3.2</v>
      </c>
      <c r="J460">
        <v>1</v>
      </c>
      <c r="K460">
        <v>0</v>
      </c>
      <c r="L460">
        <v>0</v>
      </c>
      <c r="M460">
        <v>0</v>
      </c>
    </row>
    <row r="461" spans="1:13" x14ac:dyDescent="0.25">
      <c r="A461" t="s">
        <v>504</v>
      </c>
      <c r="B461" s="3">
        <v>45460.149305555555</v>
      </c>
      <c r="C461" s="2" t="s">
        <v>58</v>
      </c>
      <c r="D461" s="2" t="s">
        <v>25</v>
      </c>
      <c r="E461" t="s">
        <v>39</v>
      </c>
      <c r="F461">
        <v>3621.43</v>
      </c>
      <c r="G461" s="2" t="s">
        <v>17</v>
      </c>
      <c r="H461"/>
      <c r="I461">
        <v>3.2</v>
      </c>
      <c r="J461">
        <v>1</v>
      </c>
      <c r="K461">
        <v>0</v>
      </c>
      <c r="L461">
        <v>0</v>
      </c>
      <c r="M461">
        <v>0</v>
      </c>
    </row>
    <row r="462" spans="1:13" x14ac:dyDescent="0.25">
      <c r="A462" t="s">
        <v>505</v>
      </c>
      <c r="B462" s="3">
        <v>45461.291666666664</v>
      </c>
      <c r="C462" s="2" t="s">
        <v>60</v>
      </c>
      <c r="D462" s="2" t="s">
        <v>25</v>
      </c>
      <c r="E462" t="s">
        <v>28</v>
      </c>
      <c r="F462">
        <v>4177.8100000000004</v>
      </c>
      <c r="G462" s="2" t="s">
        <v>34</v>
      </c>
      <c r="H462" t="s">
        <v>35</v>
      </c>
      <c r="I462">
        <v>2.9</v>
      </c>
      <c r="J462">
        <v>1</v>
      </c>
      <c r="K462">
        <v>0</v>
      </c>
      <c r="L462">
        <v>0</v>
      </c>
      <c r="M462">
        <v>0</v>
      </c>
    </row>
    <row r="463" spans="1:13" x14ac:dyDescent="0.25">
      <c r="A463" t="s">
        <v>506</v>
      </c>
      <c r="B463" s="3">
        <v>45461.488888888889</v>
      </c>
      <c r="C463" s="2" t="s">
        <v>43</v>
      </c>
      <c r="D463" s="2" t="s">
        <v>25</v>
      </c>
      <c r="E463" t="s">
        <v>39</v>
      </c>
      <c r="F463">
        <v>1264.5</v>
      </c>
      <c r="G463" s="2" t="s">
        <v>22</v>
      </c>
      <c r="H463"/>
      <c r="I463">
        <v>3.2</v>
      </c>
      <c r="J463">
        <v>1</v>
      </c>
      <c r="K463">
        <v>40.46</v>
      </c>
      <c r="L463">
        <v>1224.04</v>
      </c>
      <c r="M463">
        <v>1264.5</v>
      </c>
    </row>
    <row r="464" spans="1:13" x14ac:dyDescent="0.25">
      <c r="A464" t="s">
        <v>507</v>
      </c>
      <c r="B464" s="3">
        <v>45462.109027777777</v>
      </c>
      <c r="C464" s="2" t="s">
        <v>27</v>
      </c>
      <c r="D464" s="2" t="s">
        <v>25</v>
      </c>
      <c r="E464" t="s">
        <v>39</v>
      </c>
      <c r="F464">
        <v>4838.8100000000004</v>
      </c>
      <c r="G464" s="2" t="s">
        <v>34</v>
      </c>
      <c r="H464" t="s">
        <v>35</v>
      </c>
      <c r="I464">
        <v>3.2</v>
      </c>
      <c r="J464">
        <v>1</v>
      </c>
      <c r="K464">
        <v>0</v>
      </c>
      <c r="L464">
        <v>0</v>
      </c>
      <c r="M464">
        <v>0</v>
      </c>
    </row>
    <row r="465" spans="1:13" x14ac:dyDescent="0.25">
      <c r="A465" t="s">
        <v>508</v>
      </c>
      <c r="B465" s="3">
        <v>45462.642361111109</v>
      </c>
      <c r="C465" s="2" t="s">
        <v>27</v>
      </c>
      <c r="D465" s="2" t="s">
        <v>25</v>
      </c>
      <c r="E465" t="s">
        <v>28</v>
      </c>
      <c r="F465">
        <v>3424.71</v>
      </c>
      <c r="G465" s="2" t="s">
        <v>22</v>
      </c>
      <c r="H465"/>
      <c r="I465">
        <v>2.9</v>
      </c>
      <c r="J465">
        <v>1</v>
      </c>
      <c r="K465">
        <v>99.32</v>
      </c>
      <c r="L465">
        <v>3325.39</v>
      </c>
      <c r="M465">
        <v>3424.71</v>
      </c>
    </row>
    <row r="466" spans="1:13" x14ac:dyDescent="0.25">
      <c r="A466" t="s">
        <v>509</v>
      </c>
      <c r="B466" s="3">
        <v>45463.395138888889</v>
      </c>
      <c r="C466" s="2" t="s">
        <v>13</v>
      </c>
      <c r="D466" s="2" t="s">
        <v>14</v>
      </c>
      <c r="E466" t="s">
        <v>33</v>
      </c>
      <c r="F466">
        <v>4447.41</v>
      </c>
      <c r="G466" s="2" t="s">
        <v>22</v>
      </c>
      <c r="H466"/>
      <c r="I466">
        <v>1.9</v>
      </c>
      <c r="J466">
        <v>8.7999999999999995E-2</v>
      </c>
      <c r="K466">
        <v>7.4359999999999999</v>
      </c>
      <c r="L466">
        <v>383.93607999999995</v>
      </c>
      <c r="M466">
        <v>391.37207999999993</v>
      </c>
    </row>
    <row r="467" spans="1:13" x14ac:dyDescent="0.25">
      <c r="A467" t="s">
        <v>510</v>
      </c>
      <c r="B467" s="3">
        <v>45465.145138888889</v>
      </c>
      <c r="C467" s="2" t="s">
        <v>31</v>
      </c>
      <c r="D467" s="2" t="s">
        <v>32</v>
      </c>
      <c r="E467" t="s">
        <v>44</v>
      </c>
      <c r="F467">
        <v>4302.1000000000004</v>
      </c>
      <c r="G467" s="2" t="s">
        <v>34</v>
      </c>
      <c r="H467" t="s">
        <v>100</v>
      </c>
      <c r="I467">
        <v>2.1</v>
      </c>
      <c r="J467">
        <v>1.17</v>
      </c>
      <c r="K467">
        <v>0</v>
      </c>
      <c r="L467">
        <v>0</v>
      </c>
      <c r="M467">
        <v>0</v>
      </c>
    </row>
    <row r="468" spans="1:13" x14ac:dyDescent="0.25">
      <c r="A468" t="s">
        <v>511</v>
      </c>
      <c r="B468" s="3">
        <v>45465.73541666667</v>
      </c>
      <c r="C468" s="2" t="s">
        <v>60</v>
      </c>
      <c r="D468" s="2" t="s">
        <v>25</v>
      </c>
      <c r="E468" t="s">
        <v>44</v>
      </c>
      <c r="F468">
        <v>4823.21</v>
      </c>
      <c r="G468" s="2" t="s">
        <v>22</v>
      </c>
      <c r="H468"/>
      <c r="I468">
        <v>2.1</v>
      </c>
      <c r="J468">
        <v>1</v>
      </c>
      <c r="K468">
        <v>101.29</v>
      </c>
      <c r="L468">
        <v>4721.92</v>
      </c>
      <c r="M468">
        <v>4823.21</v>
      </c>
    </row>
    <row r="469" spans="1:13" x14ac:dyDescent="0.25">
      <c r="A469" t="s">
        <v>512</v>
      </c>
      <c r="B469" s="3">
        <v>45466.224305555559</v>
      </c>
      <c r="C469" s="2" t="s">
        <v>47</v>
      </c>
      <c r="D469" s="2" t="s">
        <v>25</v>
      </c>
      <c r="E469" t="s">
        <v>39</v>
      </c>
      <c r="F469">
        <v>2985.16</v>
      </c>
      <c r="G469" s="2" t="s">
        <v>22</v>
      </c>
      <c r="H469"/>
      <c r="I469">
        <v>3.2</v>
      </c>
      <c r="J469">
        <v>1</v>
      </c>
      <c r="K469">
        <v>95.53</v>
      </c>
      <c r="L469">
        <v>2889.63</v>
      </c>
      <c r="M469">
        <v>2985.1600000000003</v>
      </c>
    </row>
    <row r="470" spans="1:13" x14ac:dyDescent="0.25">
      <c r="A470" t="s">
        <v>513</v>
      </c>
      <c r="B470" s="3">
        <v>45466.495138888888</v>
      </c>
      <c r="C470" s="2" t="s">
        <v>47</v>
      </c>
      <c r="D470" s="2" t="s">
        <v>25</v>
      </c>
      <c r="E470" t="s">
        <v>33</v>
      </c>
      <c r="F470">
        <v>1875.71</v>
      </c>
      <c r="G470" s="2" t="s">
        <v>22</v>
      </c>
      <c r="H470"/>
      <c r="I470">
        <v>1.9</v>
      </c>
      <c r="J470">
        <v>1</v>
      </c>
      <c r="K470">
        <v>35.64</v>
      </c>
      <c r="L470">
        <v>1840.07</v>
      </c>
      <c r="M470">
        <v>1875.71</v>
      </c>
    </row>
    <row r="471" spans="1:13" x14ac:dyDescent="0.25">
      <c r="A471" t="s">
        <v>514</v>
      </c>
      <c r="B471" s="3">
        <v>45466.79791666667</v>
      </c>
      <c r="C471" s="2" t="s">
        <v>37</v>
      </c>
      <c r="D471" s="2" t="s">
        <v>38</v>
      </c>
      <c r="E471" t="s">
        <v>39</v>
      </c>
      <c r="F471">
        <v>4877.12</v>
      </c>
      <c r="G471" s="2" t="s">
        <v>22</v>
      </c>
      <c r="H471"/>
      <c r="I471">
        <v>3.2</v>
      </c>
      <c r="J471">
        <v>0.23</v>
      </c>
      <c r="K471">
        <v>35.896099999999997</v>
      </c>
      <c r="L471">
        <v>1085.8415</v>
      </c>
      <c r="M471">
        <v>1121.7375999999999</v>
      </c>
    </row>
    <row r="472" spans="1:13" x14ac:dyDescent="0.25">
      <c r="A472" t="s">
        <v>515</v>
      </c>
      <c r="B472" s="3">
        <v>45467.861805555556</v>
      </c>
      <c r="C472" s="2" t="s">
        <v>37</v>
      </c>
      <c r="D472" s="2" t="s">
        <v>38</v>
      </c>
      <c r="E472" t="s">
        <v>15</v>
      </c>
      <c r="F472">
        <v>3332.62</v>
      </c>
      <c r="G472" s="2" t="s">
        <v>17</v>
      </c>
      <c r="H472"/>
      <c r="I472">
        <v>2.5</v>
      </c>
      <c r="J472">
        <v>0.23</v>
      </c>
      <c r="K472">
        <v>0</v>
      </c>
      <c r="L472">
        <v>0</v>
      </c>
      <c r="M472">
        <v>0</v>
      </c>
    </row>
    <row r="473" spans="1:13" x14ac:dyDescent="0.25">
      <c r="A473" t="s">
        <v>516</v>
      </c>
      <c r="B473" s="3">
        <v>45468.018055555556</v>
      </c>
      <c r="C473" s="2" t="s">
        <v>31</v>
      </c>
      <c r="D473" s="2" t="s">
        <v>32</v>
      </c>
      <c r="E473" t="s">
        <v>39</v>
      </c>
      <c r="F473">
        <v>1002.8</v>
      </c>
      <c r="G473" s="2" t="s">
        <v>17</v>
      </c>
      <c r="H473"/>
      <c r="I473">
        <v>3.2</v>
      </c>
      <c r="J473">
        <v>1.17</v>
      </c>
      <c r="K473">
        <v>0</v>
      </c>
      <c r="L473">
        <v>0</v>
      </c>
      <c r="M473">
        <v>0</v>
      </c>
    </row>
    <row r="474" spans="1:13" x14ac:dyDescent="0.25">
      <c r="A474" t="s">
        <v>517</v>
      </c>
      <c r="B474" s="3">
        <v>45468.109027777777</v>
      </c>
      <c r="C474" s="2" t="s">
        <v>60</v>
      </c>
      <c r="D474" s="2" t="s">
        <v>25</v>
      </c>
      <c r="E474" t="s">
        <v>33</v>
      </c>
      <c r="F474">
        <v>2026.95</v>
      </c>
      <c r="G474" s="2" t="s">
        <v>22</v>
      </c>
      <c r="H474"/>
      <c r="I474">
        <v>1.9</v>
      </c>
      <c r="J474">
        <v>1</v>
      </c>
      <c r="K474">
        <v>38.51</v>
      </c>
      <c r="L474">
        <v>1988.44</v>
      </c>
      <c r="M474">
        <v>2026.95</v>
      </c>
    </row>
    <row r="475" spans="1:13" x14ac:dyDescent="0.25">
      <c r="A475" t="s">
        <v>518</v>
      </c>
      <c r="B475" s="3">
        <v>45468.323611111111</v>
      </c>
      <c r="C475" s="2" t="s">
        <v>31</v>
      </c>
      <c r="D475" s="2" t="s">
        <v>32</v>
      </c>
      <c r="E475" t="s">
        <v>33</v>
      </c>
      <c r="F475">
        <v>675.71</v>
      </c>
      <c r="G475" s="2" t="s">
        <v>22</v>
      </c>
      <c r="H475"/>
      <c r="I475">
        <v>1.9</v>
      </c>
      <c r="J475">
        <v>1.17</v>
      </c>
      <c r="K475">
        <v>15.022799999999998</v>
      </c>
      <c r="L475">
        <v>775.5578999999999</v>
      </c>
      <c r="M475">
        <v>790.58069999999987</v>
      </c>
    </row>
    <row r="476" spans="1:13" x14ac:dyDescent="0.25">
      <c r="A476" t="s">
        <v>519</v>
      </c>
      <c r="B476" s="3">
        <v>45468.395833333336</v>
      </c>
      <c r="C476" s="2" t="s">
        <v>13</v>
      </c>
      <c r="D476" s="2" t="s">
        <v>14</v>
      </c>
      <c r="E476" t="s">
        <v>28</v>
      </c>
      <c r="F476">
        <v>4735.32</v>
      </c>
      <c r="G476" s="2" t="s">
        <v>34</v>
      </c>
      <c r="H476" t="s">
        <v>62</v>
      </c>
      <c r="I476">
        <v>2.9</v>
      </c>
      <c r="J476">
        <v>8.7999999999999995E-2</v>
      </c>
      <c r="K476">
        <v>0</v>
      </c>
      <c r="L476">
        <v>0</v>
      </c>
      <c r="M476">
        <v>0</v>
      </c>
    </row>
    <row r="477" spans="1:13" x14ac:dyDescent="0.25">
      <c r="A477" t="s">
        <v>520</v>
      </c>
      <c r="B477" s="3">
        <v>45469.904861111114</v>
      </c>
      <c r="C477" s="2" t="s">
        <v>58</v>
      </c>
      <c r="D477" s="2" t="s">
        <v>25</v>
      </c>
      <c r="E477" t="s">
        <v>44</v>
      </c>
      <c r="F477">
        <v>4461.3900000000003</v>
      </c>
      <c r="G477" s="2" t="s">
        <v>17</v>
      </c>
      <c r="H477"/>
      <c r="I477">
        <v>2.1</v>
      </c>
      <c r="J477">
        <v>1</v>
      </c>
      <c r="K477">
        <v>0</v>
      </c>
      <c r="L477">
        <v>0</v>
      </c>
      <c r="M477">
        <v>0</v>
      </c>
    </row>
    <row r="478" spans="1:13" x14ac:dyDescent="0.25">
      <c r="A478" t="s">
        <v>521</v>
      </c>
      <c r="B478" s="3">
        <v>45471.368055555555</v>
      </c>
      <c r="C478" s="2" t="s">
        <v>31</v>
      </c>
      <c r="D478" s="2" t="s">
        <v>32</v>
      </c>
      <c r="E478" t="s">
        <v>28</v>
      </c>
      <c r="F478">
        <v>1935.83</v>
      </c>
      <c r="G478" s="2" t="s">
        <v>34</v>
      </c>
      <c r="H478" t="s">
        <v>35</v>
      </c>
      <c r="I478">
        <v>2.9</v>
      </c>
      <c r="J478">
        <v>1.17</v>
      </c>
      <c r="K478">
        <v>0</v>
      </c>
      <c r="L478">
        <v>0</v>
      </c>
      <c r="M478">
        <v>0</v>
      </c>
    </row>
    <row r="479" spans="1:13" x14ac:dyDescent="0.25">
      <c r="A479" t="s">
        <v>522</v>
      </c>
      <c r="B479" s="3">
        <v>45471.394444444442</v>
      </c>
      <c r="C479" s="2" t="s">
        <v>13</v>
      </c>
      <c r="D479" s="2" t="s">
        <v>14</v>
      </c>
      <c r="E479" t="s">
        <v>28</v>
      </c>
      <c r="F479">
        <v>3641.99</v>
      </c>
      <c r="G479" s="2" t="s">
        <v>34</v>
      </c>
      <c r="H479" t="s">
        <v>55</v>
      </c>
      <c r="I479">
        <v>2.9</v>
      </c>
      <c r="J479">
        <v>8.7999999999999995E-2</v>
      </c>
      <c r="K479">
        <v>0</v>
      </c>
      <c r="L479">
        <v>0</v>
      </c>
      <c r="M479">
        <v>0</v>
      </c>
    </row>
    <row r="480" spans="1:13" x14ac:dyDescent="0.25">
      <c r="A480" t="s">
        <v>523</v>
      </c>
      <c r="B480" s="3">
        <v>45471.785416666666</v>
      </c>
      <c r="C480" s="2" t="s">
        <v>19</v>
      </c>
      <c r="D480" s="2" t="s">
        <v>20</v>
      </c>
      <c r="E480" t="s">
        <v>28</v>
      </c>
      <c r="F480">
        <v>678.08</v>
      </c>
      <c r="G480" s="2" t="s">
        <v>34</v>
      </c>
      <c r="H480" t="s">
        <v>35</v>
      </c>
      <c r="I480">
        <v>2.9</v>
      </c>
      <c r="J480">
        <v>8.7999999999999995E-2</v>
      </c>
      <c r="K480">
        <v>0</v>
      </c>
      <c r="L480">
        <v>0</v>
      </c>
      <c r="M480">
        <v>0</v>
      </c>
    </row>
    <row r="481" spans="1:13" x14ac:dyDescent="0.25">
      <c r="A481" t="s">
        <v>524</v>
      </c>
      <c r="B481" s="3">
        <v>45471.827777777777</v>
      </c>
      <c r="C481" s="2" t="s">
        <v>43</v>
      </c>
      <c r="D481" s="2" t="s">
        <v>25</v>
      </c>
      <c r="E481" t="s">
        <v>33</v>
      </c>
      <c r="F481">
        <v>2207.91</v>
      </c>
      <c r="G481" s="2" t="s">
        <v>22</v>
      </c>
      <c r="H481"/>
      <c r="I481">
        <v>1.9</v>
      </c>
      <c r="J481">
        <v>1</v>
      </c>
      <c r="K481">
        <v>41.95</v>
      </c>
      <c r="L481">
        <v>2165.96</v>
      </c>
      <c r="M481">
        <v>2207.91</v>
      </c>
    </row>
    <row r="482" spans="1:13" x14ac:dyDescent="0.25">
      <c r="A482" t="s">
        <v>525</v>
      </c>
      <c r="B482" s="3">
        <v>45472.387499999997</v>
      </c>
      <c r="C482" s="2" t="s">
        <v>27</v>
      </c>
      <c r="D482" s="2" t="s">
        <v>25</v>
      </c>
      <c r="E482" t="s">
        <v>28</v>
      </c>
      <c r="F482">
        <v>3749.63</v>
      </c>
      <c r="G482" s="2" t="s">
        <v>17</v>
      </c>
      <c r="H482"/>
      <c r="I482">
        <v>2.9</v>
      </c>
      <c r="J482">
        <v>1</v>
      </c>
      <c r="K482">
        <v>0</v>
      </c>
      <c r="L482">
        <v>0</v>
      </c>
      <c r="M482">
        <v>0</v>
      </c>
    </row>
    <row r="483" spans="1:13" x14ac:dyDescent="0.25">
      <c r="A483" t="s">
        <v>526</v>
      </c>
      <c r="B483" s="3">
        <v>45472.568055555559</v>
      </c>
      <c r="C483" s="2" t="s">
        <v>13</v>
      </c>
      <c r="D483" s="2" t="s">
        <v>14</v>
      </c>
      <c r="E483" t="s">
        <v>39</v>
      </c>
      <c r="F483">
        <v>3479.1</v>
      </c>
      <c r="G483" s="2" t="s">
        <v>22</v>
      </c>
      <c r="H483"/>
      <c r="I483">
        <v>3.2</v>
      </c>
      <c r="J483">
        <v>8.7999999999999995E-2</v>
      </c>
      <c r="K483">
        <v>9.7970399999999991</v>
      </c>
      <c r="L483">
        <v>296.36375999999996</v>
      </c>
      <c r="M483">
        <v>306.16079999999994</v>
      </c>
    </row>
    <row r="484" spans="1:13" x14ac:dyDescent="0.25">
      <c r="A484" t="s">
        <v>527</v>
      </c>
      <c r="B484" s="3">
        <v>45472.729166666664</v>
      </c>
      <c r="C484" s="2" t="s">
        <v>19</v>
      </c>
      <c r="D484" s="2" t="s">
        <v>20</v>
      </c>
      <c r="E484" t="s">
        <v>33</v>
      </c>
      <c r="F484">
        <v>3374.47</v>
      </c>
      <c r="G484" s="2" t="s">
        <v>17</v>
      </c>
      <c r="H484"/>
      <c r="I484">
        <v>1.9</v>
      </c>
      <c r="J484">
        <v>8.7999999999999995E-2</v>
      </c>
      <c r="K484">
        <v>0</v>
      </c>
      <c r="L484">
        <v>0</v>
      </c>
      <c r="M484">
        <v>0</v>
      </c>
    </row>
    <row r="485" spans="1:13" x14ac:dyDescent="0.25">
      <c r="A485" t="s">
        <v>528</v>
      </c>
      <c r="B485" s="3">
        <v>45472.892361111109</v>
      </c>
      <c r="C485" s="2" t="s">
        <v>58</v>
      </c>
      <c r="D485" s="2" t="s">
        <v>25</v>
      </c>
      <c r="E485" t="s">
        <v>33</v>
      </c>
      <c r="F485">
        <v>2593.54</v>
      </c>
      <c r="G485" s="2" t="s">
        <v>22</v>
      </c>
      <c r="H485"/>
      <c r="I485">
        <v>1.9</v>
      </c>
      <c r="J485">
        <v>1</v>
      </c>
      <c r="K485">
        <v>49.28</v>
      </c>
      <c r="L485">
        <v>2544.2600000000002</v>
      </c>
      <c r="M485">
        <v>2593.5400000000004</v>
      </c>
    </row>
    <row r="486" spans="1:13" x14ac:dyDescent="0.25">
      <c r="A486" t="s">
        <v>529</v>
      </c>
      <c r="B486" s="3">
        <v>45473.089583333334</v>
      </c>
      <c r="C486" s="2" t="s">
        <v>47</v>
      </c>
      <c r="D486" s="2" t="s">
        <v>25</v>
      </c>
      <c r="E486" t="s">
        <v>28</v>
      </c>
      <c r="F486">
        <v>4918.26</v>
      </c>
      <c r="G486" s="2" t="s">
        <v>17</v>
      </c>
      <c r="H486"/>
      <c r="I486">
        <v>2.9</v>
      </c>
      <c r="J486">
        <v>1</v>
      </c>
      <c r="K486">
        <v>0</v>
      </c>
      <c r="L486">
        <v>0</v>
      </c>
      <c r="M486">
        <v>0</v>
      </c>
    </row>
    <row r="487" spans="1:13" x14ac:dyDescent="0.25">
      <c r="A487" t="s">
        <v>530</v>
      </c>
      <c r="B487" s="3">
        <v>45474.097222222219</v>
      </c>
      <c r="C487" s="2" t="s">
        <v>60</v>
      </c>
      <c r="D487" s="2" t="s">
        <v>25</v>
      </c>
      <c r="E487" t="s">
        <v>33</v>
      </c>
      <c r="F487">
        <v>2921.32</v>
      </c>
      <c r="G487" s="2" t="s">
        <v>22</v>
      </c>
      <c r="H487"/>
      <c r="I487">
        <v>1.9</v>
      </c>
      <c r="J487">
        <v>1</v>
      </c>
      <c r="K487">
        <v>55.51</v>
      </c>
      <c r="L487">
        <v>2865.81</v>
      </c>
      <c r="M487">
        <v>2921.32</v>
      </c>
    </row>
    <row r="488" spans="1:13" x14ac:dyDescent="0.25">
      <c r="A488" t="s">
        <v>531</v>
      </c>
      <c r="B488" s="3">
        <v>45474.881944444445</v>
      </c>
      <c r="C488" s="2" t="s">
        <v>27</v>
      </c>
      <c r="D488" s="2" t="s">
        <v>25</v>
      </c>
      <c r="E488" t="s">
        <v>33</v>
      </c>
      <c r="F488">
        <v>4036.01</v>
      </c>
      <c r="G488" s="2" t="s">
        <v>22</v>
      </c>
      <c r="H488"/>
      <c r="I488">
        <v>1.9</v>
      </c>
      <c r="J488">
        <v>1</v>
      </c>
      <c r="K488">
        <v>76.680000000000007</v>
      </c>
      <c r="L488">
        <v>3959.33</v>
      </c>
      <c r="M488">
        <v>4036.0099999999998</v>
      </c>
    </row>
    <row r="489" spans="1:13" x14ac:dyDescent="0.25">
      <c r="A489" t="s">
        <v>532</v>
      </c>
      <c r="B489" s="3">
        <v>45475.61041666667</v>
      </c>
      <c r="C489" s="2" t="s">
        <v>47</v>
      </c>
      <c r="D489" s="2" t="s">
        <v>25</v>
      </c>
      <c r="E489" t="s">
        <v>28</v>
      </c>
      <c r="F489">
        <v>4076.67</v>
      </c>
      <c r="G489" s="2" t="s">
        <v>22</v>
      </c>
      <c r="H489"/>
      <c r="I489">
        <v>2.9</v>
      </c>
      <c r="J489">
        <v>1</v>
      </c>
      <c r="K489">
        <v>118.22</v>
      </c>
      <c r="L489">
        <v>3958.45</v>
      </c>
      <c r="M489">
        <v>4076.6699999999996</v>
      </c>
    </row>
    <row r="490" spans="1:13" x14ac:dyDescent="0.25">
      <c r="A490" t="s">
        <v>533</v>
      </c>
      <c r="B490" s="3">
        <v>45475.879166666666</v>
      </c>
      <c r="C490" s="2" t="s">
        <v>37</v>
      </c>
      <c r="D490" s="2" t="s">
        <v>38</v>
      </c>
      <c r="E490" t="s">
        <v>33</v>
      </c>
      <c r="F490">
        <v>2453.2199999999998</v>
      </c>
      <c r="G490" s="2" t="s">
        <v>34</v>
      </c>
      <c r="H490" t="s">
        <v>55</v>
      </c>
      <c r="I490">
        <v>1.9</v>
      </c>
      <c r="J490">
        <v>0.23</v>
      </c>
      <c r="K490">
        <v>0</v>
      </c>
      <c r="L490">
        <v>0</v>
      </c>
      <c r="M490">
        <v>0</v>
      </c>
    </row>
    <row r="491" spans="1:13" x14ac:dyDescent="0.25">
      <c r="A491" t="s">
        <v>534</v>
      </c>
      <c r="B491" s="3">
        <v>45475.93472222222</v>
      </c>
      <c r="C491" s="2" t="s">
        <v>47</v>
      </c>
      <c r="D491" s="2" t="s">
        <v>25</v>
      </c>
      <c r="E491" t="s">
        <v>44</v>
      </c>
      <c r="F491">
        <v>2745.21</v>
      </c>
      <c r="G491" s="2" t="s">
        <v>22</v>
      </c>
      <c r="H491"/>
      <c r="I491">
        <v>2.1</v>
      </c>
      <c r="J491">
        <v>1</v>
      </c>
      <c r="K491">
        <v>57.65</v>
      </c>
      <c r="L491">
        <v>2687.56</v>
      </c>
      <c r="M491">
        <v>2745.21</v>
      </c>
    </row>
    <row r="492" spans="1:13" x14ac:dyDescent="0.25">
      <c r="A492" t="s">
        <v>535</v>
      </c>
      <c r="B492" s="3">
        <v>45476.54791666667</v>
      </c>
      <c r="C492" s="2" t="s">
        <v>47</v>
      </c>
      <c r="D492" s="2" t="s">
        <v>25</v>
      </c>
      <c r="E492" t="s">
        <v>44</v>
      </c>
      <c r="F492">
        <v>67.900000000000006</v>
      </c>
      <c r="G492" s="2" t="s">
        <v>22</v>
      </c>
      <c r="H492"/>
      <c r="I492">
        <v>2.1</v>
      </c>
      <c r="J492">
        <v>1</v>
      </c>
      <c r="K492">
        <v>1.43</v>
      </c>
      <c r="L492">
        <v>66.47</v>
      </c>
      <c r="M492">
        <v>67.900000000000006</v>
      </c>
    </row>
    <row r="493" spans="1:13" x14ac:dyDescent="0.25">
      <c r="A493" t="s">
        <v>536</v>
      </c>
      <c r="B493" s="3">
        <v>45477.692361111112</v>
      </c>
      <c r="C493" s="2" t="s">
        <v>31</v>
      </c>
      <c r="D493" s="2" t="s">
        <v>32</v>
      </c>
      <c r="E493" t="s">
        <v>15</v>
      </c>
      <c r="F493">
        <v>1115.53</v>
      </c>
      <c r="G493" s="2" t="s">
        <v>17</v>
      </c>
      <c r="H493"/>
      <c r="I493">
        <v>2.5</v>
      </c>
      <c r="J493">
        <v>1.17</v>
      </c>
      <c r="K493">
        <v>0</v>
      </c>
      <c r="L493">
        <v>0</v>
      </c>
      <c r="M493">
        <v>0</v>
      </c>
    </row>
    <row r="494" spans="1:13" x14ac:dyDescent="0.25">
      <c r="A494" t="s">
        <v>537</v>
      </c>
      <c r="B494" s="3">
        <v>45477.822916666664</v>
      </c>
      <c r="C494" s="2" t="s">
        <v>31</v>
      </c>
      <c r="D494" s="2" t="s">
        <v>32</v>
      </c>
      <c r="E494" t="s">
        <v>44</v>
      </c>
      <c r="F494">
        <v>4057.75</v>
      </c>
      <c r="G494" s="2" t="s">
        <v>22</v>
      </c>
      <c r="H494"/>
      <c r="I494">
        <v>2.1</v>
      </c>
      <c r="J494">
        <v>1.17</v>
      </c>
      <c r="K494">
        <v>99.695699999999988</v>
      </c>
      <c r="L494">
        <v>4647.8717999999999</v>
      </c>
      <c r="M494">
        <v>4747.5675000000001</v>
      </c>
    </row>
    <row r="495" spans="1:13" x14ac:dyDescent="0.25">
      <c r="A495" t="s">
        <v>538</v>
      </c>
      <c r="B495" s="3">
        <v>45478.077777777777</v>
      </c>
      <c r="C495" s="2" t="s">
        <v>24</v>
      </c>
      <c r="D495" s="2" t="s">
        <v>25</v>
      </c>
      <c r="E495" t="s">
        <v>15</v>
      </c>
      <c r="F495">
        <v>2805.15</v>
      </c>
      <c r="G495" s="2" t="s">
        <v>17</v>
      </c>
      <c r="H495"/>
      <c r="I495">
        <v>2.5</v>
      </c>
      <c r="J495">
        <v>1</v>
      </c>
      <c r="K495">
        <v>0</v>
      </c>
      <c r="L495">
        <v>0</v>
      </c>
      <c r="M495">
        <v>0</v>
      </c>
    </row>
    <row r="496" spans="1:13" x14ac:dyDescent="0.25">
      <c r="A496" t="s">
        <v>539</v>
      </c>
      <c r="B496" s="3">
        <v>45478.165972222225</v>
      </c>
      <c r="C496" s="2" t="s">
        <v>19</v>
      </c>
      <c r="D496" s="2" t="s">
        <v>20</v>
      </c>
      <c r="E496" t="s">
        <v>44</v>
      </c>
      <c r="F496">
        <v>4986.3500000000004</v>
      </c>
      <c r="G496" s="2" t="s">
        <v>22</v>
      </c>
      <c r="H496"/>
      <c r="I496">
        <v>2.1</v>
      </c>
      <c r="J496">
        <v>8.7999999999999995E-2</v>
      </c>
      <c r="K496">
        <v>9.2144799999999982</v>
      </c>
      <c r="L496">
        <v>429.58431999999999</v>
      </c>
      <c r="M496">
        <v>438.79879999999997</v>
      </c>
    </row>
    <row r="497" spans="1:13" x14ac:dyDescent="0.25">
      <c r="A497" t="s">
        <v>540</v>
      </c>
      <c r="B497" s="3">
        <v>45478.589583333334</v>
      </c>
      <c r="C497" s="2" t="s">
        <v>24</v>
      </c>
      <c r="D497" s="2" t="s">
        <v>25</v>
      </c>
      <c r="E497" t="s">
        <v>44</v>
      </c>
      <c r="F497">
        <v>4222.17</v>
      </c>
      <c r="G497" s="2" t="s">
        <v>34</v>
      </c>
      <c r="H497" t="s">
        <v>62</v>
      </c>
      <c r="I497">
        <v>2.1</v>
      </c>
      <c r="J497">
        <v>1</v>
      </c>
      <c r="K497">
        <v>0</v>
      </c>
      <c r="L497">
        <v>0</v>
      </c>
      <c r="M497">
        <v>0</v>
      </c>
    </row>
    <row r="498" spans="1:13" x14ac:dyDescent="0.25">
      <c r="A498" t="s">
        <v>541</v>
      </c>
      <c r="B498" s="3">
        <v>45479.059027777781</v>
      </c>
      <c r="C498" s="2" t="s">
        <v>60</v>
      </c>
      <c r="D498" s="2" t="s">
        <v>25</v>
      </c>
      <c r="E498" t="s">
        <v>33</v>
      </c>
      <c r="F498">
        <v>981.33</v>
      </c>
      <c r="G498" s="2" t="s">
        <v>17</v>
      </c>
      <c r="H498"/>
      <c r="I498">
        <v>1.9</v>
      </c>
      <c r="J498">
        <v>1</v>
      </c>
      <c r="K498">
        <v>0</v>
      </c>
      <c r="L498">
        <v>0</v>
      </c>
      <c r="M498">
        <v>0</v>
      </c>
    </row>
    <row r="499" spans="1:13" x14ac:dyDescent="0.25">
      <c r="A499" t="s">
        <v>542</v>
      </c>
      <c r="B499" s="3">
        <v>45479.118055555555</v>
      </c>
      <c r="C499" s="2" t="s">
        <v>58</v>
      </c>
      <c r="D499" s="2" t="s">
        <v>25</v>
      </c>
      <c r="E499" t="s">
        <v>28</v>
      </c>
      <c r="F499">
        <v>2687.5</v>
      </c>
      <c r="G499" s="2" t="s">
        <v>34</v>
      </c>
      <c r="H499" t="s">
        <v>62</v>
      </c>
      <c r="I499">
        <v>2.9</v>
      </c>
      <c r="J499">
        <v>1</v>
      </c>
      <c r="K499">
        <v>0</v>
      </c>
      <c r="L499">
        <v>0</v>
      </c>
      <c r="M499">
        <v>0</v>
      </c>
    </row>
    <row r="500" spans="1:13" x14ac:dyDescent="0.25">
      <c r="A500" t="s">
        <v>543</v>
      </c>
      <c r="B500" s="3">
        <v>45479.229861111111</v>
      </c>
      <c r="C500" s="2" t="s">
        <v>58</v>
      </c>
      <c r="D500" s="2" t="s">
        <v>25</v>
      </c>
      <c r="E500" t="s">
        <v>44</v>
      </c>
      <c r="F500">
        <v>3506.56</v>
      </c>
      <c r="G500" s="2" t="s">
        <v>22</v>
      </c>
      <c r="H500"/>
      <c r="I500">
        <v>2.1</v>
      </c>
      <c r="J500">
        <v>1</v>
      </c>
      <c r="K500">
        <v>73.64</v>
      </c>
      <c r="L500">
        <v>3432.92</v>
      </c>
      <c r="M500">
        <v>3506.56</v>
      </c>
    </row>
    <row r="501" spans="1:13" x14ac:dyDescent="0.25">
      <c r="A501" t="s">
        <v>544</v>
      </c>
      <c r="B501" s="3">
        <v>45479.466666666667</v>
      </c>
      <c r="C501" s="2" t="s">
        <v>37</v>
      </c>
      <c r="D501" s="2" t="s">
        <v>38</v>
      </c>
      <c r="E501" t="s">
        <v>39</v>
      </c>
      <c r="F501">
        <v>3280.5</v>
      </c>
      <c r="G501" s="2" t="s">
        <v>22</v>
      </c>
      <c r="H501"/>
      <c r="I501">
        <v>3.2</v>
      </c>
      <c r="J501">
        <v>0.23</v>
      </c>
      <c r="K501">
        <v>24.145400000000002</v>
      </c>
      <c r="L501">
        <v>730.36959999999999</v>
      </c>
      <c r="M501">
        <v>754.51499999999999</v>
      </c>
    </row>
    <row r="502" spans="1:13" x14ac:dyDescent="0.25">
      <c r="A502" t="s">
        <v>545</v>
      </c>
      <c r="B502" s="3">
        <v>45479.738194444442</v>
      </c>
      <c r="C502" s="2" t="s">
        <v>27</v>
      </c>
      <c r="D502" s="2" t="s">
        <v>25</v>
      </c>
      <c r="E502" t="s">
        <v>15</v>
      </c>
      <c r="F502">
        <v>93.28</v>
      </c>
      <c r="G502" s="2" t="s">
        <v>22</v>
      </c>
      <c r="H502"/>
      <c r="I502">
        <v>2.5</v>
      </c>
      <c r="J502">
        <v>1</v>
      </c>
      <c r="K502">
        <v>2.33</v>
      </c>
      <c r="L502">
        <v>90.95</v>
      </c>
      <c r="M502">
        <v>93.28</v>
      </c>
    </row>
    <row r="503" spans="1:13" x14ac:dyDescent="0.25">
      <c r="A503" t="s">
        <v>546</v>
      </c>
      <c r="B503" s="3">
        <v>45480.771527777775</v>
      </c>
      <c r="C503" s="2" t="s">
        <v>24</v>
      </c>
      <c r="D503" s="2" t="s">
        <v>25</v>
      </c>
      <c r="E503" t="s">
        <v>33</v>
      </c>
      <c r="F503">
        <v>761.33</v>
      </c>
      <c r="G503" s="2" t="s">
        <v>34</v>
      </c>
      <c r="H503" t="s">
        <v>78</v>
      </c>
      <c r="I503">
        <v>1.9</v>
      </c>
      <c r="J503">
        <v>1</v>
      </c>
      <c r="K503">
        <v>0</v>
      </c>
      <c r="L503">
        <v>0</v>
      </c>
      <c r="M503">
        <v>0</v>
      </c>
    </row>
    <row r="504" spans="1:13" x14ac:dyDescent="0.25">
      <c r="A504" t="s">
        <v>547</v>
      </c>
      <c r="B504" s="3">
        <v>45480.9</v>
      </c>
      <c r="C504" s="2" t="s">
        <v>43</v>
      </c>
      <c r="D504" s="2" t="s">
        <v>25</v>
      </c>
      <c r="E504" t="s">
        <v>15</v>
      </c>
      <c r="F504">
        <v>3892.84</v>
      </c>
      <c r="G504" s="2" t="s">
        <v>17</v>
      </c>
      <c r="H504"/>
      <c r="I504">
        <v>2.5</v>
      </c>
      <c r="J504">
        <v>1</v>
      </c>
      <c r="K504">
        <v>0</v>
      </c>
      <c r="L504">
        <v>0</v>
      </c>
      <c r="M504">
        <v>0</v>
      </c>
    </row>
    <row r="505" spans="1:13" x14ac:dyDescent="0.25">
      <c r="A505" t="s">
        <v>548</v>
      </c>
      <c r="B505" s="3">
        <v>45481.106944444444</v>
      </c>
      <c r="C505" s="2" t="s">
        <v>24</v>
      </c>
      <c r="D505" s="2" t="s">
        <v>25</v>
      </c>
      <c r="E505" t="s">
        <v>28</v>
      </c>
      <c r="F505">
        <v>1892.07</v>
      </c>
      <c r="G505" s="2" t="s">
        <v>17</v>
      </c>
      <c r="H505"/>
      <c r="I505">
        <v>2.9</v>
      </c>
      <c r="J505">
        <v>1</v>
      </c>
      <c r="K505">
        <v>0</v>
      </c>
      <c r="L505">
        <v>0</v>
      </c>
      <c r="M505">
        <v>0</v>
      </c>
    </row>
    <row r="506" spans="1:13" x14ac:dyDescent="0.25">
      <c r="A506" t="s">
        <v>549</v>
      </c>
      <c r="B506" s="3">
        <v>45481.732638888891</v>
      </c>
      <c r="C506" s="2" t="s">
        <v>43</v>
      </c>
      <c r="D506" s="2" t="s">
        <v>25</v>
      </c>
      <c r="E506" t="s">
        <v>39</v>
      </c>
      <c r="F506">
        <v>2892.48</v>
      </c>
      <c r="G506" s="2" t="s">
        <v>34</v>
      </c>
      <c r="H506" t="s">
        <v>35</v>
      </c>
      <c r="I506">
        <v>3.2</v>
      </c>
      <c r="J506">
        <v>1</v>
      </c>
      <c r="K506">
        <v>0</v>
      </c>
      <c r="L506">
        <v>0</v>
      </c>
      <c r="M506">
        <v>0</v>
      </c>
    </row>
    <row r="507" spans="1:13" x14ac:dyDescent="0.25">
      <c r="A507" t="s">
        <v>550</v>
      </c>
      <c r="B507" s="3">
        <v>45482.39166666667</v>
      </c>
      <c r="C507" s="2" t="s">
        <v>58</v>
      </c>
      <c r="D507" s="2" t="s">
        <v>25</v>
      </c>
      <c r="E507" t="s">
        <v>39</v>
      </c>
      <c r="F507">
        <v>271.3</v>
      </c>
      <c r="G507" s="2" t="s">
        <v>22</v>
      </c>
      <c r="H507"/>
      <c r="I507">
        <v>3.2</v>
      </c>
      <c r="J507">
        <v>1</v>
      </c>
      <c r="K507">
        <v>8.68</v>
      </c>
      <c r="L507">
        <v>262.62</v>
      </c>
      <c r="M507">
        <v>271.3</v>
      </c>
    </row>
    <row r="508" spans="1:13" x14ac:dyDescent="0.25">
      <c r="A508" t="s">
        <v>551</v>
      </c>
      <c r="B508" s="3">
        <v>45482.40902777778</v>
      </c>
      <c r="C508" s="2" t="s">
        <v>60</v>
      </c>
      <c r="D508" s="2" t="s">
        <v>25</v>
      </c>
      <c r="E508" t="s">
        <v>44</v>
      </c>
      <c r="F508">
        <v>1429.07</v>
      </c>
      <c r="G508" s="2" t="s">
        <v>22</v>
      </c>
      <c r="H508"/>
      <c r="I508">
        <v>2.1</v>
      </c>
      <c r="J508">
        <v>1</v>
      </c>
      <c r="K508">
        <v>30.01</v>
      </c>
      <c r="L508">
        <v>1399.06</v>
      </c>
      <c r="M508">
        <v>1429.07</v>
      </c>
    </row>
    <row r="509" spans="1:13" x14ac:dyDescent="0.25">
      <c r="A509" t="s">
        <v>552</v>
      </c>
      <c r="B509" s="3">
        <v>45483.387499999997</v>
      </c>
      <c r="C509" s="2" t="s">
        <v>43</v>
      </c>
      <c r="D509" s="2" t="s">
        <v>25</v>
      </c>
      <c r="E509" t="s">
        <v>28</v>
      </c>
      <c r="F509">
        <v>719.28</v>
      </c>
      <c r="G509" s="2" t="s">
        <v>17</v>
      </c>
      <c r="H509"/>
      <c r="I509">
        <v>2.9</v>
      </c>
      <c r="J509">
        <v>1</v>
      </c>
      <c r="K509">
        <v>0</v>
      </c>
      <c r="L509">
        <v>0</v>
      </c>
      <c r="M509">
        <v>0</v>
      </c>
    </row>
    <row r="510" spans="1:13" x14ac:dyDescent="0.25">
      <c r="A510" t="s">
        <v>553</v>
      </c>
      <c r="B510" s="3">
        <v>45483.520138888889</v>
      </c>
      <c r="C510" s="2" t="s">
        <v>19</v>
      </c>
      <c r="D510" s="2" t="s">
        <v>20</v>
      </c>
      <c r="E510" t="s">
        <v>44</v>
      </c>
      <c r="F510">
        <v>1506.87</v>
      </c>
      <c r="G510" s="2" t="s">
        <v>22</v>
      </c>
      <c r="H510"/>
      <c r="I510">
        <v>2.1</v>
      </c>
      <c r="J510">
        <v>8.7999999999999995E-2</v>
      </c>
      <c r="K510">
        <v>2.7843199999999997</v>
      </c>
      <c r="L510">
        <v>129.82023999999998</v>
      </c>
      <c r="M510">
        <v>132.60455999999999</v>
      </c>
    </row>
    <row r="511" spans="1:13" x14ac:dyDescent="0.25">
      <c r="A511" t="s">
        <v>554</v>
      </c>
      <c r="B511" s="3">
        <v>45483.790972222225</v>
      </c>
      <c r="C511" s="2" t="s">
        <v>31</v>
      </c>
      <c r="D511" s="2" t="s">
        <v>32</v>
      </c>
      <c r="E511" t="s">
        <v>39</v>
      </c>
      <c r="F511">
        <v>154.08000000000001</v>
      </c>
      <c r="G511" s="2" t="s">
        <v>34</v>
      </c>
      <c r="H511" t="s">
        <v>55</v>
      </c>
      <c r="I511">
        <v>3.2</v>
      </c>
      <c r="J511">
        <v>1.17</v>
      </c>
      <c r="K511">
        <v>0</v>
      </c>
      <c r="L511">
        <v>0</v>
      </c>
      <c r="M511">
        <v>0</v>
      </c>
    </row>
    <row r="512" spans="1:13" x14ac:dyDescent="0.25">
      <c r="A512" t="s">
        <v>555</v>
      </c>
      <c r="B512" s="3">
        <v>45484.424305555556</v>
      </c>
      <c r="C512" s="2" t="s">
        <v>43</v>
      </c>
      <c r="D512" s="2" t="s">
        <v>25</v>
      </c>
      <c r="E512" t="s">
        <v>33</v>
      </c>
      <c r="F512">
        <v>2735.9</v>
      </c>
      <c r="G512" s="2" t="s">
        <v>22</v>
      </c>
      <c r="H512"/>
      <c r="I512">
        <v>1.9</v>
      </c>
      <c r="J512">
        <v>1</v>
      </c>
      <c r="K512">
        <v>51.98</v>
      </c>
      <c r="L512">
        <v>2683.92</v>
      </c>
      <c r="M512">
        <v>2735.9</v>
      </c>
    </row>
    <row r="513" spans="1:13" x14ac:dyDescent="0.25">
      <c r="A513" t="s">
        <v>556</v>
      </c>
      <c r="B513" s="3">
        <v>45484.85</v>
      </c>
      <c r="C513" s="2" t="s">
        <v>37</v>
      </c>
      <c r="D513" s="2" t="s">
        <v>38</v>
      </c>
      <c r="E513" t="s">
        <v>33</v>
      </c>
      <c r="F513">
        <v>2588.15</v>
      </c>
      <c r="G513" s="2" t="s">
        <v>34</v>
      </c>
      <c r="H513" t="s">
        <v>35</v>
      </c>
      <c r="I513">
        <v>1.9</v>
      </c>
      <c r="J513">
        <v>0.23</v>
      </c>
      <c r="K513">
        <v>0</v>
      </c>
      <c r="L513">
        <v>0</v>
      </c>
      <c r="M513">
        <v>0</v>
      </c>
    </row>
    <row r="514" spans="1:13" x14ac:dyDescent="0.25">
      <c r="A514" t="s">
        <v>557</v>
      </c>
      <c r="B514" s="3">
        <v>45485.060416666667</v>
      </c>
      <c r="C514" s="2" t="s">
        <v>47</v>
      </c>
      <c r="D514" s="2" t="s">
        <v>25</v>
      </c>
      <c r="E514" t="s">
        <v>33</v>
      </c>
      <c r="F514">
        <v>659.03</v>
      </c>
      <c r="G514" s="2" t="s">
        <v>17</v>
      </c>
      <c r="H514"/>
      <c r="I514">
        <v>1.9</v>
      </c>
      <c r="J514">
        <v>1</v>
      </c>
      <c r="K514">
        <v>0</v>
      </c>
      <c r="L514">
        <v>0</v>
      </c>
      <c r="M514">
        <v>0</v>
      </c>
    </row>
    <row r="515" spans="1:13" x14ac:dyDescent="0.25">
      <c r="A515" t="s">
        <v>558</v>
      </c>
      <c r="B515" s="3">
        <v>45485.406944444447</v>
      </c>
      <c r="C515" s="2" t="s">
        <v>47</v>
      </c>
      <c r="D515" s="2" t="s">
        <v>25</v>
      </c>
      <c r="E515" t="s">
        <v>44</v>
      </c>
      <c r="F515">
        <v>3646.87</v>
      </c>
      <c r="G515" s="2" t="s">
        <v>17</v>
      </c>
      <c r="H515"/>
      <c r="I515">
        <v>2.1</v>
      </c>
      <c r="J515">
        <v>1</v>
      </c>
      <c r="K515">
        <v>0</v>
      </c>
      <c r="L515">
        <v>0</v>
      </c>
      <c r="M515">
        <v>0</v>
      </c>
    </row>
    <row r="516" spans="1:13" x14ac:dyDescent="0.25">
      <c r="A516" t="s">
        <v>559</v>
      </c>
      <c r="B516" s="3">
        <v>45486.116666666669</v>
      </c>
      <c r="C516" s="2" t="s">
        <v>58</v>
      </c>
      <c r="D516" s="2" t="s">
        <v>25</v>
      </c>
      <c r="E516" t="s">
        <v>33</v>
      </c>
      <c r="F516">
        <v>1471.24</v>
      </c>
      <c r="G516" s="2" t="s">
        <v>22</v>
      </c>
      <c r="H516"/>
      <c r="I516">
        <v>1.9</v>
      </c>
      <c r="J516">
        <v>1</v>
      </c>
      <c r="K516">
        <v>27.95</v>
      </c>
      <c r="L516">
        <v>1443.29</v>
      </c>
      <c r="M516">
        <v>1471.24</v>
      </c>
    </row>
    <row r="517" spans="1:13" x14ac:dyDescent="0.25">
      <c r="A517" t="s">
        <v>560</v>
      </c>
      <c r="B517" s="3">
        <v>45486.697916666664</v>
      </c>
      <c r="C517" s="2" t="s">
        <v>31</v>
      </c>
      <c r="D517" s="2" t="s">
        <v>32</v>
      </c>
      <c r="E517" t="s">
        <v>39</v>
      </c>
      <c r="F517">
        <v>4335.2</v>
      </c>
      <c r="G517" s="2" t="s">
        <v>17</v>
      </c>
      <c r="H517"/>
      <c r="I517">
        <v>3.2</v>
      </c>
      <c r="J517">
        <v>1.17</v>
      </c>
      <c r="K517">
        <v>0</v>
      </c>
      <c r="L517">
        <v>0</v>
      </c>
      <c r="M517">
        <v>0</v>
      </c>
    </row>
    <row r="518" spans="1:13" x14ac:dyDescent="0.25">
      <c r="A518" t="s">
        <v>561</v>
      </c>
      <c r="B518" s="3">
        <v>45486.90625</v>
      </c>
      <c r="C518" s="2" t="s">
        <v>58</v>
      </c>
      <c r="D518" s="2" t="s">
        <v>25</v>
      </c>
      <c r="E518" t="s">
        <v>15</v>
      </c>
      <c r="F518">
        <v>734.3</v>
      </c>
      <c r="G518" s="2" t="s">
        <v>34</v>
      </c>
      <c r="H518" t="s">
        <v>78</v>
      </c>
      <c r="I518">
        <v>2.5</v>
      </c>
      <c r="J518">
        <v>1</v>
      </c>
      <c r="K518">
        <v>0</v>
      </c>
      <c r="L518">
        <v>0</v>
      </c>
      <c r="M518">
        <v>0</v>
      </c>
    </row>
    <row r="519" spans="1:13" x14ac:dyDescent="0.25">
      <c r="A519" t="s">
        <v>562</v>
      </c>
      <c r="B519" s="3">
        <v>45487.51458333333</v>
      </c>
      <c r="C519" s="2" t="s">
        <v>60</v>
      </c>
      <c r="D519" s="2" t="s">
        <v>25</v>
      </c>
      <c r="E519" t="s">
        <v>39</v>
      </c>
      <c r="F519">
        <v>897.87</v>
      </c>
      <c r="G519" s="2" t="s">
        <v>22</v>
      </c>
      <c r="H519"/>
      <c r="I519">
        <v>3.2</v>
      </c>
      <c r="J519">
        <v>1</v>
      </c>
      <c r="K519">
        <v>28.73</v>
      </c>
      <c r="L519">
        <v>869.14</v>
      </c>
      <c r="M519">
        <v>897.87</v>
      </c>
    </row>
    <row r="520" spans="1:13" x14ac:dyDescent="0.25">
      <c r="A520" t="s">
        <v>563</v>
      </c>
      <c r="B520" s="3">
        <v>45487.56527777778</v>
      </c>
      <c r="C520" s="2" t="s">
        <v>24</v>
      </c>
      <c r="D520" s="2" t="s">
        <v>25</v>
      </c>
      <c r="E520" t="s">
        <v>44</v>
      </c>
      <c r="F520">
        <v>703.95</v>
      </c>
      <c r="G520" s="2" t="s">
        <v>17</v>
      </c>
      <c r="H520"/>
      <c r="I520">
        <v>2.1</v>
      </c>
      <c r="J520">
        <v>1</v>
      </c>
      <c r="K520">
        <v>0</v>
      </c>
      <c r="L520">
        <v>0</v>
      </c>
      <c r="M520">
        <v>0</v>
      </c>
    </row>
    <row r="521" spans="1:13" x14ac:dyDescent="0.25">
      <c r="A521" t="s">
        <v>564</v>
      </c>
      <c r="B521" s="3">
        <v>45487.621527777781</v>
      </c>
      <c r="C521" s="2" t="s">
        <v>58</v>
      </c>
      <c r="D521" s="2" t="s">
        <v>25</v>
      </c>
      <c r="E521" t="s">
        <v>15</v>
      </c>
      <c r="F521">
        <v>3416.82</v>
      </c>
      <c r="G521" s="2" t="s">
        <v>17</v>
      </c>
      <c r="H521"/>
      <c r="I521">
        <v>2.5</v>
      </c>
      <c r="J521">
        <v>1</v>
      </c>
      <c r="K521">
        <v>0</v>
      </c>
      <c r="L521">
        <v>0</v>
      </c>
      <c r="M521">
        <v>0</v>
      </c>
    </row>
    <row r="522" spans="1:13" x14ac:dyDescent="0.25">
      <c r="A522" t="s">
        <v>565</v>
      </c>
      <c r="B522" s="3">
        <v>45488.045138888891</v>
      </c>
      <c r="C522" s="2" t="s">
        <v>58</v>
      </c>
      <c r="D522" s="2" t="s">
        <v>25</v>
      </c>
      <c r="E522" t="s">
        <v>15</v>
      </c>
      <c r="F522">
        <v>3526.34</v>
      </c>
      <c r="G522" s="2" t="s">
        <v>17</v>
      </c>
      <c r="H522"/>
      <c r="I522">
        <v>2.5</v>
      </c>
      <c r="J522">
        <v>1</v>
      </c>
      <c r="K522">
        <v>0</v>
      </c>
      <c r="L522">
        <v>0</v>
      </c>
      <c r="M522">
        <v>0</v>
      </c>
    </row>
    <row r="523" spans="1:13" x14ac:dyDescent="0.25">
      <c r="A523" t="s">
        <v>566</v>
      </c>
      <c r="B523" s="3">
        <v>45489.17083333333</v>
      </c>
      <c r="C523" s="2" t="s">
        <v>60</v>
      </c>
      <c r="D523" s="2" t="s">
        <v>25</v>
      </c>
      <c r="E523" t="s">
        <v>44</v>
      </c>
      <c r="F523">
        <v>4299.3599999999997</v>
      </c>
      <c r="G523" s="2" t="s">
        <v>17</v>
      </c>
      <c r="H523"/>
      <c r="I523">
        <v>2.1</v>
      </c>
      <c r="J523">
        <v>1</v>
      </c>
      <c r="K523">
        <v>0</v>
      </c>
      <c r="L523">
        <v>0</v>
      </c>
      <c r="M523">
        <v>0</v>
      </c>
    </row>
    <row r="524" spans="1:13" x14ac:dyDescent="0.25">
      <c r="A524" t="s">
        <v>567</v>
      </c>
      <c r="B524" s="3">
        <v>45489.395138888889</v>
      </c>
      <c r="C524" s="2" t="s">
        <v>19</v>
      </c>
      <c r="D524" s="2" t="s">
        <v>20</v>
      </c>
      <c r="E524" t="s">
        <v>39</v>
      </c>
      <c r="F524">
        <v>1137.1099999999999</v>
      </c>
      <c r="G524" s="2" t="s">
        <v>34</v>
      </c>
      <c r="H524" t="s">
        <v>62</v>
      </c>
      <c r="I524">
        <v>3.2</v>
      </c>
      <c r="J524">
        <v>8.7999999999999995E-2</v>
      </c>
      <c r="K524">
        <v>0</v>
      </c>
      <c r="L524">
        <v>0</v>
      </c>
      <c r="M524">
        <v>0</v>
      </c>
    </row>
    <row r="525" spans="1:13" x14ac:dyDescent="0.25">
      <c r="A525" t="s">
        <v>568</v>
      </c>
      <c r="B525" s="3">
        <v>45490.463888888888</v>
      </c>
      <c r="C525" s="2" t="s">
        <v>43</v>
      </c>
      <c r="D525" s="2" t="s">
        <v>25</v>
      </c>
      <c r="E525" t="s">
        <v>44</v>
      </c>
      <c r="F525">
        <v>4878.0200000000004</v>
      </c>
      <c r="G525" s="2" t="s">
        <v>22</v>
      </c>
      <c r="H525"/>
      <c r="I525">
        <v>2.1</v>
      </c>
      <c r="J525">
        <v>1</v>
      </c>
      <c r="K525">
        <v>102.44</v>
      </c>
      <c r="L525">
        <v>4775.58</v>
      </c>
      <c r="M525">
        <v>4878.0199999999995</v>
      </c>
    </row>
    <row r="526" spans="1:13" x14ac:dyDescent="0.25">
      <c r="A526" t="s">
        <v>569</v>
      </c>
      <c r="B526" s="3">
        <v>45490.576388888891</v>
      </c>
      <c r="C526" s="2" t="s">
        <v>37</v>
      </c>
      <c r="D526" s="2" t="s">
        <v>38</v>
      </c>
      <c r="E526" t="s">
        <v>33</v>
      </c>
      <c r="F526">
        <v>74.7</v>
      </c>
      <c r="G526" s="2" t="s">
        <v>22</v>
      </c>
      <c r="H526"/>
      <c r="I526">
        <v>1.9</v>
      </c>
      <c r="J526">
        <v>0.23</v>
      </c>
      <c r="K526">
        <v>0.3266</v>
      </c>
      <c r="L526">
        <v>16.854400000000002</v>
      </c>
      <c r="M526">
        <v>17.181000000000001</v>
      </c>
    </row>
    <row r="527" spans="1:13" x14ac:dyDescent="0.25">
      <c r="A527" t="s">
        <v>570</v>
      </c>
      <c r="B527" s="3">
        <v>45490.725694444445</v>
      </c>
      <c r="C527" s="2" t="s">
        <v>13</v>
      </c>
      <c r="D527" s="2" t="s">
        <v>14</v>
      </c>
      <c r="E527" t="s">
        <v>39</v>
      </c>
      <c r="F527">
        <v>2603.2399999999998</v>
      </c>
      <c r="G527" s="2" t="s">
        <v>22</v>
      </c>
      <c r="H527"/>
      <c r="I527">
        <v>3.2</v>
      </c>
      <c r="J527">
        <v>8.7999999999999995E-2</v>
      </c>
      <c r="K527">
        <v>7.3303999999999991</v>
      </c>
      <c r="L527">
        <v>221.75471999999999</v>
      </c>
      <c r="M527">
        <v>229.08511999999999</v>
      </c>
    </row>
    <row r="528" spans="1:13" x14ac:dyDescent="0.25">
      <c r="A528" t="s">
        <v>571</v>
      </c>
      <c r="B528" s="3">
        <v>45491.445833333331</v>
      </c>
      <c r="C528" s="2" t="s">
        <v>58</v>
      </c>
      <c r="D528" s="2" t="s">
        <v>25</v>
      </c>
      <c r="E528" t="s">
        <v>44</v>
      </c>
      <c r="F528">
        <v>4598.51</v>
      </c>
      <c r="G528" s="2" t="s">
        <v>17</v>
      </c>
      <c r="H528"/>
      <c r="I528">
        <v>2.1</v>
      </c>
      <c r="J528">
        <v>1</v>
      </c>
      <c r="K528">
        <v>0</v>
      </c>
      <c r="L528">
        <v>0</v>
      </c>
      <c r="M528">
        <v>0</v>
      </c>
    </row>
    <row r="529" spans="1:13" x14ac:dyDescent="0.25">
      <c r="A529" t="s">
        <v>572</v>
      </c>
      <c r="B529" s="3">
        <v>45491.626388888886</v>
      </c>
      <c r="C529" s="2" t="s">
        <v>58</v>
      </c>
      <c r="D529" s="2" t="s">
        <v>25</v>
      </c>
      <c r="E529" t="s">
        <v>39</v>
      </c>
      <c r="F529">
        <v>3739.11</v>
      </c>
      <c r="G529" s="2" t="s">
        <v>22</v>
      </c>
      <c r="H529"/>
      <c r="I529">
        <v>3.2</v>
      </c>
      <c r="J529">
        <v>1</v>
      </c>
      <c r="K529">
        <v>119.65</v>
      </c>
      <c r="L529">
        <v>3619.46</v>
      </c>
      <c r="M529">
        <v>3739.11</v>
      </c>
    </row>
    <row r="530" spans="1:13" x14ac:dyDescent="0.25">
      <c r="A530" t="s">
        <v>573</v>
      </c>
      <c r="B530" s="3">
        <v>45491.990277777775</v>
      </c>
      <c r="C530" s="2" t="s">
        <v>27</v>
      </c>
      <c r="D530" s="2" t="s">
        <v>25</v>
      </c>
      <c r="E530" t="s">
        <v>33</v>
      </c>
      <c r="F530">
        <v>1426.8</v>
      </c>
      <c r="G530" s="2" t="s">
        <v>22</v>
      </c>
      <c r="H530"/>
      <c r="I530">
        <v>1.9</v>
      </c>
      <c r="J530">
        <v>1</v>
      </c>
      <c r="K530">
        <v>27.11</v>
      </c>
      <c r="L530">
        <v>1399.69</v>
      </c>
      <c r="M530">
        <v>1426.8</v>
      </c>
    </row>
    <row r="531" spans="1:13" x14ac:dyDescent="0.25">
      <c r="A531" t="s">
        <v>574</v>
      </c>
      <c r="B531" s="3">
        <v>45492.331250000003</v>
      </c>
      <c r="C531" s="2" t="s">
        <v>19</v>
      </c>
      <c r="D531" s="2" t="s">
        <v>20</v>
      </c>
      <c r="E531" t="s">
        <v>39</v>
      </c>
      <c r="F531">
        <v>2328.86</v>
      </c>
      <c r="G531" s="2" t="s">
        <v>17</v>
      </c>
      <c r="H531"/>
      <c r="I531">
        <v>3.2</v>
      </c>
      <c r="J531">
        <v>8.7999999999999995E-2</v>
      </c>
      <c r="K531">
        <v>0</v>
      </c>
      <c r="L531">
        <v>0</v>
      </c>
      <c r="M531">
        <v>0</v>
      </c>
    </row>
    <row r="532" spans="1:13" x14ac:dyDescent="0.25">
      <c r="A532" t="s">
        <v>575</v>
      </c>
      <c r="B532" s="3">
        <v>45492.354861111111</v>
      </c>
      <c r="C532" s="2" t="s">
        <v>19</v>
      </c>
      <c r="D532" s="2" t="s">
        <v>20</v>
      </c>
      <c r="E532" t="s">
        <v>15</v>
      </c>
      <c r="F532">
        <v>3385.67</v>
      </c>
      <c r="G532" s="2" t="s">
        <v>22</v>
      </c>
      <c r="H532"/>
      <c r="I532">
        <v>2.5</v>
      </c>
      <c r="J532">
        <v>8.7999999999999995E-2</v>
      </c>
      <c r="K532">
        <v>7.4483199999999998</v>
      </c>
      <c r="L532">
        <v>290.49063999999998</v>
      </c>
      <c r="M532">
        <v>297.93896000000001</v>
      </c>
    </row>
    <row r="533" spans="1:13" x14ac:dyDescent="0.25">
      <c r="A533" t="s">
        <v>576</v>
      </c>
      <c r="B533" s="3">
        <v>45492.720833333333</v>
      </c>
      <c r="C533" s="2" t="s">
        <v>27</v>
      </c>
      <c r="D533" s="2" t="s">
        <v>25</v>
      </c>
      <c r="E533" t="s">
        <v>39</v>
      </c>
      <c r="F533">
        <v>4787.38</v>
      </c>
      <c r="G533" s="2" t="s">
        <v>22</v>
      </c>
      <c r="H533"/>
      <c r="I533">
        <v>3.2</v>
      </c>
      <c r="J533">
        <v>1</v>
      </c>
      <c r="K533">
        <v>153.19999999999999</v>
      </c>
      <c r="L533">
        <v>4634.18</v>
      </c>
      <c r="M533">
        <v>4787.38</v>
      </c>
    </row>
    <row r="534" spans="1:13" x14ac:dyDescent="0.25">
      <c r="A534" t="s">
        <v>577</v>
      </c>
      <c r="B534" s="3">
        <v>45493.270138888889</v>
      </c>
      <c r="C534" s="2" t="s">
        <v>24</v>
      </c>
      <c r="D534" s="2" t="s">
        <v>25</v>
      </c>
      <c r="E534" t="s">
        <v>39</v>
      </c>
      <c r="F534">
        <v>3788.18</v>
      </c>
      <c r="G534" s="2" t="s">
        <v>22</v>
      </c>
      <c r="H534"/>
      <c r="I534">
        <v>3.2</v>
      </c>
      <c r="J534">
        <v>1</v>
      </c>
      <c r="K534">
        <v>121.22</v>
      </c>
      <c r="L534">
        <v>3666.96</v>
      </c>
      <c r="M534">
        <v>3788.18</v>
      </c>
    </row>
    <row r="535" spans="1:13" x14ac:dyDescent="0.25">
      <c r="A535" t="s">
        <v>578</v>
      </c>
      <c r="B535" s="3">
        <v>45493.775000000001</v>
      </c>
      <c r="C535" s="2" t="s">
        <v>60</v>
      </c>
      <c r="D535" s="2" t="s">
        <v>25</v>
      </c>
      <c r="E535" t="s">
        <v>28</v>
      </c>
      <c r="F535">
        <v>687.14</v>
      </c>
      <c r="G535" s="2" t="s">
        <v>34</v>
      </c>
      <c r="H535" t="s">
        <v>35</v>
      </c>
      <c r="I535">
        <v>2.9</v>
      </c>
      <c r="J535">
        <v>1</v>
      </c>
      <c r="K535">
        <v>0</v>
      </c>
      <c r="L535">
        <v>0</v>
      </c>
      <c r="M535">
        <v>0</v>
      </c>
    </row>
    <row r="536" spans="1:13" x14ac:dyDescent="0.25">
      <c r="A536" t="s">
        <v>579</v>
      </c>
      <c r="B536" s="3">
        <v>45494.606249999997</v>
      </c>
      <c r="C536" s="2" t="s">
        <v>31</v>
      </c>
      <c r="D536" s="2" t="s">
        <v>32</v>
      </c>
      <c r="E536" t="s">
        <v>28</v>
      </c>
      <c r="F536">
        <v>1980.11</v>
      </c>
      <c r="G536" s="2" t="s">
        <v>17</v>
      </c>
      <c r="H536"/>
      <c r="I536">
        <v>2.9</v>
      </c>
      <c r="J536">
        <v>1.17</v>
      </c>
      <c r="K536">
        <v>0</v>
      </c>
      <c r="L536">
        <v>0</v>
      </c>
      <c r="M536">
        <v>0</v>
      </c>
    </row>
    <row r="537" spans="1:13" x14ac:dyDescent="0.25">
      <c r="A537" t="s">
        <v>580</v>
      </c>
      <c r="B537" s="3">
        <v>45495.031944444447</v>
      </c>
      <c r="C537" s="2" t="s">
        <v>60</v>
      </c>
      <c r="D537" s="2" t="s">
        <v>25</v>
      </c>
      <c r="E537" t="s">
        <v>39</v>
      </c>
      <c r="F537">
        <v>91.35</v>
      </c>
      <c r="G537" s="2" t="s">
        <v>22</v>
      </c>
      <c r="H537"/>
      <c r="I537">
        <v>3.2</v>
      </c>
      <c r="J537">
        <v>1</v>
      </c>
      <c r="K537">
        <v>2.92</v>
      </c>
      <c r="L537">
        <v>88.43</v>
      </c>
      <c r="M537">
        <v>91.350000000000009</v>
      </c>
    </row>
    <row r="538" spans="1:13" x14ac:dyDescent="0.25">
      <c r="A538" t="s">
        <v>581</v>
      </c>
      <c r="B538" s="3">
        <v>45495.315972222219</v>
      </c>
      <c r="C538" s="2" t="s">
        <v>37</v>
      </c>
      <c r="D538" s="2" t="s">
        <v>38</v>
      </c>
      <c r="E538" t="s">
        <v>39</v>
      </c>
      <c r="F538">
        <v>2336.59</v>
      </c>
      <c r="G538" s="2" t="s">
        <v>22</v>
      </c>
      <c r="H538"/>
      <c r="I538">
        <v>3.2</v>
      </c>
      <c r="J538">
        <v>0.23</v>
      </c>
      <c r="K538">
        <v>17.197099999999999</v>
      </c>
      <c r="L538">
        <v>520.21860000000004</v>
      </c>
      <c r="M538">
        <v>537.41570000000002</v>
      </c>
    </row>
    <row r="539" spans="1:13" x14ac:dyDescent="0.25">
      <c r="A539" t="s">
        <v>582</v>
      </c>
      <c r="B539" s="3">
        <v>45495.324999999997</v>
      </c>
      <c r="C539" s="2" t="s">
        <v>19</v>
      </c>
      <c r="D539" s="2" t="s">
        <v>20</v>
      </c>
      <c r="E539" t="s">
        <v>44</v>
      </c>
      <c r="F539">
        <v>2633.42</v>
      </c>
      <c r="G539" s="2" t="s">
        <v>34</v>
      </c>
      <c r="H539" t="s">
        <v>55</v>
      </c>
      <c r="I539">
        <v>2.1</v>
      </c>
      <c r="J539">
        <v>8.7999999999999995E-2</v>
      </c>
      <c r="K539">
        <v>0</v>
      </c>
      <c r="L539">
        <v>0</v>
      </c>
      <c r="M539">
        <v>0</v>
      </c>
    </row>
    <row r="540" spans="1:13" x14ac:dyDescent="0.25">
      <c r="A540" t="s">
        <v>583</v>
      </c>
      <c r="B540" s="3">
        <v>45495.480555555558</v>
      </c>
      <c r="C540" s="2" t="s">
        <v>60</v>
      </c>
      <c r="D540" s="2" t="s">
        <v>25</v>
      </c>
      <c r="E540" t="s">
        <v>44</v>
      </c>
      <c r="F540">
        <v>3423.97</v>
      </c>
      <c r="G540" s="2" t="s">
        <v>17</v>
      </c>
      <c r="H540"/>
      <c r="I540">
        <v>2.1</v>
      </c>
      <c r="J540">
        <v>1</v>
      </c>
      <c r="K540">
        <v>0</v>
      </c>
      <c r="L540">
        <v>0</v>
      </c>
      <c r="M540">
        <v>0</v>
      </c>
    </row>
    <row r="541" spans="1:13" x14ac:dyDescent="0.25">
      <c r="A541" t="s">
        <v>584</v>
      </c>
      <c r="B541" s="3">
        <v>45495.632638888892</v>
      </c>
      <c r="C541" s="2" t="s">
        <v>47</v>
      </c>
      <c r="D541" s="2" t="s">
        <v>25</v>
      </c>
      <c r="E541" t="s">
        <v>28</v>
      </c>
      <c r="F541">
        <v>1498.98</v>
      </c>
      <c r="G541" s="2" t="s">
        <v>17</v>
      </c>
      <c r="H541"/>
      <c r="I541">
        <v>2.9</v>
      </c>
      <c r="J541">
        <v>1</v>
      </c>
      <c r="K541">
        <v>0</v>
      </c>
      <c r="L541">
        <v>0</v>
      </c>
      <c r="M541">
        <v>0</v>
      </c>
    </row>
    <row r="542" spans="1:13" x14ac:dyDescent="0.25">
      <c r="A542" t="s">
        <v>585</v>
      </c>
      <c r="B542" s="3">
        <v>45495.874305555553</v>
      </c>
      <c r="C542" s="2" t="s">
        <v>31</v>
      </c>
      <c r="D542" s="2" t="s">
        <v>32</v>
      </c>
      <c r="E542" t="s">
        <v>28</v>
      </c>
      <c r="F542">
        <v>1868.61</v>
      </c>
      <c r="G542" s="2" t="s">
        <v>17</v>
      </c>
      <c r="H542"/>
      <c r="I542">
        <v>2.9</v>
      </c>
      <c r="J542">
        <v>1.17</v>
      </c>
      <c r="K542">
        <v>0</v>
      </c>
      <c r="L542">
        <v>0</v>
      </c>
      <c r="M542">
        <v>0</v>
      </c>
    </row>
    <row r="543" spans="1:13" x14ac:dyDescent="0.25">
      <c r="A543" t="s">
        <v>586</v>
      </c>
      <c r="B543" s="3">
        <v>45497.12222222222</v>
      </c>
      <c r="C543" s="2" t="s">
        <v>43</v>
      </c>
      <c r="D543" s="2" t="s">
        <v>25</v>
      </c>
      <c r="E543" t="s">
        <v>39</v>
      </c>
      <c r="F543">
        <v>1643.23</v>
      </c>
      <c r="G543" s="2" t="s">
        <v>17</v>
      </c>
      <c r="H543"/>
      <c r="I543">
        <v>3.2</v>
      </c>
      <c r="J543">
        <v>1</v>
      </c>
      <c r="K543">
        <v>0</v>
      </c>
      <c r="L543">
        <v>0</v>
      </c>
      <c r="M543">
        <v>0</v>
      </c>
    </row>
    <row r="544" spans="1:13" x14ac:dyDescent="0.25">
      <c r="A544" t="s">
        <v>587</v>
      </c>
      <c r="B544" s="3">
        <v>45497.352777777778</v>
      </c>
      <c r="C544" s="2" t="s">
        <v>27</v>
      </c>
      <c r="D544" s="2" t="s">
        <v>25</v>
      </c>
      <c r="E544" t="s">
        <v>33</v>
      </c>
      <c r="F544">
        <v>4896.57</v>
      </c>
      <c r="G544" s="2" t="s">
        <v>22</v>
      </c>
      <c r="H544"/>
      <c r="I544">
        <v>1.9</v>
      </c>
      <c r="J544">
        <v>1</v>
      </c>
      <c r="K544">
        <v>93.03</v>
      </c>
      <c r="L544">
        <v>4803.54</v>
      </c>
      <c r="M544">
        <v>4896.57</v>
      </c>
    </row>
    <row r="545" spans="1:13" x14ac:dyDescent="0.25">
      <c r="A545" t="s">
        <v>588</v>
      </c>
      <c r="B545" s="3">
        <v>45497.520138888889</v>
      </c>
      <c r="C545" s="2" t="s">
        <v>47</v>
      </c>
      <c r="D545" s="2" t="s">
        <v>25</v>
      </c>
      <c r="E545" t="s">
        <v>15</v>
      </c>
      <c r="F545">
        <v>4001.5</v>
      </c>
      <c r="G545" s="2" t="s">
        <v>22</v>
      </c>
      <c r="H545"/>
      <c r="I545">
        <v>2.5</v>
      </c>
      <c r="J545">
        <v>1</v>
      </c>
      <c r="K545">
        <v>100.04</v>
      </c>
      <c r="L545">
        <v>3901.46</v>
      </c>
      <c r="M545">
        <v>4001.5</v>
      </c>
    </row>
    <row r="546" spans="1:13" x14ac:dyDescent="0.25">
      <c r="A546" t="s">
        <v>589</v>
      </c>
      <c r="B546" s="3">
        <v>45498.295138888891</v>
      </c>
      <c r="C546" s="2" t="s">
        <v>43</v>
      </c>
      <c r="D546" s="2" t="s">
        <v>25</v>
      </c>
      <c r="E546" t="s">
        <v>15</v>
      </c>
      <c r="F546">
        <v>2246.0100000000002</v>
      </c>
      <c r="G546" s="2" t="s">
        <v>34</v>
      </c>
      <c r="H546" t="s">
        <v>55</v>
      </c>
      <c r="I546">
        <v>2.5</v>
      </c>
      <c r="J546">
        <v>1</v>
      </c>
      <c r="K546">
        <v>0</v>
      </c>
      <c r="L546">
        <v>0</v>
      </c>
      <c r="M546">
        <v>0</v>
      </c>
    </row>
    <row r="547" spans="1:13" x14ac:dyDescent="0.25">
      <c r="A547" t="s">
        <v>590</v>
      </c>
      <c r="B547" s="3">
        <v>45498.5625</v>
      </c>
      <c r="C547" s="2" t="s">
        <v>58</v>
      </c>
      <c r="D547" s="2" t="s">
        <v>25</v>
      </c>
      <c r="E547" t="s">
        <v>28</v>
      </c>
      <c r="F547">
        <v>2673.58</v>
      </c>
      <c r="G547" s="2" t="s">
        <v>22</v>
      </c>
      <c r="H547"/>
      <c r="I547">
        <v>2.9</v>
      </c>
      <c r="J547">
        <v>1</v>
      </c>
      <c r="K547">
        <v>77.53</v>
      </c>
      <c r="L547">
        <v>2596.0500000000002</v>
      </c>
      <c r="M547">
        <v>2673.5800000000004</v>
      </c>
    </row>
    <row r="548" spans="1:13" x14ac:dyDescent="0.25">
      <c r="A548" t="s">
        <v>591</v>
      </c>
      <c r="B548" s="3">
        <v>45499.134027777778</v>
      </c>
      <c r="C548" s="2" t="s">
        <v>13</v>
      </c>
      <c r="D548" s="2" t="s">
        <v>14</v>
      </c>
      <c r="E548" t="s">
        <v>15</v>
      </c>
      <c r="F548">
        <v>753.28</v>
      </c>
      <c r="G548" s="2" t="s">
        <v>17</v>
      </c>
      <c r="H548"/>
      <c r="I548">
        <v>2.5</v>
      </c>
      <c r="J548">
        <v>8.7999999999999995E-2</v>
      </c>
      <c r="K548">
        <v>0</v>
      </c>
      <c r="L548">
        <v>0</v>
      </c>
      <c r="M548">
        <v>0</v>
      </c>
    </row>
    <row r="549" spans="1:13" x14ac:dyDescent="0.25">
      <c r="A549" t="s">
        <v>592</v>
      </c>
      <c r="B549" s="3">
        <v>45499.296527777777</v>
      </c>
      <c r="C549" s="2" t="s">
        <v>27</v>
      </c>
      <c r="D549" s="2" t="s">
        <v>25</v>
      </c>
      <c r="E549" t="s">
        <v>44</v>
      </c>
      <c r="F549">
        <v>1235.48</v>
      </c>
      <c r="G549" s="2" t="s">
        <v>22</v>
      </c>
      <c r="H549"/>
      <c r="I549">
        <v>2.1</v>
      </c>
      <c r="J549">
        <v>1</v>
      </c>
      <c r="K549">
        <v>25.95</v>
      </c>
      <c r="L549">
        <v>1209.53</v>
      </c>
      <c r="M549">
        <v>1235.48</v>
      </c>
    </row>
    <row r="550" spans="1:13" x14ac:dyDescent="0.25">
      <c r="A550" t="s">
        <v>593</v>
      </c>
      <c r="B550" s="3">
        <v>45499.84097222222</v>
      </c>
      <c r="C550" s="2" t="s">
        <v>27</v>
      </c>
      <c r="D550" s="2" t="s">
        <v>25</v>
      </c>
      <c r="E550" t="s">
        <v>15</v>
      </c>
      <c r="F550">
        <v>155.66999999999999</v>
      </c>
      <c r="G550" s="2" t="s">
        <v>17</v>
      </c>
      <c r="H550"/>
      <c r="I550">
        <v>2.5</v>
      </c>
      <c r="J550">
        <v>1</v>
      </c>
      <c r="K550">
        <v>0</v>
      </c>
      <c r="L550">
        <v>0</v>
      </c>
      <c r="M550">
        <v>0</v>
      </c>
    </row>
    <row r="551" spans="1:13" x14ac:dyDescent="0.25">
      <c r="A551" t="s">
        <v>594</v>
      </c>
      <c r="B551" s="3">
        <v>45501.896527777775</v>
      </c>
      <c r="C551" s="2" t="s">
        <v>58</v>
      </c>
      <c r="D551" s="2" t="s">
        <v>25</v>
      </c>
      <c r="E551" t="s">
        <v>15</v>
      </c>
      <c r="F551">
        <v>844.59</v>
      </c>
      <c r="G551" s="2" t="s">
        <v>17</v>
      </c>
      <c r="H551"/>
      <c r="I551">
        <v>2.5</v>
      </c>
      <c r="J551">
        <v>1</v>
      </c>
      <c r="K551">
        <v>0</v>
      </c>
      <c r="L551">
        <v>0</v>
      </c>
      <c r="M551">
        <v>0</v>
      </c>
    </row>
    <row r="552" spans="1:13" x14ac:dyDescent="0.25">
      <c r="A552" t="s">
        <v>595</v>
      </c>
      <c r="B552" s="3">
        <v>45502.053472222222</v>
      </c>
      <c r="C552" s="2" t="s">
        <v>27</v>
      </c>
      <c r="D552" s="2" t="s">
        <v>25</v>
      </c>
      <c r="E552" t="s">
        <v>44</v>
      </c>
      <c r="F552">
        <v>739.75</v>
      </c>
      <c r="G552" s="2" t="s">
        <v>22</v>
      </c>
      <c r="H552"/>
      <c r="I552">
        <v>2.1</v>
      </c>
      <c r="J552">
        <v>1</v>
      </c>
      <c r="K552">
        <v>15.53</v>
      </c>
      <c r="L552">
        <v>724.22</v>
      </c>
      <c r="M552">
        <v>739.75</v>
      </c>
    </row>
    <row r="553" spans="1:13" x14ac:dyDescent="0.25">
      <c r="A553" t="s">
        <v>596</v>
      </c>
      <c r="B553" s="3">
        <v>45502.147916666669</v>
      </c>
      <c r="C553" s="2" t="s">
        <v>31</v>
      </c>
      <c r="D553" s="2" t="s">
        <v>32</v>
      </c>
      <c r="E553" t="s">
        <v>15</v>
      </c>
      <c r="F553">
        <v>1104.8900000000001</v>
      </c>
      <c r="G553" s="2" t="s">
        <v>22</v>
      </c>
      <c r="H553"/>
      <c r="I553">
        <v>2.5</v>
      </c>
      <c r="J553">
        <v>1.17</v>
      </c>
      <c r="K553">
        <v>32.315399999999997</v>
      </c>
      <c r="L553">
        <v>1260.4059</v>
      </c>
      <c r="M553">
        <v>1292.7212999999999</v>
      </c>
    </row>
    <row r="554" spans="1:13" x14ac:dyDescent="0.25">
      <c r="A554" t="s">
        <v>597</v>
      </c>
      <c r="B554" s="3">
        <v>45503.21597222222</v>
      </c>
      <c r="C554" s="2" t="s">
        <v>60</v>
      </c>
      <c r="D554" s="2" t="s">
        <v>25</v>
      </c>
      <c r="E554" t="s">
        <v>44</v>
      </c>
      <c r="F554">
        <v>3313.49</v>
      </c>
      <c r="G554" s="2" t="s">
        <v>22</v>
      </c>
      <c r="H554"/>
      <c r="I554">
        <v>2.1</v>
      </c>
      <c r="J554">
        <v>1</v>
      </c>
      <c r="K554">
        <v>69.58</v>
      </c>
      <c r="L554">
        <v>3243.91</v>
      </c>
      <c r="M554">
        <v>3313.49</v>
      </c>
    </row>
    <row r="555" spans="1:13" x14ac:dyDescent="0.25">
      <c r="A555" t="s">
        <v>598</v>
      </c>
      <c r="B555" s="3">
        <v>45503.447916666664</v>
      </c>
      <c r="C555" s="2" t="s">
        <v>58</v>
      </c>
      <c r="D555" s="2" t="s">
        <v>25</v>
      </c>
      <c r="E555" t="s">
        <v>28</v>
      </c>
      <c r="F555">
        <v>3495.43</v>
      </c>
      <c r="G555" s="2" t="s">
        <v>17</v>
      </c>
      <c r="H555"/>
      <c r="I555">
        <v>2.9</v>
      </c>
      <c r="J555">
        <v>1</v>
      </c>
      <c r="K555">
        <v>0</v>
      </c>
      <c r="L555">
        <v>0</v>
      </c>
      <c r="M555">
        <v>0</v>
      </c>
    </row>
    <row r="556" spans="1:13" x14ac:dyDescent="0.25">
      <c r="A556" t="s">
        <v>599</v>
      </c>
      <c r="B556" s="3">
        <v>45503.663888888892</v>
      </c>
      <c r="C556" s="2" t="s">
        <v>58</v>
      </c>
      <c r="D556" s="2" t="s">
        <v>25</v>
      </c>
      <c r="E556" t="s">
        <v>39</v>
      </c>
      <c r="F556">
        <v>1882.98</v>
      </c>
      <c r="G556" s="2" t="s">
        <v>34</v>
      </c>
      <c r="H556" t="s">
        <v>100</v>
      </c>
      <c r="I556">
        <v>3.2</v>
      </c>
      <c r="J556">
        <v>1</v>
      </c>
      <c r="K556">
        <v>0</v>
      </c>
      <c r="L556">
        <v>0</v>
      </c>
      <c r="M556">
        <v>0</v>
      </c>
    </row>
    <row r="557" spans="1:13" x14ac:dyDescent="0.25">
      <c r="A557" t="s">
        <v>600</v>
      </c>
      <c r="B557" s="3">
        <v>45504.059027777781</v>
      </c>
      <c r="C557" s="2" t="s">
        <v>13</v>
      </c>
      <c r="D557" s="2" t="s">
        <v>14</v>
      </c>
      <c r="E557" t="s">
        <v>39</v>
      </c>
      <c r="F557">
        <v>1936.97</v>
      </c>
      <c r="G557" s="2" t="s">
        <v>22</v>
      </c>
      <c r="H557"/>
      <c r="I557">
        <v>3.2</v>
      </c>
      <c r="J557">
        <v>8.7999999999999995E-2</v>
      </c>
      <c r="K557">
        <v>5.4542399999999995</v>
      </c>
      <c r="L557">
        <v>164.99912</v>
      </c>
      <c r="M557">
        <v>170.45336</v>
      </c>
    </row>
    <row r="558" spans="1:13" x14ac:dyDescent="0.25">
      <c r="A558" t="s">
        <v>601</v>
      </c>
      <c r="B558" s="3">
        <v>45504.940972222219</v>
      </c>
      <c r="C558" s="2" t="s">
        <v>43</v>
      </c>
      <c r="D558" s="2" t="s">
        <v>25</v>
      </c>
      <c r="E558" t="s">
        <v>33</v>
      </c>
      <c r="F558">
        <v>3811.68</v>
      </c>
      <c r="G558" s="2" t="s">
        <v>17</v>
      </c>
      <c r="H558"/>
      <c r="I558">
        <v>1.9</v>
      </c>
      <c r="J558">
        <v>1</v>
      </c>
      <c r="K558">
        <v>0</v>
      </c>
      <c r="L558">
        <v>0</v>
      </c>
      <c r="M558">
        <v>0</v>
      </c>
    </row>
    <row r="559" spans="1:13" x14ac:dyDescent="0.25">
      <c r="A559" t="s">
        <v>602</v>
      </c>
      <c r="B559" s="3">
        <v>45505.09375</v>
      </c>
      <c r="C559" s="2" t="s">
        <v>43</v>
      </c>
      <c r="D559" s="2" t="s">
        <v>25</v>
      </c>
      <c r="E559" t="s">
        <v>28</v>
      </c>
      <c r="F559">
        <v>139.55000000000001</v>
      </c>
      <c r="G559" s="2" t="s">
        <v>22</v>
      </c>
      <c r="H559"/>
      <c r="I559">
        <v>2.9</v>
      </c>
      <c r="J559">
        <v>1</v>
      </c>
      <c r="K559">
        <v>4.05</v>
      </c>
      <c r="L559">
        <v>135.5</v>
      </c>
      <c r="M559">
        <v>139.55000000000001</v>
      </c>
    </row>
    <row r="560" spans="1:13" x14ac:dyDescent="0.25">
      <c r="A560" t="s">
        <v>603</v>
      </c>
      <c r="B560" s="3">
        <v>45505.316666666666</v>
      </c>
      <c r="C560" s="2" t="s">
        <v>27</v>
      </c>
      <c r="D560" s="2" t="s">
        <v>25</v>
      </c>
      <c r="E560" t="s">
        <v>15</v>
      </c>
      <c r="F560">
        <v>4549.58</v>
      </c>
      <c r="G560" s="2" t="s">
        <v>22</v>
      </c>
      <c r="H560"/>
      <c r="I560">
        <v>2.5</v>
      </c>
      <c r="J560">
        <v>1</v>
      </c>
      <c r="K560">
        <v>113.74</v>
      </c>
      <c r="L560">
        <v>4435.84</v>
      </c>
      <c r="M560">
        <v>4549.58</v>
      </c>
    </row>
    <row r="561" spans="1:13" x14ac:dyDescent="0.25">
      <c r="A561" t="s">
        <v>604</v>
      </c>
      <c r="B561" s="3">
        <v>45505.623611111114</v>
      </c>
      <c r="C561" s="2" t="s">
        <v>31</v>
      </c>
      <c r="D561" s="2" t="s">
        <v>32</v>
      </c>
      <c r="E561" t="s">
        <v>28</v>
      </c>
      <c r="F561">
        <v>4617.8100000000004</v>
      </c>
      <c r="G561" s="2" t="s">
        <v>34</v>
      </c>
      <c r="H561" t="s">
        <v>62</v>
      </c>
      <c r="I561">
        <v>2.9</v>
      </c>
      <c r="J561">
        <v>1.17</v>
      </c>
      <c r="K561">
        <v>0</v>
      </c>
      <c r="L561">
        <v>0</v>
      </c>
      <c r="M561">
        <v>0</v>
      </c>
    </row>
    <row r="562" spans="1:13" x14ac:dyDescent="0.25">
      <c r="A562" t="s">
        <v>605</v>
      </c>
      <c r="B562" s="3">
        <v>45506.024305555555</v>
      </c>
      <c r="C562" s="2" t="s">
        <v>24</v>
      </c>
      <c r="D562" s="2" t="s">
        <v>25</v>
      </c>
      <c r="E562" t="s">
        <v>44</v>
      </c>
      <c r="F562">
        <v>4933.1499999999996</v>
      </c>
      <c r="G562" s="2" t="s">
        <v>22</v>
      </c>
      <c r="H562"/>
      <c r="I562">
        <v>2.1</v>
      </c>
      <c r="J562">
        <v>1</v>
      </c>
      <c r="K562">
        <v>103.6</v>
      </c>
      <c r="L562">
        <v>4829.55</v>
      </c>
      <c r="M562">
        <v>4933.1500000000005</v>
      </c>
    </row>
    <row r="563" spans="1:13" x14ac:dyDescent="0.25">
      <c r="A563" t="s">
        <v>606</v>
      </c>
      <c r="B563" s="3">
        <v>45506.226388888892</v>
      </c>
      <c r="C563" s="2" t="s">
        <v>27</v>
      </c>
      <c r="D563" s="2" t="s">
        <v>25</v>
      </c>
      <c r="E563" t="s">
        <v>28</v>
      </c>
      <c r="F563">
        <v>4880.88</v>
      </c>
      <c r="G563" s="2" t="s">
        <v>22</v>
      </c>
      <c r="H563"/>
      <c r="I563">
        <v>2.9</v>
      </c>
      <c r="J563">
        <v>1</v>
      </c>
      <c r="K563">
        <v>141.55000000000001</v>
      </c>
      <c r="L563">
        <v>4739.33</v>
      </c>
      <c r="M563">
        <v>4880.88</v>
      </c>
    </row>
    <row r="564" spans="1:13" x14ac:dyDescent="0.25">
      <c r="A564" t="s">
        <v>607</v>
      </c>
      <c r="B564" s="3">
        <v>45506.241666666669</v>
      </c>
      <c r="C564" s="2" t="s">
        <v>37</v>
      </c>
      <c r="D564" s="2" t="s">
        <v>38</v>
      </c>
      <c r="E564" t="s">
        <v>44</v>
      </c>
      <c r="F564">
        <v>3022.14</v>
      </c>
      <c r="G564" s="2" t="s">
        <v>17</v>
      </c>
      <c r="H564"/>
      <c r="I564">
        <v>2.1</v>
      </c>
      <c r="J564">
        <v>0.23</v>
      </c>
      <c r="K564">
        <v>0</v>
      </c>
      <c r="L564">
        <v>0</v>
      </c>
      <c r="M564">
        <v>0</v>
      </c>
    </row>
    <row r="565" spans="1:13" x14ac:dyDescent="0.25">
      <c r="A565" t="s">
        <v>608</v>
      </c>
      <c r="B565" s="3">
        <v>45506.27847222222</v>
      </c>
      <c r="C565" s="2" t="s">
        <v>13</v>
      </c>
      <c r="D565" s="2" t="s">
        <v>14</v>
      </c>
      <c r="E565" t="s">
        <v>44</v>
      </c>
      <c r="F565">
        <v>3976.28</v>
      </c>
      <c r="G565" s="2" t="s">
        <v>34</v>
      </c>
      <c r="H565" t="s">
        <v>62</v>
      </c>
      <c r="I565">
        <v>2.1</v>
      </c>
      <c r="J565">
        <v>8.7999999999999995E-2</v>
      </c>
      <c r="K565">
        <v>0</v>
      </c>
      <c r="L565">
        <v>0</v>
      </c>
      <c r="M565">
        <v>0</v>
      </c>
    </row>
    <row r="566" spans="1:13" x14ac:dyDescent="0.25">
      <c r="A566" t="s">
        <v>609</v>
      </c>
      <c r="B566" s="3">
        <v>45506.51666666667</v>
      </c>
      <c r="C566" s="2" t="s">
        <v>60</v>
      </c>
      <c r="D566" s="2" t="s">
        <v>25</v>
      </c>
      <c r="E566" t="s">
        <v>33</v>
      </c>
      <c r="F566">
        <v>4081.91</v>
      </c>
      <c r="G566" s="2" t="s">
        <v>22</v>
      </c>
      <c r="H566"/>
      <c r="I566">
        <v>1.9</v>
      </c>
      <c r="J566">
        <v>1</v>
      </c>
      <c r="K566">
        <v>77.56</v>
      </c>
      <c r="L566">
        <v>4004.35</v>
      </c>
      <c r="M566">
        <v>4081.91</v>
      </c>
    </row>
    <row r="567" spans="1:13" x14ac:dyDescent="0.25">
      <c r="A567" t="s">
        <v>610</v>
      </c>
      <c r="B567" s="3">
        <v>45506.538888888892</v>
      </c>
      <c r="C567" s="2" t="s">
        <v>13</v>
      </c>
      <c r="D567" s="2" t="s">
        <v>14</v>
      </c>
      <c r="E567" t="s">
        <v>39</v>
      </c>
      <c r="F567">
        <v>4547.0600000000004</v>
      </c>
      <c r="G567" s="2" t="s">
        <v>22</v>
      </c>
      <c r="H567"/>
      <c r="I567">
        <v>3.2</v>
      </c>
      <c r="J567">
        <v>8.7999999999999995E-2</v>
      </c>
      <c r="K567">
        <v>12.804879999999999</v>
      </c>
      <c r="L567">
        <v>387.33639999999997</v>
      </c>
      <c r="M567">
        <v>400.14127999999999</v>
      </c>
    </row>
    <row r="568" spans="1:13" x14ac:dyDescent="0.25">
      <c r="A568" t="s">
        <v>611</v>
      </c>
      <c r="B568" s="3">
        <v>45506.797222222223</v>
      </c>
      <c r="C568" s="2" t="s">
        <v>19</v>
      </c>
      <c r="D568" s="2" t="s">
        <v>20</v>
      </c>
      <c r="E568" t="s">
        <v>15</v>
      </c>
      <c r="F568">
        <v>936.91</v>
      </c>
      <c r="G568" s="2" t="s">
        <v>17</v>
      </c>
      <c r="H568"/>
      <c r="I568">
        <v>2.5</v>
      </c>
      <c r="J568">
        <v>8.7999999999999995E-2</v>
      </c>
      <c r="K568">
        <v>0</v>
      </c>
      <c r="L568">
        <v>0</v>
      </c>
      <c r="M568">
        <v>0</v>
      </c>
    </row>
    <row r="569" spans="1:13" x14ac:dyDescent="0.25">
      <c r="A569" t="s">
        <v>612</v>
      </c>
      <c r="B569" s="3">
        <v>45507.370138888888</v>
      </c>
      <c r="C569" s="2" t="s">
        <v>31</v>
      </c>
      <c r="D569" s="2" t="s">
        <v>32</v>
      </c>
      <c r="E569" t="s">
        <v>15</v>
      </c>
      <c r="F569">
        <v>3747.63</v>
      </c>
      <c r="G569" s="2" t="s">
        <v>22</v>
      </c>
      <c r="H569"/>
      <c r="I569">
        <v>2.5</v>
      </c>
      <c r="J569">
        <v>1.17</v>
      </c>
      <c r="K569">
        <v>109.61729999999999</v>
      </c>
      <c r="L569">
        <v>4275.1098000000002</v>
      </c>
      <c r="M569">
        <v>4384.7271000000001</v>
      </c>
    </row>
    <row r="570" spans="1:13" x14ac:dyDescent="0.25">
      <c r="A570" t="s">
        <v>613</v>
      </c>
      <c r="B570" s="3">
        <v>45507.496527777781</v>
      </c>
      <c r="C570" s="2" t="s">
        <v>60</v>
      </c>
      <c r="D570" s="2" t="s">
        <v>25</v>
      </c>
      <c r="E570" t="s">
        <v>33</v>
      </c>
      <c r="F570">
        <v>1155.1400000000001</v>
      </c>
      <c r="G570" s="2" t="s">
        <v>34</v>
      </c>
      <c r="H570" t="s">
        <v>55</v>
      </c>
      <c r="I570">
        <v>1.9</v>
      </c>
      <c r="J570">
        <v>1</v>
      </c>
      <c r="K570">
        <v>0</v>
      </c>
      <c r="L570">
        <v>0</v>
      </c>
      <c r="M570">
        <v>0</v>
      </c>
    </row>
    <row r="571" spans="1:13" x14ac:dyDescent="0.25">
      <c r="A571" t="s">
        <v>614</v>
      </c>
      <c r="B571" s="3">
        <v>45508.022916666669</v>
      </c>
      <c r="C571" s="2" t="s">
        <v>31</v>
      </c>
      <c r="D571" s="2" t="s">
        <v>32</v>
      </c>
      <c r="E571" t="s">
        <v>28</v>
      </c>
      <c r="F571">
        <v>735.18</v>
      </c>
      <c r="G571" s="2" t="s">
        <v>22</v>
      </c>
      <c r="H571"/>
      <c r="I571">
        <v>2.9</v>
      </c>
      <c r="J571">
        <v>1.17</v>
      </c>
      <c r="K571">
        <v>24.944399999999998</v>
      </c>
      <c r="L571">
        <v>835.21619999999996</v>
      </c>
      <c r="M571">
        <v>860.16059999999993</v>
      </c>
    </row>
    <row r="572" spans="1:13" x14ac:dyDescent="0.25">
      <c r="A572" t="s">
        <v>615</v>
      </c>
      <c r="B572" s="3">
        <v>45508.537499999999</v>
      </c>
      <c r="C572" s="2" t="s">
        <v>37</v>
      </c>
      <c r="D572" s="2" t="s">
        <v>38</v>
      </c>
      <c r="E572" t="s">
        <v>15</v>
      </c>
      <c r="F572">
        <v>1098.8599999999999</v>
      </c>
      <c r="G572" s="2" t="s">
        <v>22</v>
      </c>
      <c r="H572"/>
      <c r="I572">
        <v>2.5</v>
      </c>
      <c r="J572">
        <v>0.23</v>
      </c>
      <c r="K572">
        <v>6.3181000000000003</v>
      </c>
      <c r="L572">
        <v>246.41970000000003</v>
      </c>
      <c r="M572">
        <v>252.73780000000002</v>
      </c>
    </row>
    <row r="573" spans="1:13" x14ac:dyDescent="0.25">
      <c r="A573" t="s">
        <v>616</v>
      </c>
      <c r="B573" s="3">
        <v>45508.561805555553</v>
      </c>
      <c r="C573" s="2" t="s">
        <v>60</v>
      </c>
      <c r="D573" s="2" t="s">
        <v>25</v>
      </c>
      <c r="E573" t="s">
        <v>28</v>
      </c>
      <c r="F573">
        <v>2019.08</v>
      </c>
      <c r="G573" s="2" t="s">
        <v>22</v>
      </c>
      <c r="H573"/>
      <c r="I573">
        <v>2.9</v>
      </c>
      <c r="J573">
        <v>1</v>
      </c>
      <c r="K573">
        <v>58.55</v>
      </c>
      <c r="L573">
        <v>1960.53</v>
      </c>
      <c r="M573">
        <v>2019.08</v>
      </c>
    </row>
    <row r="574" spans="1:13" x14ac:dyDescent="0.25">
      <c r="A574" t="s">
        <v>617</v>
      </c>
      <c r="B574" s="3">
        <v>45508.934027777781</v>
      </c>
      <c r="C574" s="2" t="s">
        <v>31</v>
      </c>
      <c r="D574" s="2" t="s">
        <v>32</v>
      </c>
      <c r="E574" t="s">
        <v>33</v>
      </c>
      <c r="F574">
        <v>3084.07</v>
      </c>
      <c r="G574" s="2" t="s">
        <v>22</v>
      </c>
      <c r="H574"/>
      <c r="I574">
        <v>1.9</v>
      </c>
      <c r="J574">
        <v>1.17</v>
      </c>
      <c r="K574">
        <v>68.561999999999998</v>
      </c>
      <c r="L574">
        <v>3539.7998999999995</v>
      </c>
      <c r="M574">
        <v>3608.3618999999994</v>
      </c>
    </row>
    <row r="575" spans="1:13" x14ac:dyDescent="0.25">
      <c r="A575" t="s">
        <v>618</v>
      </c>
      <c r="B575" s="3">
        <v>45509.148611111108</v>
      </c>
      <c r="C575" s="2" t="s">
        <v>24</v>
      </c>
      <c r="D575" s="2" t="s">
        <v>25</v>
      </c>
      <c r="E575" t="s">
        <v>44</v>
      </c>
      <c r="F575">
        <v>4134.8900000000003</v>
      </c>
      <c r="G575" s="2" t="s">
        <v>22</v>
      </c>
      <c r="H575"/>
      <c r="I575">
        <v>2.1</v>
      </c>
      <c r="J575">
        <v>1</v>
      </c>
      <c r="K575">
        <v>86.83</v>
      </c>
      <c r="L575">
        <v>4048.06</v>
      </c>
      <c r="M575">
        <v>4134.8900000000003</v>
      </c>
    </row>
    <row r="576" spans="1:13" x14ac:dyDescent="0.25">
      <c r="A576" t="s">
        <v>619</v>
      </c>
      <c r="B576" s="3">
        <v>45510.095833333333</v>
      </c>
      <c r="C576" s="2" t="s">
        <v>19</v>
      </c>
      <c r="D576" s="2" t="s">
        <v>20</v>
      </c>
      <c r="E576" t="s">
        <v>15</v>
      </c>
      <c r="F576">
        <v>493.96</v>
      </c>
      <c r="G576" s="2" t="s">
        <v>22</v>
      </c>
      <c r="H576"/>
      <c r="I576">
        <v>2.5</v>
      </c>
      <c r="J576">
        <v>8.7999999999999995E-2</v>
      </c>
      <c r="K576">
        <v>1.0868</v>
      </c>
      <c r="L576">
        <v>42.381679999999996</v>
      </c>
      <c r="M576">
        <v>43.468479999999992</v>
      </c>
    </row>
    <row r="577" spans="1:13" x14ac:dyDescent="0.25">
      <c r="A577" t="s">
        <v>620</v>
      </c>
      <c r="B577" s="3">
        <v>45510.53402777778</v>
      </c>
      <c r="C577" s="2" t="s">
        <v>60</v>
      </c>
      <c r="D577" s="2" t="s">
        <v>25</v>
      </c>
      <c r="E577" t="s">
        <v>33</v>
      </c>
      <c r="F577">
        <v>3603.8</v>
      </c>
      <c r="G577" s="2" t="s">
        <v>34</v>
      </c>
      <c r="H577" t="s">
        <v>100</v>
      </c>
      <c r="I577">
        <v>1.9</v>
      </c>
      <c r="J577">
        <v>1</v>
      </c>
      <c r="K577">
        <v>0</v>
      </c>
      <c r="L577">
        <v>0</v>
      </c>
      <c r="M577">
        <v>0</v>
      </c>
    </row>
    <row r="578" spans="1:13" x14ac:dyDescent="0.25">
      <c r="A578" t="s">
        <v>621</v>
      </c>
      <c r="B578" s="3">
        <v>45510.82916666667</v>
      </c>
      <c r="C578" s="2" t="s">
        <v>37</v>
      </c>
      <c r="D578" s="2" t="s">
        <v>38</v>
      </c>
      <c r="E578" t="s">
        <v>39</v>
      </c>
      <c r="F578">
        <v>2879.96</v>
      </c>
      <c r="G578" s="2" t="s">
        <v>17</v>
      </c>
      <c r="H578"/>
      <c r="I578">
        <v>3.2</v>
      </c>
      <c r="J578">
        <v>0.23</v>
      </c>
      <c r="K578">
        <v>0</v>
      </c>
      <c r="L578">
        <v>0</v>
      </c>
      <c r="M578">
        <v>0</v>
      </c>
    </row>
    <row r="579" spans="1:13" x14ac:dyDescent="0.25">
      <c r="A579" t="s">
        <v>622</v>
      </c>
      <c r="B579" s="3">
        <v>45511.287499999999</v>
      </c>
      <c r="C579" s="2" t="s">
        <v>31</v>
      </c>
      <c r="D579" s="2" t="s">
        <v>32</v>
      </c>
      <c r="E579" t="s">
        <v>15</v>
      </c>
      <c r="F579">
        <v>904.69</v>
      </c>
      <c r="G579" s="2" t="s">
        <v>34</v>
      </c>
      <c r="H579" t="s">
        <v>78</v>
      </c>
      <c r="I579">
        <v>2.5</v>
      </c>
      <c r="J579">
        <v>1.17</v>
      </c>
      <c r="K579">
        <v>0</v>
      </c>
      <c r="L579">
        <v>0</v>
      </c>
      <c r="M579">
        <v>0</v>
      </c>
    </row>
    <row r="580" spans="1:13" x14ac:dyDescent="0.25">
      <c r="A580" t="s">
        <v>623</v>
      </c>
      <c r="B580" s="3">
        <v>45511.742361111108</v>
      </c>
      <c r="C580" s="2" t="s">
        <v>19</v>
      </c>
      <c r="D580" s="2" t="s">
        <v>20</v>
      </c>
      <c r="E580" t="s">
        <v>33</v>
      </c>
      <c r="F580">
        <v>141.01</v>
      </c>
      <c r="G580" s="2" t="s">
        <v>22</v>
      </c>
      <c r="H580"/>
      <c r="I580">
        <v>1.9</v>
      </c>
      <c r="J580">
        <v>8.7999999999999995E-2</v>
      </c>
      <c r="K580">
        <v>0.23583999999999999</v>
      </c>
      <c r="L580">
        <v>12.17304</v>
      </c>
      <c r="M580">
        <v>12.40888</v>
      </c>
    </row>
    <row r="581" spans="1:13" x14ac:dyDescent="0.25">
      <c r="A581" t="s">
        <v>624</v>
      </c>
      <c r="B581" s="3">
        <v>45511.836805555555</v>
      </c>
      <c r="C581" s="2" t="s">
        <v>31</v>
      </c>
      <c r="D581" s="2" t="s">
        <v>32</v>
      </c>
      <c r="E581" t="s">
        <v>28</v>
      </c>
      <c r="F581">
        <v>2389.27</v>
      </c>
      <c r="G581" s="2" t="s">
        <v>22</v>
      </c>
      <c r="H581"/>
      <c r="I581">
        <v>2.9</v>
      </c>
      <c r="J581">
        <v>1.17</v>
      </c>
      <c r="K581">
        <v>81.069299999999998</v>
      </c>
      <c r="L581">
        <v>2714.3766000000001</v>
      </c>
      <c r="M581">
        <v>2795.4459000000002</v>
      </c>
    </row>
    <row r="582" spans="1:13" x14ac:dyDescent="0.25">
      <c r="A582" t="s">
        <v>625</v>
      </c>
      <c r="B582" s="3">
        <v>45512.179861111108</v>
      </c>
      <c r="C582" s="2" t="s">
        <v>58</v>
      </c>
      <c r="D582" s="2" t="s">
        <v>25</v>
      </c>
      <c r="E582" t="s">
        <v>15</v>
      </c>
      <c r="F582">
        <v>2848.59</v>
      </c>
      <c r="G582" s="2" t="s">
        <v>34</v>
      </c>
      <c r="H582" t="s">
        <v>100</v>
      </c>
      <c r="I582">
        <v>2.5</v>
      </c>
      <c r="J582">
        <v>1</v>
      </c>
      <c r="K582">
        <v>0</v>
      </c>
      <c r="L582">
        <v>0</v>
      </c>
      <c r="M582">
        <v>0</v>
      </c>
    </row>
    <row r="583" spans="1:13" x14ac:dyDescent="0.25">
      <c r="A583" t="s">
        <v>626</v>
      </c>
      <c r="B583" s="3">
        <v>45512.62222222222</v>
      </c>
      <c r="C583" s="2" t="s">
        <v>24</v>
      </c>
      <c r="D583" s="2" t="s">
        <v>25</v>
      </c>
      <c r="E583" t="s">
        <v>15</v>
      </c>
      <c r="F583">
        <v>4138.82</v>
      </c>
      <c r="G583" s="2" t="s">
        <v>34</v>
      </c>
      <c r="H583" t="s">
        <v>55</v>
      </c>
      <c r="I583">
        <v>2.5</v>
      </c>
      <c r="J583">
        <v>1</v>
      </c>
      <c r="K583">
        <v>0</v>
      </c>
      <c r="L583">
        <v>0</v>
      </c>
      <c r="M583">
        <v>0</v>
      </c>
    </row>
    <row r="584" spans="1:13" x14ac:dyDescent="0.25">
      <c r="A584" t="s">
        <v>627</v>
      </c>
      <c r="B584" s="3">
        <v>45512.840277777781</v>
      </c>
      <c r="C584" s="2" t="s">
        <v>19</v>
      </c>
      <c r="D584" s="2" t="s">
        <v>20</v>
      </c>
      <c r="E584" t="s">
        <v>15</v>
      </c>
      <c r="F584">
        <v>277.24</v>
      </c>
      <c r="G584" s="2" t="s">
        <v>22</v>
      </c>
      <c r="H584"/>
      <c r="I584">
        <v>2.5</v>
      </c>
      <c r="J584">
        <v>8.7999999999999995E-2</v>
      </c>
      <c r="K584">
        <v>0.60983999999999994</v>
      </c>
      <c r="L584">
        <v>23.787279999999999</v>
      </c>
      <c r="M584">
        <v>24.397119999999997</v>
      </c>
    </row>
    <row r="585" spans="1:13" x14ac:dyDescent="0.25">
      <c r="A585" t="s">
        <v>628</v>
      </c>
      <c r="B585" s="3">
        <v>45513.238194444442</v>
      </c>
      <c r="C585" s="2" t="s">
        <v>19</v>
      </c>
      <c r="D585" s="2" t="s">
        <v>20</v>
      </c>
      <c r="E585" t="s">
        <v>15</v>
      </c>
      <c r="F585">
        <v>3863.12</v>
      </c>
      <c r="G585" s="2" t="s">
        <v>22</v>
      </c>
      <c r="H585"/>
      <c r="I585">
        <v>2.5</v>
      </c>
      <c r="J585">
        <v>8.7999999999999995E-2</v>
      </c>
      <c r="K585">
        <v>8.499039999999999</v>
      </c>
      <c r="L585">
        <v>331.45551999999998</v>
      </c>
      <c r="M585">
        <v>339.95455999999996</v>
      </c>
    </row>
    <row r="586" spans="1:13" x14ac:dyDescent="0.25">
      <c r="A586" t="s">
        <v>629</v>
      </c>
      <c r="B586" s="3">
        <v>45513.417361111111</v>
      </c>
      <c r="C586" s="2" t="s">
        <v>58</v>
      </c>
      <c r="D586" s="2" t="s">
        <v>25</v>
      </c>
      <c r="E586" t="s">
        <v>28</v>
      </c>
      <c r="F586">
        <v>39.44</v>
      </c>
      <c r="G586" s="2" t="s">
        <v>17</v>
      </c>
      <c r="H586"/>
      <c r="I586">
        <v>2.9</v>
      </c>
      <c r="J586">
        <v>1</v>
      </c>
      <c r="K586">
        <v>0</v>
      </c>
      <c r="L586">
        <v>0</v>
      </c>
      <c r="M586">
        <v>0</v>
      </c>
    </row>
    <row r="587" spans="1:13" x14ac:dyDescent="0.25">
      <c r="A587" t="s">
        <v>630</v>
      </c>
      <c r="B587" s="3">
        <v>45513.486111111109</v>
      </c>
      <c r="C587" s="2" t="s">
        <v>43</v>
      </c>
      <c r="D587" s="2" t="s">
        <v>25</v>
      </c>
      <c r="E587" t="s">
        <v>44</v>
      </c>
      <c r="F587">
        <v>888.92</v>
      </c>
      <c r="G587" s="2" t="s">
        <v>17</v>
      </c>
      <c r="H587"/>
      <c r="I587">
        <v>2.1</v>
      </c>
      <c r="J587">
        <v>1</v>
      </c>
      <c r="K587">
        <v>0</v>
      </c>
      <c r="L587">
        <v>0</v>
      </c>
      <c r="M587">
        <v>0</v>
      </c>
    </row>
    <row r="588" spans="1:13" x14ac:dyDescent="0.25">
      <c r="A588" t="s">
        <v>631</v>
      </c>
      <c r="B588" s="3">
        <v>45513.831944444442</v>
      </c>
      <c r="C588" s="2" t="s">
        <v>47</v>
      </c>
      <c r="D588" s="2" t="s">
        <v>25</v>
      </c>
      <c r="E588" t="s">
        <v>39</v>
      </c>
      <c r="F588">
        <v>1342.77</v>
      </c>
      <c r="G588" s="2" t="s">
        <v>22</v>
      </c>
      <c r="H588"/>
      <c r="I588">
        <v>3.2</v>
      </c>
      <c r="J588">
        <v>1</v>
      </c>
      <c r="K588">
        <v>42.97</v>
      </c>
      <c r="L588">
        <v>1299.8</v>
      </c>
      <c r="M588">
        <v>1342.77</v>
      </c>
    </row>
    <row r="589" spans="1:13" x14ac:dyDescent="0.25">
      <c r="A589" t="s">
        <v>632</v>
      </c>
      <c r="B589" s="3">
        <v>45514.784722222219</v>
      </c>
      <c r="C589" s="2" t="s">
        <v>37</v>
      </c>
      <c r="D589" s="2" t="s">
        <v>38</v>
      </c>
      <c r="E589" t="s">
        <v>33</v>
      </c>
      <c r="F589">
        <v>873.7</v>
      </c>
      <c r="G589" s="2" t="s">
        <v>22</v>
      </c>
      <c r="H589"/>
      <c r="I589">
        <v>1.9</v>
      </c>
      <c r="J589">
        <v>0.23</v>
      </c>
      <c r="K589">
        <v>3.8180000000000005</v>
      </c>
      <c r="L589">
        <v>197.13300000000001</v>
      </c>
      <c r="M589">
        <v>200.95100000000002</v>
      </c>
    </row>
    <row r="590" spans="1:13" x14ac:dyDescent="0.25">
      <c r="A590" t="s">
        <v>633</v>
      </c>
      <c r="B590" s="3">
        <v>45514.852083333331</v>
      </c>
      <c r="C590" s="2" t="s">
        <v>31</v>
      </c>
      <c r="D590" s="2" t="s">
        <v>32</v>
      </c>
      <c r="E590" t="s">
        <v>28</v>
      </c>
      <c r="F590">
        <v>1715.31</v>
      </c>
      <c r="G590" s="2" t="s">
        <v>34</v>
      </c>
      <c r="H590" t="s">
        <v>35</v>
      </c>
      <c r="I590">
        <v>2.9</v>
      </c>
      <c r="J590">
        <v>1.17</v>
      </c>
      <c r="K590">
        <v>0</v>
      </c>
      <c r="L590">
        <v>0</v>
      </c>
      <c r="M590">
        <v>0</v>
      </c>
    </row>
    <row r="591" spans="1:13" x14ac:dyDescent="0.25">
      <c r="A591" t="s">
        <v>634</v>
      </c>
      <c r="B591" s="3">
        <v>45514.880555555559</v>
      </c>
      <c r="C591" s="2" t="s">
        <v>24</v>
      </c>
      <c r="D591" s="2" t="s">
        <v>25</v>
      </c>
      <c r="E591" t="s">
        <v>39</v>
      </c>
      <c r="F591">
        <v>4256.0600000000004</v>
      </c>
      <c r="G591" s="2" t="s">
        <v>34</v>
      </c>
      <c r="H591" t="s">
        <v>62</v>
      </c>
      <c r="I591">
        <v>3.2</v>
      </c>
      <c r="J591">
        <v>1</v>
      </c>
      <c r="K591">
        <v>0</v>
      </c>
      <c r="L591">
        <v>0</v>
      </c>
      <c r="M591">
        <v>0</v>
      </c>
    </row>
    <row r="592" spans="1:13" x14ac:dyDescent="0.25">
      <c r="A592" t="s">
        <v>635</v>
      </c>
      <c r="B592" s="3">
        <v>45515.537499999999</v>
      </c>
      <c r="C592" s="2" t="s">
        <v>31</v>
      </c>
      <c r="D592" s="2" t="s">
        <v>32</v>
      </c>
      <c r="E592" t="s">
        <v>33</v>
      </c>
      <c r="F592">
        <v>26.5</v>
      </c>
      <c r="G592" s="2" t="s">
        <v>34</v>
      </c>
      <c r="H592" t="s">
        <v>78</v>
      </c>
      <c r="I592">
        <v>1.9</v>
      </c>
      <c r="J592">
        <v>1.17</v>
      </c>
      <c r="K592">
        <v>0</v>
      </c>
      <c r="L592">
        <v>0</v>
      </c>
      <c r="M592">
        <v>0</v>
      </c>
    </row>
    <row r="593" spans="1:13" x14ac:dyDescent="0.25">
      <c r="A593" t="s">
        <v>636</v>
      </c>
      <c r="B593" s="3">
        <v>45515.870833333334</v>
      </c>
      <c r="C593" s="2" t="s">
        <v>13</v>
      </c>
      <c r="D593" s="2" t="s">
        <v>14</v>
      </c>
      <c r="E593" t="s">
        <v>44</v>
      </c>
      <c r="F593">
        <v>1511.58</v>
      </c>
      <c r="G593" s="2" t="s">
        <v>34</v>
      </c>
      <c r="H593" t="s">
        <v>35</v>
      </c>
      <c r="I593">
        <v>2.1</v>
      </c>
      <c r="J593">
        <v>8.7999999999999995E-2</v>
      </c>
      <c r="K593">
        <v>0</v>
      </c>
      <c r="L593">
        <v>0</v>
      </c>
      <c r="M593">
        <v>0</v>
      </c>
    </row>
    <row r="594" spans="1:13" x14ac:dyDescent="0.25">
      <c r="A594" t="s">
        <v>637</v>
      </c>
      <c r="B594" s="3">
        <v>45516.938194444447</v>
      </c>
      <c r="C594" s="2" t="s">
        <v>31</v>
      </c>
      <c r="D594" s="2" t="s">
        <v>32</v>
      </c>
      <c r="E594" t="s">
        <v>28</v>
      </c>
      <c r="F594">
        <v>3998.58</v>
      </c>
      <c r="G594" s="2" t="s">
        <v>22</v>
      </c>
      <c r="H594"/>
      <c r="I594">
        <v>2.9</v>
      </c>
      <c r="J594">
        <v>1.17</v>
      </c>
      <c r="K594">
        <v>135.67319999999998</v>
      </c>
      <c r="L594">
        <v>4542.6653999999999</v>
      </c>
      <c r="M594">
        <v>4678.3386</v>
      </c>
    </row>
    <row r="595" spans="1:13" x14ac:dyDescent="0.25">
      <c r="A595" t="s">
        <v>638</v>
      </c>
      <c r="B595" s="3">
        <v>45517.114583333336</v>
      </c>
      <c r="C595" s="2" t="s">
        <v>47</v>
      </c>
      <c r="D595" s="2" t="s">
        <v>25</v>
      </c>
      <c r="E595" t="s">
        <v>44</v>
      </c>
      <c r="F595">
        <v>1685.88</v>
      </c>
      <c r="G595" s="2" t="s">
        <v>17</v>
      </c>
      <c r="H595"/>
      <c r="I595">
        <v>2.1</v>
      </c>
      <c r="J595">
        <v>1</v>
      </c>
      <c r="K595">
        <v>0</v>
      </c>
      <c r="L595">
        <v>0</v>
      </c>
      <c r="M595">
        <v>0</v>
      </c>
    </row>
    <row r="596" spans="1:13" x14ac:dyDescent="0.25">
      <c r="A596" t="s">
        <v>639</v>
      </c>
      <c r="B596" s="3">
        <v>45517.218055555553</v>
      </c>
      <c r="C596" s="2" t="s">
        <v>31</v>
      </c>
      <c r="D596" s="2" t="s">
        <v>32</v>
      </c>
      <c r="E596" t="s">
        <v>33</v>
      </c>
      <c r="F596">
        <v>1065.47</v>
      </c>
      <c r="G596" s="2" t="s">
        <v>22</v>
      </c>
      <c r="H596"/>
      <c r="I596">
        <v>1.9</v>
      </c>
      <c r="J596">
        <v>1.17</v>
      </c>
      <c r="K596">
        <v>23.680799999999998</v>
      </c>
      <c r="L596">
        <v>1222.9190999999998</v>
      </c>
      <c r="M596">
        <v>1246.5998999999999</v>
      </c>
    </row>
    <row r="597" spans="1:13" x14ac:dyDescent="0.25">
      <c r="A597" t="s">
        <v>640</v>
      </c>
      <c r="B597" s="3">
        <v>45517.424305555556</v>
      </c>
      <c r="C597" s="2" t="s">
        <v>60</v>
      </c>
      <c r="D597" s="2" t="s">
        <v>25</v>
      </c>
      <c r="E597" t="s">
        <v>39</v>
      </c>
      <c r="F597">
        <v>579.29</v>
      </c>
      <c r="G597" s="2" t="s">
        <v>22</v>
      </c>
      <c r="H597"/>
      <c r="I597">
        <v>3.2</v>
      </c>
      <c r="J597">
        <v>1</v>
      </c>
      <c r="K597">
        <v>18.54</v>
      </c>
      <c r="L597">
        <v>560.75</v>
      </c>
      <c r="M597">
        <v>579.29</v>
      </c>
    </row>
    <row r="598" spans="1:13" x14ac:dyDescent="0.25">
      <c r="A598" t="s">
        <v>641</v>
      </c>
      <c r="B598" s="3">
        <v>45517.490277777775</v>
      </c>
      <c r="C598" s="2" t="s">
        <v>24</v>
      </c>
      <c r="D598" s="2" t="s">
        <v>25</v>
      </c>
      <c r="E598" t="s">
        <v>44</v>
      </c>
      <c r="F598">
        <v>3084.22</v>
      </c>
      <c r="G598" s="2" t="s">
        <v>34</v>
      </c>
      <c r="H598" t="s">
        <v>35</v>
      </c>
      <c r="I598">
        <v>2.1</v>
      </c>
      <c r="J598">
        <v>1</v>
      </c>
      <c r="K598">
        <v>0</v>
      </c>
      <c r="L598">
        <v>0</v>
      </c>
      <c r="M598">
        <v>0</v>
      </c>
    </row>
    <row r="599" spans="1:13" x14ac:dyDescent="0.25">
      <c r="A599" t="s">
        <v>642</v>
      </c>
      <c r="B599" s="3">
        <v>45518.381944444445</v>
      </c>
      <c r="C599" s="2" t="s">
        <v>58</v>
      </c>
      <c r="D599" s="2" t="s">
        <v>25</v>
      </c>
      <c r="E599" t="s">
        <v>15</v>
      </c>
      <c r="F599">
        <v>4179.2</v>
      </c>
      <c r="G599" s="2" t="s">
        <v>17</v>
      </c>
      <c r="H599"/>
      <c r="I599">
        <v>2.5</v>
      </c>
      <c r="J599">
        <v>1</v>
      </c>
      <c r="K599">
        <v>0</v>
      </c>
      <c r="L599">
        <v>0</v>
      </c>
      <c r="M599">
        <v>0</v>
      </c>
    </row>
    <row r="600" spans="1:13" x14ac:dyDescent="0.25">
      <c r="A600" t="s">
        <v>643</v>
      </c>
      <c r="B600" s="3">
        <v>45518.390972222223</v>
      </c>
      <c r="C600" s="2" t="s">
        <v>58</v>
      </c>
      <c r="D600" s="2" t="s">
        <v>25</v>
      </c>
      <c r="E600" t="s">
        <v>39</v>
      </c>
      <c r="F600">
        <v>1524.83</v>
      </c>
      <c r="G600" s="2" t="s">
        <v>22</v>
      </c>
      <c r="H600"/>
      <c r="I600">
        <v>3.2</v>
      </c>
      <c r="J600">
        <v>1</v>
      </c>
      <c r="K600">
        <v>48.79</v>
      </c>
      <c r="L600">
        <v>1476.04</v>
      </c>
      <c r="M600">
        <v>1524.83</v>
      </c>
    </row>
    <row r="601" spans="1:13" x14ac:dyDescent="0.25">
      <c r="A601" t="s">
        <v>644</v>
      </c>
      <c r="B601" s="3">
        <v>45518.553472222222</v>
      </c>
      <c r="C601" s="2" t="s">
        <v>24</v>
      </c>
      <c r="D601" s="2" t="s">
        <v>25</v>
      </c>
      <c r="E601" t="s">
        <v>33</v>
      </c>
      <c r="F601">
        <v>1732.41</v>
      </c>
      <c r="G601" s="2" t="s">
        <v>22</v>
      </c>
      <c r="H601"/>
      <c r="I601">
        <v>1.9</v>
      </c>
      <c r="J601">
        <v>1</v>
      </c>
      <c r="K601">
        <v>32.92</v>
      </c>
      <c r="L601">
        <v>1699.49</v>
      </c>
      <c r="M601">
        <v>1732.41</v>
      </c>
    </row>
    <row r="602" spans="1:13" x14ac:dyDescent="0.25">
      <c r="A602" t="s">
        <v>645</v>
      </c>
      <c r="B602" s="3">
        <v>45518.827777777777</v>
      </c>
      <c r="C602" s="2" t="s">
        <v>13</v>
      </c>
      <c r="D602" s="2" t="s">
        <v>14</v>
      </c>
      <c r="E602" t="s">
        <v>15</v>
      </c>
      <c r="F602">
        <v>2235.11</v>
      </c>
      <c r="G602" s="2" t="s">
        <v>22</v>
      </c>
      <c r="H602"/>
      <c r="I602">
        <v>2.5</v>
      </c>
      <c r="J602">
        <v>8.7999999999999995E-2</v>
      </c>
      <c r="K602">
        <v>4.91744</v>
      </c>
      <c r="L602">
        <v>191.77223999999998</v>
      </c>
      <c r="M602">
        <v>196.68967999999998</v>
      </c>
    </row>
    <row r="603" spans="1:13" x14ac:dyDescent="0.25">
      <c r="A603" t="s">
        <v>646</v>
      </c>
      <c r="B603" s="3">
        <v>45520.039583333331</v>
      </c>
      <c r="C603" s="2" t="s">
        <v>43</v>
      </c>
      <c r="D603" s="2" t="s">
        <v>25</v>
      </c>
      <c r="E603" t="s">
        <v>44</v>
      </c>
      <c r="F603">
        <v>4665.1400000000003</v>
      </c>
      <c r="G603" s="2" t="s">
        <v>34</v>
      </c>
      <c r="H603" t="s">
        <v>62</v>
      </c>
      <c r="I603">
        <v>2.1</v>
      </c>
      <c r="J603">
        <v>1</v>
      </c>
      <c r="K603">
        <v>0</v>
      </c>
      <c r="L603">
        <v>0</v>
      </c>
      <c r="M603">
        <v>0</v>
      </c>
    </row>
    <row r="604" spans="1:13" x14ac:dyDescent="0.25">
      <c r="A604" t="s">
        <v>647</v>
      </c>
      <c r="B604" s="3">
        <v>45520.073611111111</v>
      </c>
      <c r="C604" s="2" t="s">
        <v>37</v>
      </c>
      <c r="D604" s="2" t="s">
        <v>38</v>
      </c>
      <c r="E604" t="s">
        <v>33</v>
      </c>
      <c r="F604">
        <v>1380.03</v>
      </c>
      <c r="G604" s="2" t="s">
        <v>22</v>
      </c>
      <c r="H604"/>
      <c r="I604">
        <v>1.9</v>
      </c>
      <c r="J604">
        <v>0.23</v>
      </c>
      <c r="K604">
        <v>6.0305999999999997</v>
      </c>
      <c r="L604">
        <v>311.37630000000001</v>
      </c>
      <c r="M604">
        <v>317.40690000000001</v>
      </c>
    </row>
    <row r="605" spans="1:13" x14ac:dyDescent="0.25">
      <c r="A605" t="s">
        <v>648</v>
      </c>
      <c r="B605" s="3">
        <v>45520.21597222222</v>
      </c>
      <c r="C605" s="2" t="s">
        <v>19</v>
      </c>
      <c r="D605" s="2" t="s">
        <v>20</v>
      </c>
      <c r="E605" t="s">
        <v>33</v>
      </c>
      <c r="F605">
        <v>3682.24</v>
      </c>
      <c r="G605" s="2" t="s">
        <v>34</v>
      </c>
      <c r="H605" t="s">
        <v>62</v>
      </c>
      <c r="I605">
        <v>1.9</v>
      </c>
      <c r="J605">
        <v>8.7999999999999995E-2</v>
      </c>
      <c r="K605">
        <v>0</v>
      </c>
      <c r="L605">
        <v>0</v>
      </c>
      <c r="M605">
        <v>0</v>
      </c>
    </row>
    <row r="606" spans="1:13" x14ac:dyDescent="0.25">
      <c r="A606" t="s">
        <v>649</v>
      </c>
      <c r="B606" s="3">
        <v>45520.475694444445</v>
      </c>
      <c r="C606" s="2" t="s">
        <v>43</v>
      </c>
      <c r="D606" s="2" t="s">
        <v>25</v>
      </c>
      <c r="E606" t="s">
        <v>33</v>
      </c>
      <c r="F606">
        <v>762.22</v>
      </c>
      <c r="G606" s="2" t="s">
        <v>22</v>
      </c>
      <c r="H606"/>
      <c r="I606">
        <v>1.9</v>
      </c>
      <c r="J606">
        <v>1</v>
      </c>
      <c r="K606">
        <v>14.48</v>
      </c>
      <c r="L606">
        <v>747.74</v>
      </c>
      <c r="M606">
        <v>762.22</v>
      </c>
    </row>
    <row r="607" spans="1:13" x14ac:dyDescent="0.25">
      <c r="A607" t="s">
        <v>650</v>
      </c>
      <c r="B607" s="3">
        <v>45521.8125</v>
      </c>
      <c r="C607" s="2" t="s">
        <v>19</v>
      </c>
      <c r="D607" s="2" t="s">
        <v>20</v>
      </c>
      <c r="E607" t="s">
        <v>15</v>
      </c>
      <c r="F607">
        <v>2538</v>
      </c>
      <c r="G607" s="2" t="s">
        <v>34</v>
      </c>
      <c r="H607" t="s">
        <v>100</v>
      </c>
      <c r="I607">
        <v>2.5</v>
      </c>
      <c r="J607">
        <v>8.7999999999999995E-2</v>
      </c>
      <c r="K607">
        <v>0</v>
      </c>
      <c r="L607">
        <v>0</v>
      </c>
      <c r="M607">
        <v>0</v>
      </c>
    </row>
    <row r="608" spans="1:13" x14ac:dyDescent="0.25">
      <c r="A608" t="s">
        <v>651</v>
      </c>
      <c r="B608" s="3">
        <v>45522.366666666669</v>
      </c>
      <c r="C608" s="2" t="s">
        <v>24</v>
      </c>
      <c r="D608" s="2" t="s">
        <v>25</v>
      </c>
      <c r="E608" t="s">
        <v>39</v>
      </c>
      <c r="F608">
        <v>2428.14</v>
      </c>
      <c r="G608" s="2" t="s">
        <v>22</v>
      </c>
      <c r="H608"/>
      <c r="I608">
        <v>3.2</v>
      </c>
      <c r="J608">
        <v>1</v>
      </c>
      <c r="K608">
        <v>77.7</v>
      </c>
      <c r="L608">
        <v>2350.44</v>
      </c>
      <c r="M608">
        <v>2428.14</v>
      </c>
    </row>
    <row r="609" spans="1:13" x14ac:dyDescent="0.25">
      <c r="A609" t="s">
        <v>652</v>
      </c>
      <c r="B609" s="3">
        <v>45522.515277777777</v>
      </c>
      <c r="C609" s="2" t="s">
        <v>24</v>
      </c>
      <c r="D609" s="2" t="s">
        <v>25</v>
      </c>
      <c r="E609" t="s">
        <v>44</v>
      </c>
      <c r="F609">
        <v>3026.82</v>
      </c>
      <c r="G609" s="2" t="s">
        <v>17</v>
      </c>
      <c r="H609"/>
      <c r="I609">
        <v>2.1</v>
      </c>
      <c r="J609">
        <v>1</v>
      </c>
      <c r="K609">
        <v>0</v>
      </c>
      <c r="L609">
        <v>0</v>
      </c>
      <c r="M609">
        <v>0</v>
      </c>
    </row>
    <row r="610" spans="1:13" x14ac:dyDescent="0.25">
      <c r="A610" t="s">
        <v>653</v>
      </c>
      <c r="B610" s="3">
        <v>45522.59652777778</v>
      </c>
      <c r="C610" s="2" t="s">
        <v>19</v>
      </c>
      <c r="D610" s="2" t="s">
        <v>20</v>
      </c>
      <c r="E610" t="s">
        <v>15</v>
      </c>
      <c r="F610">
        <v>2847.46</v>
      </c>
      <c r="G610" s="2" t="s">
        <v>22</v>
      </c>
      <c r="H610"/>
      <c r="I610">
        <v>2.5</v>
      </c>
      <c r="J610">
        <v>8.7999999999999995E-2</v>
      </c>
      <c r="K610">
        <v>6.2647199999999996</v>
      </c>
      <c r="L610">
        <v>244.31175999999999</v>
      </c>
      <c r="M610">
        <v>250.57648</v>
      </c>
    </row>
    <row r="611" spans="1:13" x14ac:dyDescent="0.25">
      <c r="A611" t="s">
        <v>654</v>
      </c>
      <c r="B611" s="3">
        <v>45522.612500000003</v>
      </c>
      <c r="C611" s="2" t="s">
        <v>19</v>
      </c>
      <c r="D611" s="2" t="s">
        <v>20</v>
      </c>
      <c r="E611" t="s">
        <v>33</v>
      </c>
      <c r="F611">
        <v>4819.6400000000003</v>
      </c>
      <c r="G611" s="2" t="s">
        <v>22</v>
      </c>
      <c r="H611"/>
      <c r="I611">
        <v>1.9</v>
      </c>
      <c r="J611">
        <v>8.7999999999999995E-2</v>
      </c>
      <c r="K611">
        <v>8.0581599999999991</v>
      </c>
      <c r="L611">
        <v>416.07015999999993</v>
      </c>
      <c r="M611">
        <v>424.12831999999992</v>
      </c>
    </row>
    <row r="612" spans="1:13" x14ac:dyDescent="0.25">
      <c r="A612" t="s">
        <v>655</v>
      </c>
      <c r="B612" s="3">
        <v>45522.67291666667</v>
      </c>
      <c r="C612" s="2" t="s">
        <v>58</v>
      </c>
      <c r="D612" s="2" t="s">
        <v>25</v>
      </c>
      <c r="E612" t="s">
        <v>28</v>
      </c>
      <c r="F612">
        <v>4085.35</v>
      </c>
      <c r="G612" s="2" t="s">
        <v>22</v>
      </c>
      <c r="H612"/>
      <c r="I612">
        <v>2.9</v>
      </c>
      <c r="J612">
        <v>1</v>
      </c>
      <c r="K612">
        <v>118.48</v>
      </c>
      <c r="L612">
        <v>3966.87</v>
      </c>
      <c r="M612">
        <v>4085.35</v>
      </c>
    </row>
    <row r="613" spans="1:13" x14ac:dyDescent="0.25">
      <c r="A613" t="s">
        <v>656</v>
      </c>
      <c r="B613" s="3">
        <v>45522.768750000003</v>
      </c>
      <c r="C613" s="2" t="s">
        <v>58</v>
      </c>
      <c r="D613" s="2" t="s">
        <v>25</v>
      </c>
      <c r="E613" t="s">
        <v>28</v>
      </c>
      <c r="F613">
        <v>1036.8599999999999</v>
      </c>
      <c r="G613" s="2" t="s">
        <v>22</v>
      </c>
      <c r="H613"/>
      <c r="I613">
        <v>2.9</v>
      </c>
      <c r="J613">
        <v>1</v>
      </c>
      <c r="K613">
        <v>30.07</v>
      </c>
      <c r="L613">
        <v>1006.79</v>
      </c>
      <c r="M613">
        <v>1036.8599999999999</v>
      </c>
    </row>
    <row r="614" spans="1:13" x14ac:dyDescent="0.25">
      <c r="A614" t="s">
        <v>657</v>
      </c>
      <c r="B614" s="3">
        <v>45523.635416666664</v>
      </c>
      <c r="C614" s="2" t="s">
        <v>31</v>
      </c>
      <c r="D614" s="2" t="s">
        <v>32</v>
      </c>
      <c r="E614" t="s">
        <v>33</v>
      </c>
      <c r="F614">
        <v>3468.87</v>
      </c>
      <c r="G614" s="2" t="s">
        <v>34</v>
      </c>
      <c r="H614" t="s">
        <v>35</v>
      </c>
      <c r="I614">
        <v>1.9</v>
      </c>
      <c r="J614">
        <v>1.17</v>
      </c>
      <c r="K614">
        <v>0</v>
      </c>
      <c r="L614">
        <v>0</v>
      </c>
      <c r="M614">
        <v>0</v>
      </c>
    </row>
    <row r="615" spans="1:13" x14ac:dyDescent="0.25">
      <c r="A615" t="s">
        <v>658</v>
      </c>
      <c r="B615" s="3">
        <v>45524.031944444447</v>
      </c>
      <c r="C615" s="2" t="s">
        <v>47</v>
      </c>
      <c r="D615" s="2" t="s">
        <v>25</v>
      </c>
      <c r="E615" t="s">
        <v>33</v>
      </c>
      <c r="F615">
        <v>2543.33</v>
      </c>
      <c r="G615" s="2" t="s">
        <v>22</v>
      </c>
      <c r="H615"/>
      <c r="I615">
        <v>1.9</v>
      </c>
      <c r="J615">
        <v>1</v>
      </c>
      <c r="K615">
        <v>48.32</v>
      </c>
      <c r="L615">
        <v>2495.0100000000002</v>
      </c>
      <c r="M615">
        <v>2543.3300000000004</v>
      </c>
    </row>
    <row r="616" spans="1:13" x14ac:dyDescent="0.25">
      <c r="A616" t="s">
        <v>659</v>
      </c>
      <c r="B616" s="3">
        <v>45524.113888888889</v>
      </c>
      <c r="C616" s="2" t="s">
        <v>60</v>
      </c>
      <c r="D616" s="2" t="s">
        <v>25</v>
      </c>
      <c r="E616" t="s">
        <v>44</v>
      </c>
      <c r="F616">
        <v>2083.9499999999998</v>
      </c>
      <c r="G616" s="2" t="s">
        <v>34</v>
      </c>
      <c r="H616" t="s">
        <v>35</v>
      </c>
      <c r="I616">
        <v>2.1</v>
      </c>
      <c r="J616">
        <v>1</v>
      </c>
      <c r="K616">
        <v>0</v>
      </c>
      <c r="L616">
        <v>0</v>
      </c>
      <c r="M616">
        <v>0</v>
      </c>
    </row>
    <row r="617" spans="1:13" x14ac:dyDescent="0.25">
      <c r="A617" t="s">
        <v>660</v>
      </c>
      <c r="B617" s="3">
        <v>45524.427083333336</v>
      </c>
      <c r="C617" s="2" t="s">
        <v>19</v>
      </c>
      <c r="D617" s="2" t="s">
        <v>20</v>
      </c>
      <c r="E617" t="s">
        <v>33</v>
      </c>
      <c r="F617">
        <v>4224.03</v>
      </c>
      <c r="G617" s="2" t="s">
        <v>22</v>
      </c>
      <c r="H617"/>
      <c r="I617">
        <v>1.9</v>
      </c>
      <c r="J617">
        <v>8.7999999999999995E-2</v>
      </c>
      <c r="K617">
        <v>7.0628799999999998</v>
      </c>
      <c r="L617">
        <v>364.65176000000002</v>
      </c>
      <c r="M617">
        <v>371.71464000000003</v>
      </c>
    </row>
    <row r="618" spans="1:13" x14ac:dyDescent="0.25">
      <c r="A618" t="s">
        <v>661</v>
      </c>
      <c r="B618" s="3">
        <v>45524.625694444447</v>
      </c>
      <c r="C618" s="2" t="s">
        <v>31</v>
      </c>
      <c r="D618" s="2" t="s">
        <v>32</v>
      </c>
      <c r="E618" t="s">
        <v>15</v>
      </c>
      <c r="F618">
        <v>1763.69</v>
      </c>
      <c r="G618" s="2" t="s">
        <v>34</v>
      </c>
      <c r="H618" t="s">
        <v>35</v>
      </c>
      <c r="I618">
        <v>2.5</v>
      </c>
      <c r="J618">
        <v>1.17</v>
      </c>
      <c r="K618">
        <v>0</v>
      </c>
      <c r="L618">
        <v>0</v>
      </c>
      <c r="M618">
        <v>0</v>
      </c>
    </row>
    <row r="619" spans="1:13" x14ac:dyDescent="0.25">
      <c r="A619" t="s">
        <v>662</v>
      </c>
      <c r="B619" s="3">
        <v>45524.693055555559</v>
      </c>
      <c r="C619" s="2" t="s">
        <v>58</v>
      </c>
      <c r="D619" s="2" t="s">
        <v>25</v>
      </c>
      <c r="E619" t="s">
        <v>28</v>
      </c>
      <c r="F619">
        <v>4265.4399999999996</v>
      </c>
      <c r="G619" s="2" t="s">
        <v>17</v>
      </c>
      <c r="H619"/>
      <c r="I619">
        <v>2.9</v>
      </c>
      <c r="J619">
        <v>1</v>
      </c>
      <c r="K619">
        <v>0</v>
      </c>
      <c r="L619">
        <v>0</v>
      </c>
      <c r="M619">
        <v>0</v>
      </c>
    </row>
    <row r="620" spans="1:13" x14ac:dyDescent="0.25">
      <c r="A620" t="s">
        <v>663</v>
      </c>
      <c r="B620" s="3">
        <v>45524.818055555559</v>
      </c>
      <c r="C620" s="2" t="s">
        <v>60</v>
      </c>
      <c r="D620" s="2" t="s">
        <v>25</v>
      </c>
      <c r="E620" t="s">
        <v>39</v>
      </c>
      <c r="F620">
        <v>606.02</v>
      </c>
      <c r="G620" s="2" t="s">
        <v>22</v>
      </c>
      <c r="H620"/>
      <c r="I620">
        <v>3.2</v>
      </c>
      <c r="J620">
        <v>1</v>
      </c>
      <c r="K620">
        <v>19.39</v>
      </c>
      <c r="L620">
        <v>586.63</v>
      </c>
      <c r="M620">
        <v>606.02</v>
      </c>
    </row>
    <row r="621" spans="1:13" x14ac:dyDescent="0.25">
      <c r="A621" t="s">
        <v>664</v>
      </c>
      <c r="B621" s="3">
        <v>45524.845138888886</v>
      </c>
      <c r="C621" s="2" t="s">
        <v>19</v>
      </c>
      <c r="D621" s="2" t="s">
        <v>20</v>
      </c>
      <c r="E621" t="s">
        <v>28</v>
      </c>
      <c r="F621">
        <v>4849.1499999999996</v>
      </c>
      <c r="G621" s="2" t="s">
        <v>17</v>
      </c>
      <c r="H621"/>
      <c r="I621">
        <v>2.9</v>
      </c>
      <c r="J621">
        <v>8.7999999999999995E-2</v>
      </c>
      <c r="K621">
        <v>0</v>
      </c>
      <c r="L621">
        <v>0</v>
      </c>
      <c r="M621">
        <v>0</v>
      </c>
    </row>
    <row r="622" spans="1:13" x14ac:dyDescent="0.25">
      <c r="A622" t="s">
        <v>665</v>
      </c>
      <c r="B622" s="3">
        <v>45524.896527777775</v>
      </c>
      <c r="C622" s="2" t="s">
        <v>31</v>
      </c>
      <c r="D622" s="2" t="s">
        <v>32</v>
      </c>
      <c r="E622" t="s">
        <v>44</v>
      </c>
      <c r="F622">
        <v>960.82</v>
      </c>
      <c r="G622" s="2" t="s">
        <v>22</v>
      </c>
      <c r="H622"/>
      <c r="I622">
        <v>2.1</v>
      </c>
      <c r="J622">
        <v>1.17</v>
      </c>
      <c r="K622">
        <v>23.610599999999998</v>
      </c>
      <c r="L622">
        <v>1100.5488</v>
      </c>
      <c r="M622">
        <v>1124.1594</v>
      </c>
    </row>
    <row r="623" spans="1:13" x14ac:dyDescent="0.25">
      <c r="A623" t="s">
        <v>666</v>
      </c>
      <c r="B623" s="3">
        <v>45525.018750000003</v>
      </c>
      <c r="C623" s="2" t="s">
        <v>24</v>
      </c>
      <c r="D623" s="2" t="s">
        <v>25</v>
      </c>
      <c r="E623" t="s">
        <v>44</v>
      </c>
      <c r="F623">
        <v>803.3</v>
      </c>
      <c r="G623" s="2" t="s">
        <v>22</v>
      </c>
      <c r="H623"/>
      <c r="I623">
        <v>2.1</v>
      </c>
      <c r="J623">
        <v>1</v>
      </c>
      <c r="K623">
        <v>16.87</v>
      </c>
      <c r="L623">
        <v>786.43</v>
      </c>
      <c r="M623">
        <v>803.3</v>
      </c>
    </row>
    <row r="624" spans="1:13" x14ac:dyDescent="0.25">
      <c r="A624" t="s">
        <v>667</v>
      </c>
      <c r="B624" s="3">
        <v>45525.580555555556</v>
      </c>
      <c r="C624" s="2" t="s">
        <v>19</v>
      </c>
      <c r="D624" s="2" t="s">
        <v>20</v>
      </c>
      <c r="E624" t="s">
        <v>44</v>
      </c>
      <c r="F624">
        <v>2476.94</v>
      </c>
      <c r="G624" s="2" t="s">
        <v>22</v>
      </c>
      <c r="H624"/>
      <c r="I624">
        <v>2.1</v>
      </c>
      <c r="J624">
        <v>8.7999999999999995E-2</v>
      </c>
      <c r="K624">
        <v>4.5777599999999996</v>
      </c>
      <c r="L624">
        <v>213.39295999999999</v>
      </c>
      <c r="M624">
        <v>217.97072</v>
      </c>
    </row>
    <row r="625" spans="1:13" x14ac:dyDescent="0.25">
      <c r="A625" t="s">
        <v>668</v>
      </c>
      <c r="B625" s="3">
        <v>45525.798611111109</v>
      </c>
      <c r="C625" s="2" t="s">
        <v>19</v>
      </c>
      <c r="D625" s="2" t="s">
        <v>20</v>
      </c>
      <c r="E625" t="s">
        <v>28</v>
      </c>
      <c r="F625">
        <v>579.76</v>
      </c>
      <c r="G625" s="2" t="s">
        <v>17</v>
      </c>
      <c r="H625"/>
      <c r="I625">
        <v>2.9</v>
      </c>
      <c r="J625">
        <v>8.7999999999999995E-2</v>
      </c>
      <c r="K625">
        <v>0</v>
      </c>
      <c r="L625">
        <v>0</v>
      </c>
      <c r="M625">
        <v>0</v>
      </c>
    </row>
    <row r="626" spans="1:13" x14ac:dyDescent="0.25">
      <c r="A626" t="s">
        <v>669</v>
      </c>
      <c r="B626" s="3">
        <v>45525.984027777777</v>
      </c>
      <c r="C626" s="2" t="s">
        <v>37</v>
      </c>
      <c r="D626" s="2" t="s">
        <v>38</v>
      </c>
      <c r="E626" t="s">
        <v>28</v>
      </c>
      <c r="F626">
        <v>3844.87</v>
      </c>
      <c r="G626" s="2" t="s">
        <v>22</v>
      </c>
      <c r="H626"/>
      <c r="I626">
        <v>2.9</v>
      </c>
      <c r="J626">
        <v>0.23</v>
      </c>
      <c r="K626">
        <v>25.645</v>
      </c>
      <c r="L626">
        <v>858.67510000000004</v>
      </c>
      <c r="M626">
        <v>884.32010000000002</v>
      </c>
    </row>
    <row r="627" spans="1:13" x14ac:dyDescent="0.25">
      <c r="A627" t="s">
        <v>670</v>
      </c>
      <c r="B627" s="3">
        <v>45526.086805555555</v>
      </c>
      <c r="C627" s="2" t="s">
        <v>58</v>
      </c>
      <c r="D627" s="2" t="s">
        <v>25</v>
      </c>
      <c r="E627" t="s">
        <v>44</v>
      </c>
      <c r="F627">
        <v>4791.7</v>
      </c>
      <c r="G627" s="2" t="s">
        <v>22</v>
      </c>
      <c r="H627"/>
      <c r="I627">
        <v>2.1</v>
      </c>
      <c r="J627">
        <v>1</v>
      </c>
      <c r="K627">
        <v>100.63</v>
      </c>
      <c r="L627">
        <v>4691.07</v>
      </c>
      <c r="M627">
        <v>4791.7</v>
      </c>
    </row>
    <row r="628" spans="1:13" x14ac:dyDescent="0.25">
      <c r="A628" t="s">
        <v>671</v>
      </c>
      <c r="B628" s="3">
        <v>45526.129166666666</v>
      </c>
      <c r="C628" s="2" t="s">
        <v>19</v>
      </c>
      <c r="D628" s="2" t="s">
        <v>20</v>
      </c>
      <c r="E628" t="s">
        <v>33</v>
      </c>
      <c r="F628">
        <v>4119.82</v>
      </c>
      <c r="G628" s="2" t="s">
        <v>22</v>
      </c>
      <c r="H628"/>
      <c r="I628">
        <v>1.9</v>
      </c>
      <c r="J628">
        <v>8.7999999999999995E-2</v>
      </c>
      <c r="K628">
        <v>6.8886399999999997</v>
      </c>
      <c r="L628">
        <v>355.65551999999997</v>
      </c>
      <c r="M628">
        <v>362.54415999999998</v>
      </c>
    </row>
    <row r="629" spans="1:13" x14ac:dyDescent="0.25">
      <c r="A629" t="s">
        <v>672</v>
      </c>
      <c r="B629" s="3">
        <v>45526.400000000001</v>
      </c>
      <c r="C629" s="2" t="s">
        <v>27</v>
      </c>
      <c r="D629" s="2" t="s">
        <v>25</v>
      </c>
      <c r="E629" t="s">
        <v>39</v>
      </c>
      <c r="F629">
        <v>3948.45</v>
      </c>
      <c r="G629" s="2" t="s">
        <v>22</v>
      </c>
      <c r="H629"/>
      <c r="I629">
        <v>3.2</v>
      </c>
      <c r="J629">
        <v>1</v>
      </c>
      <c r="K629">
        <v>126.35</v>
      </c>
      <c r="L629">
        <v>3822.1</v>
      </c>
      <c r="M629">
        <v>3948.45</v>
      </c>
    </row>
    <row r="630" spans="1:13" x14ac:dyDescent="0.25">
      <c r="A630" t="s">
        <v>673</v>
      </c>
      <c r="B630" s="3">
        <v>45526.629861111112</v>
      </c>
      <c r="C630" s="2" t="s">
        <v>27</v>
      </c>
      <c r="D630" s="2" t="s">
        <v>25</v>
      </c>
      <c r="E630" t="s">
        <v>28</v>
      </c>
      <c r="F630">
        <v>476.95</v>
      </c>
      <c r="G630" s="2" t="s">
        <v>22</v>
      </c>
      <c r="H630"/>
      <c r="I630">
        <v>2.9</v>
      </c>
      <c r="J630">
        <v>1</v>
      </c>
      <c r="K630">
        <v>13.83</v>
      </c>
      <c r="L630">
        <v>463.12</v>
      </c>
      <c r="M630">
        <v>476.95</v>
      </c>
    </row>
    <row r="631" spans="1:13" x14ac:dyDescent="0.25">
      <c r="A631" t="s">
        <v>674</v>
      </c>
      <c r="B631" s="3">
        <v>45526.662499999999</v>
      </c>
      <c r="C631" s="2" t="s">
        <v>43</v>
      </c>
      <c r="D631" s="2" t="s">
        <v>25</v>
      </c>
      <c r="E631" t="s">
        <v>33</v>
      </c>
      <c r="F631">
        <v>3043.84</v>
      </c>
      <c r="G631" s="2" t="s">
        <v>34</v>
      </c>
      <c r="H631" t="s">
        <v>35</v>
      </c>
      <c r="I631">
        <v>1.9</v>
      </c>
      <c r="J631">
        <v>1</v>
      </c>
      <c r="K631">
        <v>0</v>
      </c>
      <c r="L631">
        <v>0</v>
      </c>
      <c r="M631">
        <v>0</v>
      </c>
    </row>
    <row r="632" spans="1:13" x14ac:dyDescent="0.25">
      <c r="A632" t="s">
        <v>675</v>
      </c>
      <c r="B632" s="3">
        <v>45526.799305555556</v>
      </c>
      <c r="C632" s="2" t="s">
        <v>47</v>
      </c>
      <c r="D632" s="2" t="s">
        <v>25</v>
      </c>
      <c r="E632" t="s">
        <v>33</v>
      </c>
      <c r="F632">
        <v>432.91</v>
      </c>
      <c r="G632" s="2" t="s">
        <v>22</v>
      </c>
      <c r="H632"/>
      <c r="I632">
        <v>1.9</v>
      </c>
      <c r="J632">
        <v>1</v>
      </c>
      <c r="K632">
        <v>8.23</v>
      </c>
      <c r="L632">
        <v>424.68</v>
      </c>
      <c r="M632">
        <v>432.91</v>
      </c>
    </row>
    <row r="633" spans="1:13" x14ac:dyDescent="0.25">
      <c r="A633" t="s">
        <v>676</v>
      </c>
      <c r="B633" s="3">
        <v>45526.895138888889</v>
      </c>
      <c r="C633" s="2" t="s">
        <v>19</v>
      </c>
      <c r="D633" s="2" t="s">
        <v>20</v>
      </c>
      <c r="E633" t="s">
        <v>28</v>
      </c>
      <c r="F633">
        <v>590.17999999999995</v>
      </c>
      <c r="G633" s="2" t="s">
        <v>22</v>
      </c>
      <c r="H633"/>
      <c r="I633">
        <v>2.9</v>
      </c>
      <c r="J633">
        <v>8.7999999999999995E-2</v>
      </c>
      <c r="K633">
        <v>1.5065599999999999</v>
      </c>
      <c r="L633">
        <v>50.429279999999991</v>
      </c>
      <c r="M633">
        <v>51.935839999999992</v>
      </c>
    </row>
    <row r="634" spans="1:13" x14ac:dyDescent="0.25">
      <c r="A634" t="s">
        <v>677</v>
      </c>
      <c r="B634" s="3">
        <v>45527.043055555558</v>
      </c>
      <c r="C634" s="2" t="s">
        <v>27</v>
      </c>
      <c r="D634" s="2" t="s">
        <v>25</v>
      </c>
      <c r="E634" t="s">
        <v>33</v>
      </c>
      <c r="F634">
        <v>4424.6499999999996</v>
      </c>
      <c r="G634" s="2" t="s">
        <v>22</v>
      </c>
      <c r="H634"/>
      <c r="I634">
        <v>1.9</v>
      </c>
      <c r="J634">
        <v>1</v>
      </c>
      <c r="K634">
        <v>84.07</v>
      </c>
      <c r="L634">
        <v>4340.58</v>
      </c>
      <c r="M634">
        <v>4424.6499999999996</v>
      </c>
    </row>
    <row r="635" spans="1:13" x14ac:dyDescent="0.25">
      <c r="A635" t="s">
        <v>678</v>
      </c>
      <c r="B635" s="3">
        <v>45527.464583333334</v>
      </c>
      <c r="C635" s="2" t="s">
        <v>47</v>
      </c>
      <c r="D635" s="2" t="s">
        <v>25</v>
      </c>
      <c r="E635" t="s">
        <v>44</v>
      </c>
      <c r="F635">
        <v>170.76</v>
      </c>
      <c r="G635" s="2" t="s">
        <v>34</v>
      </c>
      <c r="H635" t="s">
        <v>100</v>
      </c>
      <c r="I635">
        <v>2.1</v>
      </c>
      <c r="J635">
        <v>1</v>
      </c>
      <c r="K635">
        <v>0</v>
      </c>
      <c r="L635">
        <v>0</v>
      </c>
      <c r="M635">
        <v>0</v>
      </c>
    </row>
    <row r="636" spans="1:13" x14ac:dyDescent="0.25">
      <c r="A636" t="s">
        <v>679</v>
      </c>
      <c r="B636" s="3">
        <v>45528.160416666666</v>
      </c>
      <c r="C636" s="2" t="s">
        <v>27</v>
      </c>
      <c r="D636" s="2" t="s">
        <v>25</v>
      </c>
      <c r="E636" t="s">
        <v>28</v>
      </c>
      <c r="F636">
        <v>317.73</v>
      </c>
      <c r="G636" s="2" t="s">
        <v>22</v>
      </c>
      <c r="H636"/>
      <c r="I636">
        <v>2.9</v>
      </c>
      <c r="J636">
        <v>1</v>
      </c>
      <c r="K636">
        <v>9.2100000000000009</v>
      </c>
      <c r="L636">
        <v>308.52</v>
      </c>
      <c r="M636">
        <v>317.72999999999996</v>
      </c>
    </row>
    <row r="637" spans="1:13" x14ac:dyDescent="0.25">
      <c r="A637" t="s">
        <v>680</v>
      </c>
      <c r="B637" s="3">
        <v>45528.511805555558</v>
      </c>
      <c r="C637" s="2" t="s">
        <v>13</v>
      </c>
      <c r="D637" s="2" t="s">
        <v>14</v>
      </c>
      <c r="E637" t="s">
        <v>44</v>
      </c>
      <c r="F637">
        <v>4215.83</v>
      </c>
      <c r="G637" s="2" t="s">
        <v>22</v>
      </c>
      <c r="H637"/>
      <c r="I637">
        <v>2.1</v>
      </c>
      <c r="J637">
        <v>8.7999999999999995E-2</v>
      </c>
      <c r="K637">
        <v>7.7906399999999998</v>
      </c>
      <c r="L637">
        <v>363.20240000000001</v>
      </c>
      <c r="M637">
        <v>370.99304000000001</v>
      </c>
    </row>
    <row r="638" spans="1:13" x14ac:dyDescent="0.25">
      <c r="A638" t="s">
        <v>681</v>
      </c>
      <c r="B638" s="3">
        <v>45528.584722222222</v>
      </c>
      <c r="C638" s="2" t="s">
        <v>60</v>
      </c>
      <c r="D638" s="2" t="s">
        <v>25</v>
      </c>
      <c r="E638" t="s">
        <v>39</v>
      </c>
      <c r="F638">
        <v>392.89</v>
      </c>
      <c r="G638" s="2" t="s">
        <v>22</v>
      </c>
      <c r="H638"/>
      <c r="I638">
        <v>3.2</v>
      </c>
      <c r="J638">
        <v>1</v>
      </c>
      <c r="K638">
        <v>12.57</v>
      </c>
      <c r="L638">
        <v>380.32</v>
      </c>
      <c r="M638">
        <v>392.89</v>
      </c>
    </row>
    <row r="639" spans="1:13" x14ac:dyDescent="0.25">
      <c r="A639" t="s">
        <v>682</v>
      </c>
      <c r="B639" s="3">
        <v>45528.774305555555</v>
      </c>
      <c r="C639" s="2" t="s">
        <v>60</v>
      </c>
      <c r="D639" s="2" t="s">
        <v>25</v>
      </c>
      <c r="E639" t="s">
        <v>15</v>
      </c>
      <c r="F639">
        <v>3262.67</v>
      </c>
      <c r="G639" s="2" t="s">
        <v>22</v>
      </c>
      <c r="H639"/>
      <c r="I639">
        <v>2.5</v>
      </c>
      <c r="J639">
        <v>1</v>
      </c>
      <c r="K639">
        <v>81.569999999999993</v>
      </c>
      <c r="L639">
        <v>3181.1</v>
      </c>
      <c r="M639">
        <v>3262.67</v>
      </c>
    </row>
    <row r="640" spans="1:13" x14ac:dyDescent="0.25">
      <c r="A640" t="s">
        <v>683</v>
      </c>
      <c r="B640" s="3">
        <v>45528.925694444442</v>
      </c>
      <c r="C640" s="2" t="s">
        <v>43</v>
      </c>
      <c r="D640" s="2" t="s">
        <v>25</v>
      </c>
      <c r="E640" t="s">
        <v>39</v>
      </c>
      <c r="F640">
        <v>4096.6400000000003</v>
      </c>
      <c r="G640" s="2" t="s">
        <v>34</v>
      </c>
      <c r="H640" t="s">
        <v>55</v>
      </c>
      <c r="I640">
        <v>3.2</v>
      </c>
      <c r="J640">
        <v>1</v>
      </c>
      <c r="K640">
        <v>0</v>
      </c>
      <c r="L640">
        <v>0</v>
      </c>
      <c r="M640">
        <v>0</v>
      </c>
    </row>
    <row r="641" spans="1:13" x14ac:dyDescent="0.25">
      <c r="A641" t="s">
        <v>684</v>
      </c>
      <c r="B641" s="3">
        <v>45529.04583333333</v>
      </c>
      <c r="C641" s="2" t="s">
        <v>27</v>
      </c>
      <c r="D641" s="2" t="s">
        <v>25</v>
      </c>
      <c r="E641" t="s">
        <v>28</v>
      </c>
      <c r="F641">
        <v>1807.47</v>
      </c>
      <c r="G641" s="2" t="s">
        <v>22</v>
      </c>
      <c r="H641"/>
      <c r="I641">
        <v>2.9</v>
      </c>
      <c r="J641">
        <v>1</v>
      </c>
      <c r="K641">
        <v>52.42</v>
      </c>
      <c r="L641">
        <v>1755.05</v>
      </c>
      <c r="M641">
        <v>1807.47</v>
      </c>
    </row>
    <row r="642" spans="1:13" x14ac:dyDescent="0.25">
      <c r="A642" t="s">
        <v>685</v>
      </c>
      <c r="B642" s="3">
        <v>45530.381944444445</v>
      </c>
      <c r="C642" s="2" t="s">
        <v>58</v>
      </c>
      <c r="D642" s="2" t="s">
        <v>25</v>
      </c>
      <c r="E642" t="s">
        <v>33</v>
      </c>
      <c r="F642">
        <v>3454.55</v>
      </c>
      <c r="G642" s="2" t="s">
        <v>22</v>
      </c>
      <c r="H642"/>
      <c r="I642">
        <v>1.9</v>
      </c>
      <c r="J642">
        <v>1</v>
      </c>
      <c r="K642">
        <v>65.64</v>
      </c>
      <c r="L642">
        <v>3388.91</v>
      </c>
      <c r="M642">
        <v>3454.5499999999997</v>
      </c>
    </row>
    <row r="643" spans="1:13" x14ac:dyDescent="0.25">
      <c r="A643" t="s">
        <v>686</v>
      </c>
      <c r="B643" s="3">
        <v>45531.371527777781</v>
      </c>
      <c r="C643" s="2" t="s">
        <v>19</v>
      </c>
      <c r="D643" s="2" t="s">
        <v>20</v>
      </c>
      <c r="E643" t="s">
        <v>33</v>
      </c>
      <c r="F643">
        <v>353.69</v>
      </c>
      <c r="G643" s="2" t="s">
        <v>22</v>
      </c>
      <c r="H643"/>
      <c r="I643">
        <v>1.9</v>
      </c>
      <c r="J643">
        <v>8.7999999999999995E-2</v>
      </c>
      <c r="K643">
        <v>0.59136</v>
      </c>
      <c r="L643">
        <v>30.533360000000002</v>
      </c>
      <c r="M643">
        <v>31.124720000000003</v>
      </c>
    </row>
    <row r="644" spans="1:13" x14ac:dyDescent="0.25">
      <c r="A644" t="s">
        <v>687</v>
      </c>
      <c r="B644" s="3">
        <v>45532.165277777778</v>
      </c>
      <c r="C644" s="2" t="s">
        <v>47</v>
      </c>
      <c r="D644" s="2" t="s">
        <v>25</v>
      </c>
      <c r="E644" t="s">
        <v>28</v>
      </c>
      <c r="F644">
        <v>1515.21</v>
      </c>
      <c r="G644" s="2" t="s">
        <v>22</v>
      </c>
      <c r="H644"/>
      <c r="I644">
        <v>2.9</v>
      </c>
      <c r="J644">
        <v>1</v>
      </c>
      <c r="K644">
        <v>43.94</v>
      </c>
      <c r="L644">
        <v>1471.27</v>
      </c>
      <c r="M644">
        <v>1515.21</v>
      </c>
    </row>
    <row r="645" spans="1:13" x14ac:dyDescent="0.25">
      <c r="A645" t="s">
        <v>688</v>
      </c>
      <c r="B645" s="3">
        <v>45532.94027777778</v>
      </c>
      <c r="C645" s="2" t="s">
        <v>13</v>
      </c>
      <c r="D645" s="2" t="s">
        <v>14</v>
      </c>
      <c r="E645" t="s">
        <v>39</v>
      </c>
      <c r="F645">
        <v>3108.55</v>
      </c>
      <c r="G645" s="2" t="s">
        <v>22</v>
      </c>
      <c r="H645"/>
      <c r="I645">
        <v>3.2</v>
      </c>
      <c r="J645">
        <v>8.7999999999999995E-2</v>
      </c>
      <c r="K645">
        <v>8.7533599999999989</v>
      </c>
      <c r="L645">
        <v>264.79903999999999</v>
      </c>
      <c r="M645">
        <v>273.55239999999998</v>
      </c>
    </row>
    <row r="646" spans="1:13" x14ac:dyDescent="0.25">
      <c r="A646" t="s">
        <v>689</v>
      </c>
      <c r="B646" s="3">
        <v>45533.038194444445</v>
      </c>
      <c r="C646" s="2" t="s">
        <v>43</v>
      </c>
      <c r="D646" s="2" t="s">
        <v>25</v>
      </c>
      <c r="E646" t="s">
        <v>33</v>
      </c>
      <c r="F646">
        <v>1014.68</v>
      </c>
      <c r="G646" s="2" t="s">
        <v>17</v>
      </c>
      <c r="H646"/>
      <c r="I646">
        <v>1.9</v>
      </c>
      <c r="J646">
        <v>1</v>
      </c>
      <c r="K646">
        <v>0</v>
      </c>
      <c r="L646">
        <v>0</v>
      </c>
      <c r="M646">
        <v>0</v>
      </c>
    </row>
    <row r="647" spans="1:13" x14ac:dyDescent="0.25">
      <c r="A647" t="s">
        <v>690</v>
      </c>
      <c r="B647" s="3">
        <v>45533.054166666669</v>
      </c>
      <c r="C647" s="2" t="s">
        <v>58</v>
      </c>
      <c r="D647" s="2" t="s">
        <v>25</v>
      </c>
      <c r="E647" t="s">
        <v>44</v>
      </c>
      <c r="F647">
        <v>3831.48</v>
      </c>
      <c r="G647" s="2" t="s">
        <v>34</v>
      </c>
      <c r="H647" t="s">
        <v>62</v>
      </c>
      <c r="I647">
        <v>2.1</v>
      </c>
      <c r="J647">
        <v>1</v>
      </c>
      <c r="K647">
        <v>0</v>
      </c>
      <c r="L647">
        <v>0</v>
      </c>
      <c r="M647">
        <v>0</v>
      </c>
    </row>
    <row r="648" spans="1:13" x14ac:dyDescent="0.25">
      <c r="A648" t="s">
        <v>691</v>
      </c>
      <c r="B648" s="3">
        <v>45533.154861111114</v>
      </c>
      <c r="C648" s="2" t="s">
        <v>27</v>
      </c>
      <c r="D648" s="2" t="s">
        <v>25</v>
      </c>
      <c r="E648" t="s">
        <v>28</v>
      </c>
      <c r="F648">
        <v>4889.7700000000004</v>
      </c>
      <c r="G648" s="2" t="s">
        <v>22</v>
      </c>
      <c r="H648"/>
      <c r="I648">
        <v>2.9</v>
      </c>
      <c r="J648">
        <v>1</v>
      </c>
      <c r="K648">
        <v>141.80000000000001</v>
      </c>
      <c r="L648">
        <v>4747.97</v>
      </c>
      <c r="M648">
        <v>4889.7700000000004</v>
      </c>
    </row>
    <row r="649" spans="1:13" x14ac:dyDescent="0.25">
      <c r="A649" t="s">
        <v>692</v>
      </c>
      <c r="B649" s="3">
        <v>45533.272222222222</v>
      </c>
      <c r="C649" s="2" t="s">
        <v>31</v>
      </c>
      <c r="D649" s="2" t="s">
        <v>32</v>
      </c>
      <c r="E649" t="s">
        <v>15</v>
      </c>
      <c r="F649">
        <v>1498.8</v>
      </c>
      <c r="G649" s="2" t="s">
        <v>22</v>
      </c>
      <c r="H649"/>
      <c r="I649">
        <v>2.5</v>
      </c>
      <c r="J649">
        <v>1.17</v>
      </c>
      <c r="K649">
        <v>43.839899999999993</v>
      </c>
      <c r="L649">
        <v>1709.7560999999998</v>
      </c>
      <c r="M649">
        <v>1753.5959999999998</v>
      </c>
    </row>
    <row r="650" spans="1:13" x14ac:dyDescent="0.25">
      <c r="A650" t="s">
        <v>693</v>
      </c>
      <c r="B650" s="3">
        <v>45533.681944444441</v>
      </c>
      <c r="C650" s="2" t="s">
        <v>19</v>
      </c>
      <c r="D650" s="2" t="s">
        <v>20</v>
      </c>
      <c r="E650" t="s">
        <v>44</v>
      </c>
      <c r="F650">
        <v>509.67</v>
      </c>
      <c r="G650" s="2" t="s">
        <v>22</v>
      </c>
      <c r="H650"/>
      <c r="I650">
        <v>2.1</v>
      </c>
      <c r="J650">
        <v>8.7999999999999995E-2</v>
      </c>
      <c r="K650">
        <v>0.94159999999999988</v>
      </c>
      <c r="L650">
        <v>43.90936</v>
      </c>
      <c r="M650">
        <v>44.850960000000001</v>
      </c>
    </row>
    <row r="651" spans="1:13" x14ac:dyDescent="0.25">
      <c r="A651" t="s">
        <v>694</v>
      </c>
      <c r="B651" s="3">
        <v>45533.865972222222</v>
      </c>
      <c r="C651" s="2" t="s">
        <v>31</v>
      </c>
      <c r="D651" s="2" t="s">
        <v>32</v>
      </c>
      <c r="E651" t="s">
        <v>33</v>
      </c>
      <c r="F651">
        <v>1569.37</v>
      </c>
      <c r="G651" s="2" t="s">
        <v>22</v>
      </c>
      <c r="H651"/>
      <c r="I651">
        <v>1.9</v>
      </c>
      <c r="J651">
        <v>1.17</v>
      </c>
      <c r="K651">
        <v>34.889399999999995</v>
      </c>
      <c r="L651">
        <v>1801.2734999999998</v>
      </c>
      <c r="M651">
        <v>1836.1628999999998</v>
      </c>
    </row>
    <row r="652" spans="1:13" x14ac:dyDescent="0.25">
      <c r="A652" t="s">
        <v>695</v>
      </c>
      <c r="B652" s="3">
        <v>45534.146527777775</v>
      </c>
      <c r="C652" s="2" t="s">
        <v>19</v>
      </c>
      <c r="D652" s="2" t="s">
        <v>20</v>
      </c>
      <c r="E652" t="s">
        <v>39</v>
      </c>
      <c r="F652">
        <v>3490.6</v>
      </c>
      <c r="G652" s="2" t="s">
        <v>22</v>
      </c>
      <c r="H652"/>
      <c r="I652">
        <v>3.2</v>
      </c>
      <c r="J652">
        <v>8.7999999999999995E-2</v>
      </c>
      <c r="K652">
        <v>9.8295999999999992</v>
      </c>
      <c r="L652">
        <v>297.34319999999997</v>
      </c>
      <c r="M652">
        <v>307.17279999999994</v>
      </c>
    </row>
    <row r="653" spans="1:13" x14ac:dyDescent="0.25">
      <c r="A653" t="s">
        <v>696</v>
      </c>
      <c r="B653" s="3">
        <v>45534.542361111111</v>
      </c>
      <c r="C653" s="2" t="s">
        <v>31</v>
      </c>
      <c r="D653" s="2" t="s">
        <v>32</v>
      </c>
      <c r="E653" t="s">
        <v>44</v>
      </c>
      <c r="F653">
        <v>3696.52</v>
      </c>
      <c r="G653" s="2" t="s">
        <v>34</v>
      </c>
      <c r="H653" t="s">
        <v>55</v>
      </c>
      <c r="I653">
        <v>2.1</v>
      </c>
      <c r="J653">
        <v>1.17</v>
      </c>
      <c r="K653">
        <v>0</v>
      </c>
      <c r="L653">
        <v>0</v>
      </c>
      <c r="M653">
        <v>0</v>
      </c>
    </row>
    <row r="654" spans="1:13" x14ac:dyDescent="0.25">
      <c r="A654" t="s">
        <v>697</v>
      </c>
      <c r="B654" s="3">
        <v>45534.92291666667</v>
      </c>
      <c r="C654" s="2" t="s">
        <v>24</v>
      </c>
      <c r="D654" s="2" t="s">
        <v>25</v>
      </c>
      <c r="E654" t="s">
        <v>28</v>
      </c>
      <c r="F654">
        <v>2110.15</v>
      </c>
      <c r="G654" s="2" t="s">
        <v>22</v>
      </c>
      <c r="H654"/>
      <c r="I654">
        <v>2.9</v>
      </c>
      <c r="J654">
        <v>1</v>
      </c>
      <c r="K654">
        <v>61.19</v>
      </c>
      <c r="L654">
        <v>2048.96</v>
      </c>
      <c r="M654">
        <v>2110.15</v>
      </c>
    </row>
    <row r="655" spans="1:13" x14ac:dyDescent="0.25">
      <c r="A655" t="s">
        <v>698</v>
      </c>
      <c r="B655" s="3">
        <v>45535.901388888888</v>
      </c>
      <c r="C655" s="2" t="s">
        <v>58</v>
      </c>
      <c r="D655" s="2" t="s">
        <v>25</v>
      </c>
      <c r="E655" t="s">
        <v>15</v>
      </c>
      <c r="F655">
        <v>1401.66</v>
      </c>
      <c r="G655" s="2" t="s">
        <v>34</v>
      </c>
      <c r="H655" t="s">
        <v>78</v>
      </c>
      <c r="I655">
        <v>2.5</v>
      </c>
      <c r="J655">
        <v>1</v>
      </c>
      <c r="K655">
        <v>0</v>
      </c>
      <c r="L655">
        <v>0</v>
      </c>
      <c r="M655">
        <v>0</v>
      </c>
    </row>
    <row r="656" spans="1:13" x14ac:dyDescent="0.25">
      <c r="A656" t="s">
        <v>699</v>
      </c>
      <c r="B656" s="3">
        <v>45536.093055555553</v>
      </c>
      <c r="C656" s="2" t="s">
        <v>58</v>
      </c>
      <c r="D656" s="2" t="s">
        <v>25</v>
      </c>
      <c r="E656" t="s">
        <v>28</v>
      </c>
      <c r="F656">
        <v>524.98</v>
      </c>
      <c r="G656" s="2" t="s">
        <v>22</v>
      </c>
      <c r="H656"/>
      <c r="I656">
        <v>2.9</v>
      </c>
      <c r="J656">
        <v>1</v>
      </c>
      <c r="K656">
        <v>15.22</v>
      </c>
      <c r="L656">
        <v>509.76</v>
      </c>
      <c r="M656">
        <v>524.98</v>
      </c>
    </row>
    <row r="657" spans="1:13" x14ac:dyDescent="0.25">
      <c r="A657" t="s">
        <v>700</v>
      </c>
      <c r="B657" s="3">
        <v>45537.602777777778</v>
      </c>
      <c r="C657" s="2" t="s">
        <v>37</v>
      </c>
      <c r="D657" s="2" t="s">
        <v>38</v>
      </c>
      <c r="E657" t="s">
        <v>39</v>
      </c>
      <c r="F657">
        <v>2762.84</v>
      </c>
      <c r="G657" s="2" t="s">
        <v>22</v>
      </c>
      <c r="H657"/>
      <c r="I657">
        <v>3.2</v>
      </c>
      <c r="J657">
        <v>0.23</v>
      </c>
      <c r="K657">
        <v>20.334299999999999</v>
      </c>
      <c r="L657">
        <v>615.11889999999994</v>
      </c>
      <c r="M657">
        <v>635.45319999999992</v>
      </c>
    </row>
    <row r="658" spans="1:13" x14ac:dyDescent="0.25">
      <c r="A658" t="s">
        <v>701</v>
      </c>
      <c r="B658" s="3">
        <v>45537.743055555555</v>
      </c>
      <c r="C658" s="2" t="s">
        <v>43</v>
      </c>
      <c r="D658" s="2" t="s">
        <v>25</v>
      </c>
      <c r="E658" t="s">
        <v>39</v>
      </c>
      <c r="F658">
        <v>2516.94</v>
      </c>
      <c r="G658" s="2" t="s">
        <v>34</v>
      </c>
      <c r="H658" t="s">
        <v>62</v>
      </c>
      <c r="I658">
        <v>3.2</v>
      </c>
      <c r="J658">
        <v>1</v>
      </c>
      <c r="K658">
        <v>0</v>
      </c>
      <c r="L658">
        <v>0</v>
      </c>
      <c r="M658">
        <v>0</v>
      </c>
    </row>
    <row r="659" spans="1:13" x14ac:dyDescent="0.25">
      <c r="A659" t="s">
        <v>702</v>
      </c>
      <c r="B659" s="3">
        <v>45539.135416666664</v>
      </c>
      <c r="C659" s="2" t="s">
        <v>58</v>
      </c>
      <c r="D659" s="2" t="s">
        <v>25</v>
      </c>
      <c r="E659" t="s">
        <v>33</v>
      </c>
      <c r="F659">
        <v>2878.31</v>
      </c>
      <c r="G659" s="2" t="s">
        <v>22</v>
      </c>
      <c r="H659"/>
      <c r="I659">
        <v>1.9</v>
      </c>
      <c r="J659">
        <v>1</v>
      </c>
      <c r="K659">
        <v>54.69</v>
      </c>
      <c r="L659">
        <v>2823.62</v>
      </c>
      <c r="M659">
        <v>2878.31</v>
      </c>
    </row>
    <row r="660" spans="1:13" x14ac:dyDescent="0.25">
      <c r="A660" t="s">
        <v>703</v>
      </c>
      <c r="B660" s="3">
        <v>45539.635416666664</v>
      </c>
      <c r="C660" s="2" t="s">
        <v>43</v>
      </c>
      <c r="D660" s="2" t="s">
        <v>25</v>
      </c>
      <c r="E660" t="s">
        <v>33</v>
      </c>
      <c r="F660">
        <v>1924.09</v>
      </c>
      <c r="G660" s="2" t="s">
        <v>17</v>
      </c>
      <c r="H660"/>
      <c r="I660">
        <v>1.9</v>
      </c>
      <c r="J660">
        <v>1</v>
      </c>
      <c r="K660">
        <v>0</v>
      </c>
      <c r="L660">
        <v>0</v>
      </c>
      <c r="M660">
        <v>0</v>
      </c>
    </row>
    <row r="661" spans="1:13" x14ac:dyDescent="0.25">
      <c r="A661" t="s">
        <v>704</v>
      </c>
      <c r="B661" s="3">
        <v>45540.727083333331</v>
      </c>
      <c r="C661" s="2" t="s">
        <v>58</v>
      </c>
      <c r="D661" s="2" t="s">
        <v>25</v>
      </c>
      <c r="E661" t="s">
        <v>28</v>
      </c>
      <c r="F661">
        <v>805.2</v>
      </c>
      <c r="G661" s="2" t="s">
        <v>22</v>
      </c>
      <c r="H661"/>
      <c r="I661">
        <v>2.9</v>
      </c>
      <c r="J661">
        <v>1</v>
      </c>
      <c r="K661">
        <v>23.35</v>
      </c>
      <c r="L661">
        <v>781.85</v>
      </c>
      <c r="M661">
        <v>805.2</v>
      </c>
    </row>
    <row r="662" spans="1:13" x14ac:dyDescent="0.25">
      <c r="A662" t="s">
        <v>705</v>
      </c>
      <c r="B662" s="3">
        <v>45541.442361111112</v>
      </c>
      <c r="C662" s="2" t="s">
        <v>60</v>
      </c>
      <c r="D662" s="2" t="s">
        <v>25</v>
      </c>
      <c r="E662" t="s">
        <v>28</v>
      </c>
      <c r="F662">
        <v>3177.85</v>
      </c>
      <c r="G662" s="2" t="s">
        <v>22</v>
      </c>
      <c r="H662"/>
      <c r="I662">
        <v>2.9</v>
      </c>
      <c r="J662">
        <v>1</v>
      </c>
      <c r="K662">
        <v>92.16</v>
      </c>
      <c r="L662">
        <v>3085.69</v>
      </c>
      <c r="M662">
        <v>3177.85</v>
      </c>
    </row>
    <row r="663" spans="1:13" x14ac:dyDescent="0.25">
      <c r="A663" t="s">
        <v>706</v>
      </c>
      <c r="B663" s="3">
        <v>45541.444444444445</v>
      </c>
      <c r="C663" s="2" t="s">
        <v>27</v>
      </c>
      <c r="D663" s="2" t="s">
        <v>25</v>
      </c>
      <c r="E663" t="s">
        <v>39</v>
      </c>
      <c r="F663">
        <v>33.520000000000003</v>
      </c>
      <c r="G663" s="2" t="s">
        <v>22</v>
      </c>
      <c r="H663"/>
      <c r="I663">
        <v>3.2</v>
      </c>
      <c r="J663">
        <v>1</v>
      </c>
      <c r="K663">
        <v>1.07</v>
      </c>
      <c r="L663">
        <v>32.450000000000003</v>
      </c>
      <c r="M663">
        <v>33.520000000000003</v>
      </c>
    </row>
    <row r="664" spans="1:13" x14ac:dyDescent="0.25">
      <c r="A664" t="s">
        <v>707</v>
      </c>
      <c r="B664" s="3">
        <v>45541.893750000003</v>
      </c>
      <c r="C664" s="2" t="s">
        <v>27</v>
      </c>
      <c r="D664" s="2" t="s">
        <v>25</v>
      </c>
      <c r="E664" t="s">
        <v>28</v>
      </c>
      <c r="F664">
        <v>3214.79</v>
      </c>
      <c r="G664" s="2" t="s">
        <v>34</v>
      </c>
      <c r="H664" t="s">
        <v>55</v>
      </c>
      <c r="I664">
        <v>2.9</v>
      </c>
      <c r="J664">
        <v>1</v>
      </c>
      <c r="K664">
        <v>0</v>
      </c>
      <c r="L664">
        <v>0</v>
      </c>
      <c r="M664">
        <v>0</v>
      </c>
    </row>
    <row r="665" spans="1:13" x14ac:dyDescent="0.25">
      <c r="A665" t="s">
        <v>708</v>
      </c>
      <c r="B665" s="3">
        <v>45542.491666666669</v>
      </c>
      <c r="C665" s="2" t="s">
        <v>24</v>
      </c>
      <c r="D665" s="2" t="s">
        <v>25</v>
      </c>
      <c r="E665" t="s">
        <v>44</v>
      </c>
      <c r="F665">
        <v>105.43</v>
      </c>
      <c r="G665" s="2" t="s">
        <v>22</v>
      </c>
      <c r="H665"/>
      <c r="I665">
        <v>2.1</v>
      </c>
      <c r="J665">
        <v>1</v>
      </c>
      <c r="K665">
        <v>2.21</v>
      </c>
      <c r="L665">
        <v>103.22</v>
      </c>
      <c r="M665">
        <v>105.42999999999999</v>
      </c>
    </row>
    <row r="666" spans="1:13" x14ac:dyDescent="0.25">
      <c r="A666" t="s">
        <v>709</v>
      </c>
      <c r="B666" s="3">
        <v>45542.986805555556</v>
      </c>
      <c r="C666" s="2" t="s">
        <v>43</v>
      </c>
      <c r="D666" s="2" t="s">
        <v>25</v>
      </c>
      <c r="E666" t="s">
        <v>15</v>
      </c>
      <c r="F666">
        <v>3666.53</v>
      </c>
      <c r="G666" s="2" t="s">
        <v>22</v>
      </c>
      <c r="H666"/>
      <c r="I666">
        <v>2.5</v>
      </c>
      <c r="J666">
        <v>1</v>
      </c>
      <c r="K666">
        <v>91.66</v>
      </c>
      <c r="L666">
        <v>3574.87</v>
      </c>
      <c r="M666">
        <v>3666.5299999999997</v>
      </c>
    </row>
    <row r="667" spans="1:13" x14ac:dyDescent="0.25">
      <c r="A667" t="s">
        <v>710</v>
      </c>
      <c r="B667" s="3">
        <v>45543.10833333333</v>
      </c>
      <c r="C667" s="2" t="s">
        <v>60</v>
      </c>
      <c r="D667" s="2" t="s">
        <v>25</v>
      </c>
      <c r="E667" t="s">
        <v>44</v>
      </c>
      <c r="F667">
        <v>4057.6</v>
      </c>
      <c r="G667" s="2" t="s">
        <v>22</v>
      </c>
      <c r="H667"/>
      <c r="I667">
        <v>2.1</v>
      </c>
      <c r="J667">
        <v>1</v>
      </c>
      <c r="K667">
        <v>85.21</v>
      </c>
      <c r="L667">
        <v>3972.39</v>
      </c>
      <c r="M667">
        <v>4057.6</v>
      </c>
    </row>
    <row r="668" spans="1:13" x14ac:dyDescent="0.25">
      <c r="A668" t="s">
        <v>711</v>
      </c>
      <c r="B668" s="3">
        <v>45543.427083333336</v>
      </c>
      <c r="C668" s="2" t="s">
        <v>37</v>
      </c>
      <c r="D668" s="2" t="s">
        <v>38</v>
      </c>
      <c r="E668" t="s">
        <v>39</v>
      </c>
      <c r="F668">
        <v>2539.58</v>
      </c>
      <c r="G668" s="2" t="s">
        <v>17</v>
      </c>
      <c r="H668"/>
      <c r="I668">
        <v>3.2</v>
      </c>
      <c r="J668">
        <v>0.23</v>
      </c>
      <c r="K668">
        <v>0</v>
      </c>
      <c r="L668">
        <v>0</v>
      </c>
      <c r="M668">
        <v>0</v>
      </c>
    </row>
    <row r="669" spans="1:13" x14ac:dyDescent="0.25">
      <c r="A669" t="s">
        <v>712</v>
      </c>
      <c r="B669" s="3">
        <v>45543.443055555559</v>
      </c>
      <c r="C669" s="2" t="s">
        <v>19</v>
      </c>
      <c r="D669" s="2" t="s">
        <v>20</v>
      </c>
      <c r="E669" t="s">
        <v>33</v>
      </c>
      <c r="F669">
        <v>4543.1499999999996</v>
      </c>
      <c r="G669" s="2" t="s">
        <v>22</v>
      </c>
      <c r="H669"/>
      <c r="I669">
        <v>1.9</v>
      </c>
      <c r="J669">
        <v>8.7999999999999995E-2</v>
      </c>
      <c r="K669">
        <v>7.5961599999999994</v>
      </c>
      <c r="L669">
        <v>392.20103999999998</v>
      </c>
      <c r="M669">
        <v>399.79719999999998</v>
      </c>
    </row>
    <row r="670" spans="1:13" x14ac:dyDescent="0.25">
      <c r="A670" t="s">
        <v>713</v>
      </c>
      <c r="B670" s="3">
        <v>45543.724305555559</v>
      </c>
      <c r="C670" s="2" t="s">
        <v>31</v>
      </c>
      <c r="D670" s="2" t="s">
        <v>32</v>
      </c>
      <c r="E670" t="s">
        <v>39</v>
      </c>
      <c r="F670">
        <v>2124.67</v>
      </c>
      <c r="G670" s="2" t="s">
        <v>22</v>
      </c>
      <c r="H670"/>
      <c r="I670">
        <v>3.2</v>
      </c>
      <c r="J670">
        <v>1.17</v>
      </c>
      <c r="K670">
        <v>79.548299999999983</v>
      </c>
      <c r="L670">
        <v>2406.3155999999994</v>
      </c>
      <c r="M670">
        <v>2485.8638999999994</v>
      </c>
    </row>
    <row r="671" spans="1:13" x14ac:dyDescent="0.25">
      <c r="A671" t="s">
        <v>714</v>
      </c>
      <c r="B671" s="3">
        <v>45544.385416666664</v>
      </c>
      <c r="C671" s="2" t="s">
        <v>24</v>
      </c>
      <c r="D671" s="2" t="s">
        <v>25</v>
      </c>
      <c r="E671" t="s">
        <v>33</v>
      </c>
      <c r="F671">
        <v>4996.3100000000004</v>
      </c>
      <c r="G671" s="2" t="s">
        <v>22</v>
      </c>
      <c r="H671"/>
      <c r="I671">
        <v>1.9</v>
      </c>
      <c r="J671">
        <v>1</v>
      </c>
      <c r="K671">
        <v>94.93</v>
      </c>
      <c r="L671">
        <v>4901.38</v>
      </c>
      <c r="M671">
        <v>4996.3100000000004</v>
      </c>
    </row>
    <row r="672" spans="1:13" x14ac:dyDescent="0.25">
      <c r="A672" t="s">
        <v>715</v>
      </c>
      <c r="B672" s="3">
        <v>45544.740972222222</v>
      </c>
      <c r="C672" s="2" t="s">
        <v>43</v>
      </c>
      <c r="D672" s="2" t="s">
        <v>25</v>
      </c>
      <c r="E672" t="s">
        <v>44</v>
      </c>
      <c r="F672">
        <v>3958.19</v>
      </c>
      <c r="G672" s="2" t="s">
        <v>22</v>
      </c>
      <c r="H672"/>
      <c r="I672">
        <v>2.1</v>
      </c>
      <c r="J672">
        <v>1</v>
      </c>
      <c r="K672">
        <v>83.12</v>
      </c>
      <c r="L672">
        <v>3875.07</v>
      </c>
      <c r="M672">
        <v>3958.19</v>
      </c>
    </row>
    <row r="673" spans="1:13" x14ac:dyDescent="0.25">
      <c r="A673" t="s">
        <v>716</v>
      </c>
      <c r="B673" s="3">
        <v>45545.489583333336</v>
      </c>
      <c r="C673" s="2" t="s">
        <v>47</v>
      </c>
      <c r="D673" s="2" t="s">
        <v>25</v>
      </c>
      <c r="E673" t="s">
        <v>33</v>
      </c>
      <c r="F673">
        <v>420.42</v>
      </c>
      <c r="G673" s="2" t="s">
        <v>34</v>
      </c>
      <c r="H673" t="s">
        <v>78</v>
      </c>
      <c r="I673">
        <v>1.9</v>
      </c>
      <c r="J673">
        <v>1</v>
      </c>
      <c r="K673">
        <v>0</v>
      </c>
      <c r="L673">
        <v>0</v>
      </c>
      <c r="M673">
        <v>0</v>
      </c>
    </row>
    <row r="674" spans="1:13" x14ac:dyDescent="0.25">
      <c r="A674" t="s">
        <v>717</v>
      </c>
      <c r="B674" s="3">
        <v>45545.505555555559</v>
      </c>
      <c r="C674" s="2" t="s">
        <v>58</v>
      </c>
      <c r="D674" s="2" t="s">
        <v>25</v>
      </c>
      <c r="E674" t="s">
        <v>44</v>
      </c>
      <c r="F674">
        <v>1085.68</v>
      </c>
      <c r="G674" s="2" t="s">
        <v>22</v>
      </c>
      <c r="H674"/>
      <c r="I674">
        <v>2.1</v>
      </c>
      <c r="J674">
        <v>1</v>
      </c>
      <c r="K674">
        <v>22.8</v>
      </c>
      <c r="L674">
        <v>1062.8800000000001</v>
      </c>
      <c r="M674">
        <v>1085.68</v>
      </c>
    </row>
    <row r="675" spans="1:13" x14ac:dyDescent="0.25">
      <c r="A675" t="s">
        <v>718</v>
      </c>
      <c r="B675" s="3">
        <v>45545.575694444444</v>
      </c>
      <c r="C675" s="2" t="s">
        <v>58</v>
      </c>
      <c r="D675" s="2" t="s">
        <v>25</v>
      </c>
      <c r="E675" t="s">
        <v>44</v>
      </c>
      <c r="F675">
        <v>3632.74</v>
      </c>
      <c r="G675" s="2" t="s">
        <v>22</v>
      </c>
      <c r="H675"/>
      <c r="I675">
        <v>2.1</v>
      </c>
      <c r="J675">
        <v>1</v>
      </c>
      <c r="K675">
        <v>76.290000000000006</v>
      </c>
      <c r="L675">
        <v>3556.45</v>
      </c>
      <c r="M675">
        <v>3632.74</v>
      </c>
    </row>
    <row r="676" spans="1:13" x14ac:dyDescent="0.25">
      <c r="A676" t="s">
        <v>719</v>
      </c>
      <c r="B676" s="3">
        <v>45545.730555555558</v>
      </c>
      <c r="C676" s="2" t="s">
        <v>31</v>
      </c>
      <c r="D676" s="2" t="s">
        <v>32</v>
      </c>
      <c r="E676" t="s">
        <v>33</v>
      </c>
      <c r="F676">
        <v>1346.77</v>
      </c>
      <c r="G676" s="2" t="s">
        <v>17</v>
      </c>
      <c r="H676"/>
      <c r="I676">
        <v>1.9</v>
      </c>
      <c r="J676">
        <v>1.17</v>
      </c>
      <c r="K676">
        <v>0</v>
      </c>
      <c r="L676">
        <v>0</v>
      </c>
      <c r="M676">
        <v>0</v>
      </c>
    </row>
    <row r="677" spans="1:13" x14ac:dyDescent="0.25">
      <c r="A677" t="s">
        <v>720</v>
      </c>
      <c r="B677" s="3">
        <v>45545.862500000003</v>
      </c>
      <c r="C677" s="2" t="s">
        <v>60</v>
      </c>
      <c r="D677" s="2" t="s">
        <v>25</v>
      </c>
      <c r="E677" t="s">
        <v>28</v>
      </c>
      <c r="F677">
        <v>4087</v>
      </c>
      <c r="G677" s="2" t="s">
        <v>17</v>
      </c>
      <c r="H677"/>
      <c r="I677">
        <v>2.9</v>
      </c>
      <c r="J677">
        <v>1</v>
      </c>
      <c r="K677">
        <v>0</v>
      </c>
      <c r="L677">
        <v>0</v>
      </c>
      <c r="M677">
        <v>0</v>
      </c>
    </row>
    <row r="678" spans="1:13" x14ac:dyDescent="0.25">
      <c r="A678" t="s">
        <v>721</v>
      </c>
      <c r="B678" s="3">
        <v>45546.181250000001</v>
      </c>
      <c r="C678" s="2" t="s">
        <v>31</v>
      </c>
      <c r="D678" s="2" t="s">
        <v>32</v>
      </c>
      <c r="E678" t="s">
        <v>44</v>
      </c>
      <c r="F678">
        <v>4912.07</v>
      </c>
      <c r="G678" s="2" t="s">
        <v>22</v>
      </c>
      <c r="H678"/>
      <c r="I678">
        <v>2.1</v>
      </c>
      <c r="J678">
        <v>1.17</v>
      </c>
      <c r="K678">
        <v>120.6855</v>
      </c>
      <c r="L678">
        <v>5626.4363999999996</v>
      </c>
      <c r="M678">
        <v>5747.1218999999992</v>
      </c>
    </row>
    <row r="679" spans="1:13" x14ac:dyDescent="0.25">
      <c r="A679" t="s">
        <v>722</v>
      </c>
      <c r="B679" s="3">
        <v>45546.605555555558</v>
      </c>
      <c r="C679" s="2" t="s">
        <v>37</v>
      </c>
      <c r="D679" s="2" t="s">
        <v>38</v>
      </c>
      <c r="E679" t="s">
        <v>28</v>
      </c>
      <c r="F679">
        <v>4298.21</v>
      </c>
      <c r="G679" s="2" t="s">
        <v>22</v>
      </c>
      <c r="H679"/>
      <c r="I679">
        <v>2.9</v>
      </c>
      <c r="J679">
        <v>0.23</v>
      </c>
      <c r="K679">
        <v>28.669500000000003</v>
      </c>
      <c r="L679">
        <v>959.91880000000015</v>
      </c>
      <c r="M679">
        <v>988.58830000000012</v>
      </c>
    </row>
    <row r="680" spans="1:13" x14ac:dyDescent="0.25">
      <c r="A680" t="s">
        <v>723</v>
      </c>
      <c r="B680" s="3">
        <v>45546.70208333333</v>
      </c>
      <c r="C680" s="2" t="s">
        <v>37</v>
      </c>
      <c r="D680" s="2" t="s">
        <v>38</v>
      </c>
      <c r="E680" t="s">
        <v>44</v>
      </c>
      <c r="F680">
        <v>1504.61</v>
      </c>
      <c r="G680" s="2" t="s">
        <v>34</v>
      </c>
      <c r="H680" t="s">
        <v>35</v>
      </c>
      <c r="I680">
        <v>2.1</v>
      </c>
      <c r="J680">
        <v>0.23</v>
      </c>
      <c r="K680">
        <v>0</v>
      </c>
      <c r="L680">
        <v>0</v>
      </c>
      <c r="M680">
        <v>0</v>
      </c>
    </row>
    <row r="681" spans="1:13" x14ac:dyDescent="0.25">
      <c r="A681" t="s">
        <v>724</v>
      </c>
      <c r="B681" s="3">
        <v>45546.870833333334</v>
      </c>
      <c r="C681" s="2" t="s">
        <v>31</v>
      </c>
      <c r="D681" s="2" t="s">
        <v>32</v>
      </c>
      <c r="E681" t="s">
        <v>33</v>
      </c>
      <c r="F681">
        <v>1443.9</v>
      </c>
      <c r="G681" s="2" t="s">
        <v>22</v>
      </c>
      <c r="H681"/>
      <c r="I681">
        <v>1.9</v>
      </c>
      <c r="J681">
        <v>1.17</v>
      </c>
      <c r="K681">
        <v>32.0931</v>
      </c>
      <c r="L681">
        <v>1657.2699</v>
      </c>
      <c r="M681">
        <v>1689.3630000000001</v>
      </c>
    </row>
    <row r="682" spans="1:13" x14ac:dyDescent="0.25">
      <c r="A682" t="s">
        <v>725</v>
      </c>
      <c r="B682" s="3">
        <v>45547.580555555556</v>
      </c>
      <c r="C682" s="2" t="s">
        <v>13</v>
      </c>
      <c r="D682" s="2" t="s">
        <v>14</v>
      </c>
      <c r="E682" t="s">
        <v>15</v>
      </c>
      <c r="F682">
        <v>447.73</v>
      </c>
      <c r="G682" s="2" t="s">
        <v>34</v>
      </c>
      <c r="H682" t="s">
        <v>35</v>
      </c>
      <c r="I682">
        <v>2.5</v>
      </c>
      <c r="J682">
        <v>8.7999999999999995E-2</v>
      </c>
      <c r="K682">
        <v>0</v>
      </c>
      <c r="L682">
        <v>0</v>
      </c>
      <c r="M682">
        <v>0</v>
      </c>
    </row>
    <row r="683" spans="1:13" x14ac:dyDescent="0.25">
      <c r="A683" t="s">
        <v>726</v>
      </c>
      <c r="B683" s="3">
        <v>45547.683333333334</v>
      </c>
      <c r="C683" s="2" t="s">
        <v>13</v>
      </c>
      <c r="D683" s="2" t="s">
        <v>14</v>
      </c>
      <c r="E683" t="s">
        <v>28</v>
      </c>
      <c r="F683">
        <v>3877.07</v>
      </c>
      <c r="G683" s="2" t="s">
        <v>34</v>
      </c>
      <c r="H683" t="s">
        <v>35</v>
      </c>
      <c r="I683">
        <v>2.9</v>
      </c>
      <c r="J683">
        <v>8.7999999999999995E-2</v>
      </c>
      <c r="K683">
        <v>0</v>
      </c>
      <c r="L683">
        <v>0</v>
      </c>
      <c r="M683">
        <v>0</v>
      </c>
    </row>
    <row r="684" spans="1:13" x14ac:dyDescent="0.25">
      <c r="A684" t="s">
        <v>727</v>
      </c>
      <c r="B684" s="3">
        <v>45547.745138888888</v>
      </c>
      <c r="C684" s="2" t="s">
        <v>43</v>
      </c>
      <c r="D684" s="2" t="s">
        <v>25</v>
      </c>
      <c r="E684" t="s">
        <v>28</v>
      </c>
      <c r="F684">
        <v>1703.03</v>
      </c>
      <c r="G684" s="2" t="s">
        <v>22</v>
      </c>
      <c r="H684"/>
      <c r="I684">
        <v>2.9</v>
      </c>
      <c r="J684">
        <v>1</v>
      </c>
      <c r="K684">
        <v>49.39</v>
      </c>
      <c r="L684">
        <v>1653.64</v>
      </c>
      <c r="M684">
        <v>1703.0300000000002</v>
      </c>
    </row>
    <row r="685" spans="1:13" x14ac:dyDescent="0.25">
      <c r="A685" t="s">
        <v>728</v>
      </c>
      <c r="B685" s="3">
        <v>45547.875694444447</v>
      </c>
      <c r="C685" s="2" t="s">
        <v>27</v>
      </c>
      <c r="D685" s="2" t="s">
        <v>25</v>
      </c>
      <c r="E685" t="s">
        <v>15</v>
      </c>
      <c r="F685">
        <v>3399.23</v>
      </c>
      <c r="G685" s="2" t="s">
        <v>22</v>
      </c>
      <c r="H685"/>
      <c r="I685">
        <v>2.5</v>
      </c>
      <c r="J685">
        <v>1</v>
      </c>
      <c r="K685">
        <v>84.98</v>
      </c>
      <c r="L685">
        <v>3314.25</v>
      </c>
      <c r="M685">
        <v>3399.23</v>
      </c>
    </row>
    <row r="686" spans="1:13" x14ac:dyDescent="0.25">
      <c r="A686" t="s">
        <v>729</v>
      </c>
      <c r="B686" s="3">
        <v>45547.996527777781</v>
      </c>
      <c r="C686" s="2" t="s">
        <v>31</v>
      </c>
      <c r="D686" s="2" t="s">
        <v>32</v>
      </c>
      <c r="E686" t="s">
        <v>44</v>
      </c>
      <c r="F686">
        <v>1679.69</v>
      </c>
      <c r="G686" s="2" t="s">
        <v>22</v>
      </c>
      <c r="H686"/>
      <c r="I686">
        <v>2.1</v>
      </c>
      <c r="J686">
        <v>1.17</v>
      </c>
      <c r="K686">
        <v>41.265900000000002</v>
      </c>
      <c r="L686">
        <v>1923.9713999999999</v>
      </c>
      <c r="M686">
        <v>1965.2373</v>
      </c>
    </row>
    <row r="687" spans="1:13" x14ac:dyDescent="0.25">
      <c r="A687" t="s">
        <v>730</v>
      </c>
      <c r="B687" s="3">
        <v>45548.168749999997</v>
      </c>
      <c r="C687" s="2" t="s">
        <v>43</v>
      </c>
      <c r="D687" s="2" t="s">
        <v>25</v>
      </c>
      <c r="E687" t="s">
        <v>28</v>
      </c>
      <c r="F687">
        <v>4912.1000000000004</v>
      </c>
      <c r="G687" s="2" t="s">
        <v>22</v>
      </c>
      <c r="H687"/>
      <c r="I687">
        <v>2.9</v>
      </c>
      <c r="J687">
        <v>1</v>
      </c>
      <c r="K687">
        <v>142.44999999999999</v>
      </c>
      <c r="L687">
        <v>4769.6499999999996</v>
      </c>
      <c r="M687">
        <v>4912.0999999999995</v>
      </c>
    </row>
    <row r="688" spans="1:13" x14ac:dyDescent="0.25">
      <c r="A688" t="s">
        <v>731</v>
      </c>
      <c r="B688" s="3">
        <v>45549.384722222225</v>
      </c>
      <c r="C688" s="2" t="s">
        <v>19</v>
      </c>
      <c r="D688" s="2" t="s">
        <v>20</v>
      </c>
      <c r="E688" t="s">
        <v>39</v>
      </c>
      <c r="F688">
        <v>2993.61</v>
      </c>
      <c r="G688" s="2" t="s">
        <v>22</v>
      </c>
      <c r="H688"/>
      <c r="I688">
        <v>3.2</v>
      </c>
      <c r="J688">
        <v>8.7999999999999995E-2</v>
      </c>
      <c r="K688">
        <v>8.4303999999999988</v>
      </c>
      <c r="L688">
        <v>255.00727999999998</v>
      </c>
      <c r="M688">
        <v>263.43768</v>
      </c>
    </row>
    <row r="689" spans="1:13" x14ac:dyDescent="0.25">
      <c r="A689" t="s">
        <v>732</v>
      </c>
      <c r="B689" s="3">
        <v>45549.8125</v>
      </c>
      <c r="C689" s="2" t="s">
        <v>37</v>
      </c>
      <c r="D689" s="2" t="s">
        <v>38</v>
      </c>
      <c r="E689" t="s">
        <v>44</v>
      </c>
      <c r="F689">
        <v>2462.31</v>
      </c>
      <c r="G689" s="2" t="s">
        <v>22</v>
      </c>
      <c r="H689"/>
      <c r="I689">
        <v>2.1</v>
      </c>
      <c r="J689">
        <v>0.23</v>
      </c>
      <c r="K689">
        <v>11.8933</v>
      </c>
      <c r="L689">
        <v>554.43799999999999</v>
      </c>
      <c r="M689">
        <v>566.33129999999994</v>
      </c>
    </row>
    <row r="690" spans="1:13" x14ac:dyDescent="0.25">
      <c r="A690" t="s">
        <v>733</v>
      </c>
      <c r="B690" s="3">
        <v>45550.75277777778</v>
      </c>
      <c r="C690" s="2" t="s">
        <v>31</v>
      </c>
      <c r="D690" s="2" t="s">
        <v>32</v>
      </c>
      <c r="E690" t="s">
        <v>33</v>
      </c>
      <c r="F690">
        <v>2648.91</v>
      </c>
      <c r="G690" s="2" t="s">
        <v>22</v>
      </c>
      <c r="H690"/>
      <c r="I690">
        <v>1.9</v>
      </c>
      <c r="J690">
        <v>1.17</v>
      </c>
      <c r="K690">
        <v>58.886099999999992</v>
      </c>
      <c r="L690">
        <v>3040.3385999999996</v>
      </c>
      <c r="M690">
        <v>3099.2246999999998</v>
      </c>
    </row>
    <row r="691" spans="1:13" x14ac:dyDescent="0.25">
      <c r="A691" t="s">
        <v>734</v>
      </c>
      <c r="B691" s="3">
        <v>45551.338888888888</v>
      </c>
      <c r="C691" s="2" t="s">
        <v>37</v>
      </c>
      <c r="D691" s="2" t="s">
        <v>38</v>
      </c>
      <c r="E691" t="s">
        <v>28</v>
      </c>
      <c r="F691">
        <v>1853.94</v>
      </c>
      <c r="G691" s="2" t="s">
        <v>22</v>
      </c>
      <c r="H691"/>
      <c r="I691">
        <v>2.9</v>
      </c>
      <c r="J691">
        <v>0.23</v>
      </c>
      <c r="K691">
        <v>12.364800000000001</v>
      </c>
      <c r="L691">
        <v>414.04140000000001</v>
      </c>
      <c r="M691">
        <v>426.40620000000001</v>
      </c>
    </row>
    <row r="692" spans="1:13" x14ac:dyDescent="0.25">
      <c r="A692" t="s">
        <v>735</v>
      </c>
      <c r="B692" s="3">
        <v>45553.55972222222</v>
      </c>
      <c r="C692" s="2" t="s">
        <v>31</v>
      </c>
      <c r="D692" s="2" t="s">
        <v>32</v>
      </c>
      <c r="E692" t="s">
        <v>15</v>
      </c>
      <c r="F692">
        <v>4066</v>
      </c>
      <c r="G692" s="2" t="s">
        <v>22</v>
      </c>
      <c r="H692"/>
      <c r="I692">
        <v>2.5</v>
      </c>
      <c r="J692">
        <v>1.17</v>
      </c>
      <c r="K692">
        <v>118.93049999999999</v>
      </c>
      <c r="L692">
        <v>4638.2894999999999</v>
      </c>
      <c r="M692">
        <v>4757.22</v>
      </c>
    </row>
    <row r="693" spans="1:13" x14ac:dyDescent="0.25">
      <c r="A693" t="s">
        <v>736</v>
      </c>
      <c r="B693" s="3">
        <v>45555.28402777778</v>
      </c>
      <c r="C693" s="2" t="s">
        <v>27</v>
      </c>
      <c r="D693" s="2" t="s">
        <v>25</v>
      </c>
      <c r="E693" t="s">
        <v>28</v>
      </c>
      <c r="F693">
        <v>3765.62</v>
      </c>
      <c r="G693" s="2" t="s">
        <v>17</v>
      </c>
      <c r="H693"/>
      <c r="I693">
        <v>2.9</v>
      </c>
      <c r="J693">
        <v>1</v>
      </c>
      <c r="K693">
        <v>0</v>
      </c>
      <c r="L693">
        <v>0</v>
      </c>
      <c r="M693">
        <v>0</v>
      </c>
    </row>
    <row r="694" spans="1:13" x14ac:dyDescent="0.25">
      <c r="A694" t="s">
        <v>737</v>
      </c>
      <c r="B694" s="3">
        <v>45555.420138888891</v>
      </c>
      <c r="C694" s="2" t="s">
        <v>58</v>
      </c>
      <c r="D694" s="2" t="s">
        <v>25</v>
      </c>
      <c r="E694" t="s">
        <v>28</v>
      </c>
      <c r="F694">
        <v>4908.6099999999997</v>
      </c>
      <c r="G694" s="2" t="s">
        <v>34</v>
      </c>
      <c r="H694" t="s">
        <v>62</v>
      </c>
      <c r="I694">
        <v>2.9</v>
      </c>
      <c r="J694">
        <v>1</v>
      </c>
      <c r="K694">
        <v>0</v>
      </c>
      <c r="L694">
        <v>0</v>
      </c>
      <c r="M694">
        <v>0</v>
      </c>
    </row>
    <row r="695" spans="1:13" x14ac:dyDescent="0.25">
      <c r="A695" t="s">
        <v>738</v>
      </c>
      <c r="B695" s="3">
        <v>45555.553472222222</v>
      </c>
      <c r="C695" s="2" t="s">
        <v>60</v>
      </c>
      <c r="D695" s="2" t="s">
        <v>25</v>
      </c>
      <c r="E695" t="s">
        <v>15</v>
      </c>
      <c r="F695">
        <v>120.96</v>
      </c>
      <c r="G695" s="2" t="s">
        <v>22</v>
      </c>
      <c r="H695"/>
      <c r="I695">
        <v>2.5</v>
      </c>
      <c r="J695">
        <v>1</v>
      </c>
      <c r="K695">
        <v>3.02</v>
      </c>
      <c r="L695">
        <v>117.94</v>
      </c>
      <c r="M695">
        <v>120.96</v>
      </c>
    </row>
    <row r="696" spans="1:13" x14ac:dyDescent="0.25">
      <c r="A696" t="s">
        <v>739</v>
      </c>
      <c r="B696" s="3">
        <v>45555.712500000001</v>
      </c>
      <c r="C696" s="2" t="s">
        <v>37</v>
      </c>
      <c r="D696" s="2" t="s">
        <v>38</v>
      </c>
      <c r="E696" t="s">
        <v>44</v>
      </c>
      <c r="F696">
        <v>621.38</v>
      </c>
      <c r="G696" s="2" t="s">
        <v>34</v>
      </c>
      <c r="H696" t="s">
        <v>35</v>
      </c>
      <c r="I696">
        <v>2.1</v>
      </c>
      <c r="J696">
        <v>0.23</v>
      </c>
      <c r="K696">
        <v>0</v>
      </c>
      <c r="L696">
        <v>0</v>
      </c>
      <c r="M696">
        <v>0</v>
      </c>
    </row>
    <row r="697" spans="1:13" x14ac:dyDescent="0.25">
      <c r="A697" t="s">
        <v>740</v>
      </c>
      <c r="B697" s="3">
        <v>45556.232638888891</v>
      </c>
      <c r="C697" s="2" t="s">
        <v>27</v>
      </c>
      <c r="D697" s="2" t="s">
        <v>25</v>
      </c>
      <c r="E697" t="s">
        <v>39</v>
      </c>
      <c r="F697">
        <v>2137.58</v>
      </c>
      <c r="G697" s="2" t="s">
        <v>34</v>
      </c>
      <c r="H697" t="s">
        <v>35</v>
      </c>
      <c r="I697">
        <v>3.2</v>
      </c>
      <c r="J697">
        <v>1</v>
      </c>
      <c r="K697">
        <v>0</v>
      </c>
      <c r="L697">
        <v>0</v>
      </c>
      <c r="M697">
        <v>0</v>
      </c>
    </row>
    <row r="698" spans="1:13" x14ac:dyDescent="0.25">
      <c r="A698" t="s">
        <v>741</v>
      </c>
      <c r="B698" s="3">
        <v>45556.253472222219</v>
      </c>
      <c r="C698" s="2" t="s">
        <v>24</v>
      </c>
      <c r="D698" s="2" t="s">
        <v>25</v>
      </c>
      <c r="E698" t="s">
        <v>15</v>
      </c>
      <c r="F698">
        <v>2780.33</v>
      </c>
      <c r="G698" s="2" t="s">
        <v>22</v>
      </c>
      <c r="H698"/>
      <c r="I698">
        <v>2.5</v>
      </c>
      <c r="J698">
        <v>1</v>
      </c>
      <c r="K698">
        <v>69.510000000000005</v>
      </c>
      <c r="L698">
        <v>2710.82</v>
      </c>
      <c r="M698">
        <v>2780.3300000000004</v>
      </c>
    </row>
    <row r="699" spans="1:13" x14ac:dyDescent="0.25">
      <c r="A699" t="s">
        <v>742</v>
      </c>
      <c r="B699" s="3">
        <v>45556.435416666667</v>
      </c>
      <c r="C699" s="2" t="s">
        <v>27</v>
      </c>
      <c r="D699" s="2" t="s">
        <v>25</v>
      </c>
      <c r="E699" t="s">
        <v>39</v>
      </c>
      <c r="F699">
        <v>3820.74</v>
      </c>
      <c r="G699" s="2" t="s">
        <v>22</v>
      </c>
      <c r="H699"/>
      <c r="I699">
        <v>3.2</v>
      </c>
      <c r="J699">
        <v>1</v>
      </c>
      <c r="K699">
        <v>122.26</v>
      </c>
      <c r="L699">
        <v>3698.48</v>
      </c>
      <c r="M699">
        <v>3820.7400000000002</v>
      </c>
    </row>
    <row r="700" spans="1:13" x14ac:dyDescent="0.25">
      <c r="A700" t="s">
        <v>743</v>
      </c>
      <c r="B700" s="3">
        <v>45556.494444444441</v>
      </c>
      <c r="C700" s="2" t="s">
        <v>60</v>
      </c>
      <c r="D700" s="2" t="s">
        <v>25</v>
      </c>
      <c r="E700" t="s">
        <v>33</v>
      </c>
      <c r="F700">
        <v>337.43</v>
      </c>
      <c r="G700" s="2" t="s">
        <v>17</v>
      </c>
      <c r="H700"/>
      <c r="I700">
        <v>1.9</v>
      </c>
      <c r="J700">
        <v>1</v>
      </c>
      <c r="K700">
        <v>0</v>
      </c>
      <c r="L700">
        <v>0</v>
      </c>
      <c r="M700">
        <v>0</v>
      </c>
    </row>
    <row r="701" spans="1:13" x14ac:dyDescent="0.25">
      <c r="A701" t="s">
        <v>744</v>
      </c>
      <c r="B701" s="3">
        <v>45556.515277777777</v>
      </c>
      <c r="C701" s="2" t="s">
        <v>37</v>
      </c>
      <c r="D701" s="2" t="s">
        <v>38</v>
      </c>
      <c r="E701" t="s">
        <v>15</v>
      </c>
      <c r="F701">
        <v>4436.99</v>
      </c>
      <c r="G701" s="2" t="s">
        <v>22</v>
      </c>
      <c r="H701"/>
      <c r="I701">
        <v>2.5</v>
      </c>
      <c r="J701">
        <v>0.23</v>
      </c>
      <c r="K701">
        <v>25.511600000000001</v>
      </c>
      <c r="L701">
        <v>994.99609999999996</v>
      </c>
      <c r="M701">
        <v>1020.5077</v>
      </c>
    </row>
    <row r="702" spans="1:13" x14ac:dyDescent="0.25">
      <c r="A702" t="s">
        <v>745</v>
      </c>
      <c r="B702" s="3">
        <v>45556.588194444441</v>
      </c>
      <c r="C702" s="2" t="s">
        <v>24</v>
      </c>
      <c r="D702" s="2" t="s">
        <v>25</v>
      </c>
      <c r="E702" t="s">
        <v>44</v>
      </c>
      <c r="F702">
        <v>1697.05</v>
      </c>
      <c r="G702" s="2" t="s">
        <v>17</v>
      </c>
      <c r="H702"/>
      <c r="I702">
        <v>2.1</v>
      </c>
      <c r="J702">
        <v>1</v>
      </c>
      <c r="K702">
        <v>0</v>
      </c>
      <c r="L702">
        <v>0</v>
      </c>
      <c r="M702">
        <v>0</v>
      </c>
    </row>
    <row r="703" spans="1:13" x14ac:dyDescent="0.25">
      <c r="A703" t="s">
        <v>746</v>
      </c>
      <c r="B703" s="3">
        <v>45557.179861111108</v>
      </c>
      <c r="C703" s="2" t="s">
        <v>27</v>
      </c>
      <c r="D703" s="2" t="s">
        <v>25</v>
      </c>
      <c r="E703" t="s">
        <v>44</v>
      </c>
      <c r="F703">
        <v>4674.34</v>
      </c>
      <c r="G703" s="2" t="s">
        <v>22</v>
      </c>
      <c r="H703"/>
      <c r="I703">
        <v>2.1</v>
      </c>
      <c r="J703">
        <v>1</v>
      </c>
      <c r="K703">
        <v>98.16</v>
      </c>
      <c r="L703">
        <v>4576.18</v>
      </c>
      <c r="M703">
        <v>4674.34</v>
      </c>
    </row>
    <row r="704" spans="1:13" x14ac:dyDescent="0.25">
      <c r="A704" t="s">
        <v>747</v>
      </c>
      <c r="B704" s="3">
        <v>45557.412499999999</v>
      </c>
      <c r="C704" s="2" t="s">
        <v>31</v>
      </c>
      <c r="D704" s="2" t="s">
        <v>32</v>
      </c>
      <c r="E704" t="s">
        <v>39</v>
      </c>
      <c r="F704">
        <v>3178.93</v>
      </c>
      <c r="G704" s="2" t="s">
        <v>17</v>
      </c>
      <c r="H704"/>
      <c r="I704">
        <v>3.2</v>
      </c>
      <c r="J704">
        <v>1.17</v>
      </c>
      <c r="K704">
        <v>0</v>
      </c>
      <c r="L704">
        <v>0</v>
      </c>
      <c r="M704">
        <v>0</v>
      </c>
    </row>
    <row r="705" spans="1:13" x14ac:dyDescent="0.25">
      <c r="A705" t="s">
        <v>748</v>
      </c>
      <c r="B705" s="3">
        <v>45557.589583333334</v>
      </c>
      <c r="C705" s="2" t="s">
        <v>19</v>
      </c>
      <c r="D705" s="2" t="s">
        <v>20</v>
      </c>
      <c r="E705" t="s">
        <v>33</v>
      </c>
      <c r="F705">
        <v>1646.55</v>
      </c>
      <c r="G705" s="2" t="s">
        <v>17</v>
      </c>
      <c r="H705"/>
      <c r="I705">
        <v>1.9</v>
      </c>
      <c r="J705">
        <v>8.7999999999999995E-2</v>
      </c>
      <c r="K705">
        <v>0</v>
      </c>
      <c r="L705">
        <v>0</v>
      </c>
      <c r="M705">
        <v>0</v>
      </c>
    </row>
    <row r="706" spans="1:13" x14ac:dyDescent="0.25">
      <c r="A706" t="s">
        <v>749</v>
      </c>
      <c r="B706" s="3">
        <v>45557.894444444442</v>
      </c>
      <c r="C706" s="2" t="s">
        <v>60</v>
      </c>
      <c r="D706" s="2" t="s">
        <v>25</v>
      </c>
      <c r="E706" t="s">
        <v>28</v>
      </c>
      <c r="F706">
        <v>4087.37</v>
      </c>
      <c r="G706" s="2" t="s">
        <v>34</v>
      </c>
      <c r="H706" t="s">
        <v>35</v>
      </c>
      <c r="I706">
        <v>2.9</v>
      </c>
      <c r="J706">
        <v>1</v>
      </c>
      <c r="K706">
        <v>0</v>
      </c>
      <c r="L706">
        <v>0</v>
      </c>
      <c r="M706">
        <v>0</v>
      </c>
    </row>
    <row r="707" spans="1:13" x14ac:dyDescent="0.25">
      <c r="A707" t="s">
        <v>750</v>
      </c>
      <c r="B707" s="3">
        <v>45558.01666666667</v>
      </c>
      <c r="C707" s="2" t="s">
        <v>24</v>
      </c>
      <c r="D707" s="2" t="s">
        <v>25</v>
      </c>
      <c r="E707" t="s">
        <v>39</v>
      </c>
      <c r="F707">
        <v>1817.73</v>
      </c>
      <c r="G707" s="2" t="s">
        <v>22</v>
      </c>
      <c r="H707"/>
      <c r="I707">
        <v>3.2</v>
      </c>
      <c r="J707">
        <v>1</v>
      </c>
      <c r="K707">
        <v>58.17</v>
      </c>
      <c r="L707">
        <v>1759.56</v>
      </c>
      <c r="M707">
        <v>1817.73</v>
      </c>
    </row>
    <row r="708" spans="1:13" x14ac:dyDescent="0.25">
      <c r="A708" t="s">
        <v>751</v>
      </c>
      <c r="B708" s="3">
        <v>45558.400000000001</v>
      </c>
      <c r="C708" s="2" t="s">
        <v>37</v>
      </c>
      <c r="D708" s="2" t="s">
        <v>38</v>
      </c>
      <c r="E708" t="s">
        <v>33</v>
      </c>
      <c r="F708">
        <v>103.4</v>
      </c>
      <c r="G708" s="2" t="s">
        <v>17</v>
      </c>
      <c r="H708"/>
      <c r="I708">
        <v>1.9</v>
      </c>
      <c r="J708">
        <v>0.23</v>
      </c>
      <c r="K708">
        <v>0</v>
      </c>
      <c r="L708">
        <v>0</v>
      </c>
      <c r="M708">
        <v>0</v>
      </c>
    </row>
    <row r="709" spans="1:13" x14ac:dyDescent="0.25">
      <c r="A709" t="s">
        <v>752</v>
      </c>
      <c r="B709" s="3">
        <v>45558.45</v>
      </c>
      <c r="C709" s="2" t="s">
        <v>27</v>
      </c>
      <c r="D709" s="2" t="s">
        <v>25</v>
      </c>
      <c r="E709" t="s">
        <v>28</v>
      </c>
      <c r="F709">
        <v>4452.6899999999996</v>
      </c>
      <c r="G709" s="2" t="s">
        <v>17</v>
      </c>
      <c r="H709"/>
      <c r="I709">
        <v>2.9</v>
      </c>
      <c r="J709">
        <v>1</v>
      </c>
      <c r="K709">
        <v>0</v>
      </c>
      <c r="L709">
        <v>0</v>
      </c>
      <c r="M709">
        <v>0</v>
      </c>
    </row>
    <row r="710" spans="1:13" x14ac:dyDescent="0.25">
      <c r="A710" t="s">
        <v>753</v>
      </c>
      <c r="B710" s="3">
        <v>45558.738194444442</v>
      </c>
      <c r="C710" s="2" t="s">
        <v>24</v>
      </c>
      <c r="D710" s="2" t="s">
        <v>25</v>
      </c>
      <c r="E710" t="s">
        <v>39</v>
      </c>
      <c r="F710">
        <v>359.17</v>
      </c>
      <c r="G710" s="2" t="s">
        <v>22</v>
      </c>
      <c r="H710"/>
      <c r="I710">
        <v>3.2</v>
      </c>
      <c r="J710">
        <v>1</v>
      </c>
      <c r="K710">
        <v>11.49</v>
      </c>
      <c r="L710">
        <v>347.68</v>
      </c>
      <c r="M710">
        <v>359.17</v>
      </c>
    </row>
    <row r="711" spans="1:13" x14ac:dyDescent="0.25">
      <c r="A711" t="s">
        <v>754</v>
      </c>
      <c r="B711" s="3">
        <v>45559.911805555559</v>
      </c>
      <c r="C711" s="2" t="s">
        <v>19</v>
      </c>
      <c r="D711" s="2" t="s">
        <v>20</v>
      </c>
      <c r="E711" t="s">
        <v>33</v>
      </c>
      <c r="F711">
        <v>2487.29</v>
      </c>
      <c r="G711" s="2" t="s">
        <v>22</v>
      </c>
      <c r="H711"/>
      <c r="I711">
        <v>1.9</v>
      </c>
      <c r="J711">
        <v>8.7999999999999995E-2</v>
      </c>
      <c r="K711">
        <v>4.1588799999999999</v>
      </c>
      <c r="L711">
        <v>214.72264000000001</v>
      </c>
      <c r="M711">
        <v>218.88152000000002</v>
      </c>
    </row>
    <row r="712" spans="1:13" x14ac:dyDescent="0.25">
      <c r="A712" t="s">
        <v>755</v>
      </c>
      <c r="B712" s="3">
        <v>45560.087500000001</v>
      </c>
      <c r="C712" s="2" t="s">
        <v>47</v>
      </c>
      <c r="D712" s="2" t="s">
        <v>25</v>
      </c>
      <c r="E712" t="s">
        <v>33</v>
      </c>
      <c r="F712">
        <v>430.71</v>
      </c>
      <c r="G712" s="2" t="s">
        <v>34</v>
      </c>
      <c r="H712" t="s">
        <v>62</v>
      </c>
      <c r="I712">
        <v>1.9</v>
      </c>
      <c r="J712">
        <v>1</v>
      </c>
      <c r="K712">
        <v>0</v>
      </c>
      <c r="L712">
        <v>0</v>
      </c>
      <c r="M712">
        <v>0</v>
      </c>
    </row>
    <row r="713" spans="1:13" x14ac:dyDescent="0.25">
      <c r="A713" t="s">
        <v>756</v>
      </c>
      <c r="B713" s="3">
        <v>45560.40902777778</v>
      </c>
      <c r="C713" s="2" t="s">
        <v>37</v>
      </c>
      <c r="D713" s="2" t="s">
        <v>38</v>
      </c>
      <c r="E713" t="s">
        <v>44</v>
      </c>
      <c r="F713">
        <v>4112.47</v>
      </c>
      <c r="G713" s="2" t="s">
        <v>17</v>
      </c>
      <c r="H713"/>
      <c r="I713">
        <v>2.1</v>
      </c>
      <c r="J713">
        <v>0.23</v>
      </c>
      <c r="K713">
        <v>0</v>
      </c>
      <c r="L713">
        <v>0</v>
      </c>
      <c r="M713">
        <v>0</v>
      </c>
    </row>
    <row r="714" spans="1:13" x14ac:dyDescent="0.25">
      <c r="A714" t="s">
        <v>757</v>
      </c>
      <c r="B714" s="3">
        <v>45560.861111111109</v>
      </c>
      <c r="C714" s="2" t="s">
        <v>13</v>
      </c>
      <c r="D714" s="2" t="s">
        <v>14</v>
      </c>
      <c r="E714" t="s">
        <v>39</v>
      </c>
      <c r="F714">
        <v>2413.44</v>
      </c>
      <c r="G714" s="2" t="s">
        <v>22</v>
      </c>
      <c r="H714"/>
      <c r="I714">
        <v>3.2</v>
      </c>
      <c r="J714">
        <v>8.7999999999999995E-2</v>
      </c>
      <c r="K714">
        <v>6.7962400000000001</v>
      </c>
      <c r="L714">
        <v>205.58647999999999</v>
      </c>
      <c r="M714">
        <v>212.38272000000001</v>
      </c>
    </row>
    <row r="715" spans="1:13" x14ac:dyDescent="0.25">
      <c r="A715" t="s">
        <v>758</v>
      </c>
      <c r="B715" s="3">
        <v>45561.299305555556</v>
      </c>
      <c r="C715" s="2" t="s">
        <v>13</v>
      </c>
      <c r="D715" s="2" t="s">
        <v>14</v>
      </c>
      <c r="E715" t="s">
        <v>28</v>
      </c>
      <c r="F715">
        <v>805.26</v>
      </c>
      <c r="G715" s="2" t="s">
        <v>17</v>
      </c>
      <c r="H715"/>
      <c r="I715">
        <v>2.9</v>
      </c>
      <c r="J715">
        <v>8.7999999999999995E-2</v>
      </c>
      <c r="K715">
        <v>0</v>
      </c>
      <c r="L715">
        <v>0</v>
      </c>
      <c r="M715">
        <v>0</v>
      </c>
    </row>
    <row r="716" spans="1:13" x14ac:dyDescent="0.25">
      <c r="A716" t="s">
        <v>759</v>
      </c>
      <c r="B716" s="3">
        <v>45561.353472222225</v>
      </c>
      <c r="C716" s="2" t="s">
        <v>13</v>
      </c>
      <c r="D716" s="2" t="s">
        <v>14</v>
      </c>
      <c r="E716" t="s">
        <v>28</v>
      </c>
      <c r="F716">
        <v>4450.68</v>
      </c>
      <c r="G716" s="2" t="s">
        <v>22</v>
      </c>
      <c r="H716"/>
      <c r="I716">
        <v>2.9</v>
      </c>
      <c r="J716">
        <v>8.7999999999999995E-2</v>
      </c>
      <c r="K716">
        <v>11.358159999999998</v>
      </c>
      <c r="L716">
        <v>380.30167999999998</v>
      </c>
      <c r="M716">
        <v>391.65983999999997</v>
      </c>
    </row>
    <row r="717" spans="1:13" x14ac:dyDescent="0.25">
      <c r="A717" t="s">
        <v>760</v>
      </c>
      <c r="B717" s="3">
        <v>45561.583333333336</v>
      </c>
      <c r="C717" s="2" t="s">
        <v>27</v>
      </c>
      <c r="D717" s="2" t="s">
        <v>25</v>
      </c>
      <c r="E717" t="s">
        <v>15</v>
      </c>
      <c r="F717">
        <v>383.39</v>
      </c>
      <c r="G717" s="2" t="s">
        <v>22</v>
      </c>
      <c r="H717"/>
      <c r="I717">
        <v>2.5</v>
      </c>
      <c r="J717">
        <v>1</v>
      </c>
      <c r="K717">
        <v>9.58</v>
      </c>
      <c r="L717">
        <v>373.81</v>
      </c>
      <c r="M717">
        <v>383.39</v>
      </c>
    </row>
    <row r="718" spans="1:13" x14ac:dyDescent="0.25">
      <c r="A718" t="s">
        <v>761</v>
      </c>
      <c r="B718" s="3">
        <v>45561.606249999997</v>
      </c>
      <c r="C718" s="2" t="s">
        <v>37</v>
      </c>
      <c r="D718" s="2" t="s">
        <v>38</v>
      </c>
      <c r="E718" t="s">
        <v>28</v>
      </c>
      <c r="F718">
        <v>569.91999999999996</v>
      </c>
      <c r="G718" s="2" t="s">
        <v>17</v>
      </c>
      <c r="H718"/>
      <c r="I718">
        <v>2.9</v>
      </c>
      <c r="J718">
        <v>0.23</v>
      </c>
      <c r="K718">
        <v>0</v>
      </c>
      <c r="L718">
        <v>0</v>
      </c>
      <c r="M718">
        <v>0</v>
      </c>
    </row>
    <row r="719" spans="1:13" x14ac:dyDescent="0.25">
      <c r="A719" t="s">
        <v>762</v>
      </c>
      <c r="B719" s="3">
        <v>45561.822222222225</v>
      </c>
      <c r="C719" s="2" t="s">
        <v>19</v>
      </c>
      <c r="D719" s="2" t="s">
        <v>20</v>
      </c>
      <c r="E719" t="s">
        <v>39</v>
      </c>
      <c r="F719">
        <v>1838.11</v>
      </c>
      <c r="G719" s="2" t="s">
        <v>17</v>
      </c>
      <c r="H719"/>
      <c r="I719">
        <v>3.2</v>
      </c>
      <c r="J719">
        <v>8.7999999999999995E-2</v>
      </c>
      <c r="K719">
        <v>0</v>
      </c>
      <c r="L719">
        <v>0</v>
      </c>
      <c r="M719">
        <v>0</v>
      </c>
    </row>
    <row r="720" spans="1:13" x14ac:dyDescent="0.25">
      <c r="A720" t="s">
        <v>763</v>
      </c>
      <c r="B720" s="3">
        <v>45562.831944444442</v>
      </c>
      <c r="C720" s="2" t="s">
        <v>27</v>
      </c>
      <c r="D720" s="2" t="s">
        <v>25</v>
      </c>
      <c r="E720" t="s">
        <v>15</v>
      </c>
      <c r="F720">
        <v>3222.96</v>
      </c>
      <c r="G720" s="2" t="s">
        <v>17</v>
      </c>
      <c r="H720"/>
      <c r="I720">
        <v>2.5</v>
      </c>
      <c r="J720">
        <v>1</v>
      </c>
      <c r="K720">
        <v>0</v>
      </c>
      <c r="L720">
        <v>0</v>
      </c>
      <c r="M720">
        <v>0</v>
      </c>
    </row>
    <row r="721" spans="1:13" x14ac:dyDescent="0.25">
      <c r="A721" t="s">
        <v>764</v>
      </c>
      <c r="B721" s="3">
        <v>45563.183333333334</v>
      </c>
      <c r="C721" s="2" t="s">
        <v>24</v>
      </c>
      <c r="D721" s="2" t="s">
        <v>25</v>
      </c>
      <c r="E721" t="s">
        <v>39</v>
      </c>
      <c r="F721">
        <v>1658.01</v>
      </c>
      <c r="G721" s="2" t="s">
        <v>22</v>
      </c>
      <c r="H721"/>
      <c r="I721">
        <v>3.2</v>
      </c>
      <c r="J721">
        <v>1</v>
      </c>
      <c r="K721">
        <v>53.06</v>
      </c>
      <c r="L721">
        <v>1604.95</v>
      </c>
      <c r="M721">
        <v>1658.01</v>
      </c>
    </row>
    <row r="722" spans="1:13" x14ac:dyDescent="0.25">
      <c r="A722" t="s">
        <v>765</v>
      </c>
      <c r="B722" s="3">
        <v>45563.475694444445</v>
      </c>
      <c r="C722" s="2" t="s">
        <v>37</v>
      </c>
      <c r="D722" s="2" t="s">
        <v>38</v>
      </c>
      <c r="E722" t="s">
        <v>39</v>
      </c>
      <c r="F722">
        <v>4803</v>
      </c>
      <c r="G722" s="2" t="s">
        <v>22</v>
      </c>
      <c r="H722"/>
      <c r="I722">
        <v>3.2</v>
      </c>
      <c r="J722">
        <v>0.23</v>
      </c>
      <c r="K722">
        <v>35.350999999999999</v>
      </c>
      <c r="L722">
        <v>1069.3390000000002</v>
      </c>
      <c r="M722">
        <v>1104.69</v>
      </c>
    </row>
    <row r="723" spans="1:13" x14ac:dyDescent="0.25">
      <c r="A723" t="s">
        <v>766</v>
      </c>
      <c r="B723" s="3">
        <v>45563.706944444442</v>
      </c>
      <c r="C723" s="2" t="s">
        <v>47</v>
      </c>
      <c r="D723" s="2" t="s">
        <v>25</v>
      </c>
      <c r="E723" t="s">
        <v>44</v>
      </c>
      <c r="F723">
        <v>4571.1000000000004</v>
      </c>
      <c r="G723" s="2" t="s">
        <v>34</v>
      </c>
      <c r="H723" t="s">
        <v>62</v>
      </c>
      <c r="I723">
        <v>2.1</v>
      </c>
      <c r="J723">
        <v>1</v>
      </c>
      <c r="K723">
        <v>0</v>
      </c>
      <c r="L723">
        <v>0</v>
      </c>
      <c r="M723">
        <v>0</v>
      </c>
    </row>
    <row r="724" spans="1:13" x14ac:dyDescent="0.25">
      <c r="A724" t="s">
        <v>767</v>
      </c>
      <c r="B724" s="3">
        <v>45564.450694444444</v>
      </c>
      <c r="C724" s="2" t="s">
        <v>43</v>
      </c>
      <c r="D724" s="2" t="s">
        <v>25</v>
      </c>
      <c r="E724" t="s">
        <v>28</v>
      </c>
      <c r="F724">
        <v>755.11</v>
      </c>
      <c r="G724" s="2" t="s">
        <v>22</v>
      </c>
      <c r="H724"/>
      <c r="I724">
        <v>2.9</v>
      </c>
      <c r="J724">
        <v>1</v>
      </c>
      <c r="K724">
        <v>21.9</v>
      </c>
      <c r="L724">
        <v>733.21</v>
      </c>
      <c r="M724">
        <v>755.11</v>
      </c>
    </row>
    <row r="725" spans="1:13" x14ac:dyDescent="0.25">
      <c r="A725" t="s">
        <v>768</v>
      </c>
      <c r="B725" s="3">
        <v>45565.020833333336</v>
      </c>
      <c r="C725" s="2" t="s">
        <v>43</v>
      </c>
      <c r="D725" s="2" t="s">
        <v>25</v>
      </c>
      <c r="E725" t="s">
        <v>33</v>
      </c>
      <c r="F725">
        <v>2874.09</v>
      </c>
      <c r="G725" s="2" t="s">
        <v>22</v>
      </c>
      <c r="H725"/>
      <c r="I725">
        <v>1.9</v>
      </c>
      <c r="J725">
        <v>1</v>
      </c>
      <c r="K725">
        <v>54.61</v>
      </c>
      <c r="L725">
        <v>2819.48</v>
      </c>
      <c r="M725">
        <v>2874.09</v>
      </c>
    </row>
    <row r="726" spans="1:13" x14ac:dyDescent="0.25">
      <c r="A726" t="s">
        <v>769</v>
      </c>
      <c r="B726" s="3">
        <v>45565.32916666667</v>
      </c>
      <c r="C726" s="2" t="s">
        <v>43</v>
      </c>
      <c r="D726" s="2" t="s">
        <v>25</v>
      </c>
      <c r="E726" t="s">
        <v>15</v>
      </c>
      <c r="F726">
        <v>4549.8500000000004</v>
      </c>
      <c r="G726" s="2" t="s">
        <v>34</v>
      </c>
      <c r="H726" t="s">
        <v>62</v>
      </c>
      <c r="I726">
        <v>2.5</v>
      </c>
      <c r="J726">
        <v>1</v>
      </c>
      <c r="K726">
        <v>0</v>
      </c>
      <c r="L726">
        <v>0</v>
      </c>
      <c r="M726">
        <v>0</v>
      </c>
    </row>
    <row r="727" spans="1:13" x14ac:dyDescent="0.25">
      <c r="A727" t="s">
        <v>770</v>
      </c>
      <c r="B727" s="3">
        <v>45565.420138888891</v>
      </c>
      <c r="C727" s="2" t="s">
        <v>43</v>
      </c>
      <c r="D727" s="2" t="s">
        <v>25</v>
      </c>
      <c r="E727" t="s">
        <v>39</v>
      </c>
      <c r="F727">
        <v>891.33</v>
      </c>
      <c r="G727" s="2" t="s">
        <v>22</v>
      </c>
      <c r="H727"/>
      <c r="I727">
        <v>3.2</v>
      </c>
      <c r="J727">
        <v>1</v>
      </c>
      <c r="K727">
        <v>28.52</v>
      </c>
      <c r="L727">
        <v>862.81</v>
      </c>
      <c r="M727">
        <v>891.32999999999993</v>
      </c>
    </row>
    <row r="728" spans="1:13" x14ac:dyDescent="0.25">
      <c r="A728" t="s">
        <v>771</v>
      </c>
      <c r="B728" s="3">
        <v>45565.509027777778</v>
      </c>
      <c r="C728" s="2" t="s">
        <v>58</v>
      </c>
      <c r="D728" s="2" t="s">
        <v>25</v>
      </c>
      <c r="E728" t="s">
        <v>44</v>
      </c>
      <c r="F728">
        <v>1350</v>
      </c>
      <c r="G728" s="2" t="s">
        <v>22</v>
      </c>
      <c r="H728"/>
      <c r="I728">
        <v>2.1</v>
      </c>
      <c r="J728">
        <v>1</v>
      </c>
      <c r="K728">
        <v>28.35</v>
      </c>
      <c r="L728">
        <v>1321.65</v>
      </c>
      <c r="M728">
        <v>1350</v>
      </c>
    </row>
    <row r="729" spans="1:13" x14ac:dyDescent="0.25">
      <c r="A729" t="s">
        <v>772</v>
      </c>
      <c r="B729" s="3">
        <v>45565.960416666669</v>
      </c>
      <c r="C729" s="2" t="s">
        <v>24</v>
      </c>
      <c r="D729" s="2" t="s">
        <v>25</v>
      </c>
      <c r="E729" t="s">
        <v>33</v>
      </c>
      <c r="F729">
        <v>1780.48</v>
      </c>
      <c r="G729" s="2" t="s">
        <v>22</v>
      </c>
      <c r="H729"/>
      <c r="I729">
        <v>1.9</v>
      </c>
      <c r="J729">
        <v>1</v>
      </c>
      <c r="K729">
        <v>33.83</v>
      </c>
      <c r="L729">
        <v>1746.65</v>
      </c>
      <c r="M729">
        <v>1780.48</v>
      </c>
    </row>
    <row r="730" spans="1:13" x14ac:dyDescent="0.25">
      <c r="A730" t="s">
        <v>773</v>
      </c>
      <c r="B730" s="3">
        <v>45566.037499999999</v>
      </c>
      <c r="C730" s="2" t="s">
        <v>31</v>
      </c>
      <c r="D730" s="2" t="s">
        <v>32</v>
      </c>
      <c r="E730" t="s">
        <v>15</v>
      </c>
      <c r="F730">
        <v>4413.45</v>
      </c>
      <c r="G730" s="2" t="s">
        <v>22</v>
      </c>
      <c r="H730"/>
      <c r="I730">
        <v>2.5</v>
      </c>
      <c r="J730">
        <v>1.17</v>
      </c>
      <c r="K730">
        <v>129.09780000000001</v>
      </c>
      <c r="L730">
        <v>5034.6386999999995</v>
      </c>
      <c r="M730">
        <v>5163.7364999999991</v>
      </c>
    </row>
    <row r="731" spans="1:13" x14ac:dyDescent="0.25">
      <c r="A731" t="s">
        <v>774</v>
      </c>
      <c r="B731" s="3">
        <v>45566.165972222225</v>
      </c>
      <c r="C731" s="2" t="s">
        <v>58</v>
      </c>
      <c r="D731" s="2" t="s">
        <v>25</v>
      </c>
      <c r="E731" t="s">
        <v>28</v>
      </c>
      <c r="F731">
        <v>1472.96</v>
      </c>
      <c r="G731" s="2" t="s">
        <v>17</v>
      </c>
      <c r="H731"/>
      <c r="I731">
        <v>2.9</v>
      </c>
      <c r="J731">
        <v>1</v>
      </c>
      <c r="K731">
        <v>0</v>
      </c>
      <c r="L731">
        <v>0</v>
      </c>
      <c r="M731">
        <v>0</v>
      </c>
    </row>
    <row r="732" spans="1:13" x14ac:dyDescent="0.25">
      <c r="A732" t="s">
        <v>775</v>
      </c>
      <c r="B732" s="3">
        <v>45566.224305555559</v>
      </c>
      <c r="C732" s="2" t="s">
        <v>37</v>
      </c>
      <c r="D732" s="2" t="s">
        <v>38</v>
      </c>
      <c r="E732" t="s">
        <v>44</v>
      </c>
      <c r="F732">
        <v>578.64</v>
      </c>
      <c r="G732" s="2" t="s">
        <v>34</v>
      </c>
      <c r="H732" t="s">
        <v>100</v>
      </c>
      <c r="I732">
        <v>2.1</v>
      </c>
      <c r="J732">
        <v>0.23</v>
      </c>
      <c r="K732">
        <v>0</v>
      </c>
      <c r="L732">
        <v>0</v>
      </c>
      <c r="M732">
        <v>0</v>
      </c>
    </row>
    <row r="733" spans="1:13" x14ac:dyDescent="0.25">
      <c r="A733" t="s">
        <v>776</v>
      </c>
      <c r="B733" s="3">
        <v>45566.375694444447</v>
      </c>
      <c r="C733" s="2" t="s">
        <v>13</v>
      </c>
      <c r="D733" s="2" t="s">
        <v>14</v>
      </c>
      <c r="E733" t="s">
        <v>15</v>
      </c>
      <c r="F733">
        <v>544.01</v>
      </c>
      <c r="G733" s="2" t="s">
        <v>22</v>
      </c>
      <c r="H733"/>
      <c r="I733">
        <v>2.5</v>
      </c>
      <c r="J733">
        <v>8.7999999999999995E-2</v>
      </c>
      <c r="K733">
        <v>1.1967999999999999</v>
      </c>
      <c r="L733">
        <v>46.676079999999992</v>
      </c>
      <c r="M733">
        <v>47.872879999999995</v>
      </c>
    </row>
    <row r="734" spans="1:13" x14ac:dyDescent="0.25">
      <c r="A734" t="s">
        <v>777</v>
      </c>
      <c r="B734" s="3">
        <v>45567.259027777778</v>
      </c>
      <c r="C734" s="2" t="s">
        <v>13</v>
      </c>
      <c r="D734" s="2" t="s">
        <v>14</v>
      </c>
      <c r="E734" t="s">
        <v>33</v>
      </c>
      <c r="F734">
        <v>2748.51</v>
      </c>
      <c r="G734" s="2" t="s">
        <v>17</v>
      </c>
      <c r="H734"/>
      <c r="I734">
        <v>1.9</v>
      </c>
      <c r="J734">
        <v>8.7999999999999995E-2</v>
      </c>
      <c r="K734">
        <v>0</v>
      </c>
      <c r="L734">
        <v>0</v>
      </c>
      <c r="M734">
        <v>0</v>
      </c>
    </row>
    <row r="735" spans="1:13" x14ac:dyDescent="0.25">
      <c r="A735" t="s">
        <v>778</v>
      </c>
      <c r="B735" s="3">
        <v>45567.761111111111</v>
      </c>
      <c r="C735" s="2" t="s">
        <v>43</v>
      </c>
      <c r="D735" s="2" t="s">
        <v>25</v>
      </c>
      <c r="E735" t="s">
        <v>15</v>
      </c>
      <c r="F735">
        <v>2423.31</v>
      </c>
      <c r="G735" s="2" t="s">
        <v>22</v>
      </c>
      <c r="H735"/>
      <c r="I735">
        <v>2.5</v>
      </c>
      <c r="J735">
        <v>1</v>
      </c>
      <c r="K735">
        <v>60.58</v>
      </c>
      <c r="L735">
        <v>2362.73</v>
      </c>
      <c r="M735">
        <v>2423.31</v>
      </c>
    </row>
    <row r="736" spans="1:13" x14ac:dyDescent="0.25">
      <c r="A736" t="s">
        <v>779</v>
      </c>
      <c r="B736" s="3">
        <v>45568.063888888886</v>
      </c>
      <c r="C736" s="2" t="s">
        <v>37</v>
      </c>
      <c r="D736" s="2" t="s">
        <v>38</v>
      </c>
      <c r="E736" t="s">
        <v>15</v>
      </c>
      <c r="F736">
        <v>2291.41</v>
      </c>
      <c r="G736" s="2" t="s">
        <v>22</v>
      </c>
      <c r="H736"/>
      <c r="I736">
        <v>2.5</v>
      </c>
      <c r="J736">
        <v>0.23</v>
      </c>
      <c r="K736">
        <v>13.1767</v>
      </c>
      <c r="L736">
        <v>513.84759999999994</v>
      </c>
      <c r="M736">
        <v>527.02429999999993</v>
      </c>
    </row>
    <row r="737" spans="1:13" x14ac:dyDescent="0.25">
      <c r="A737" t="s">
        <v>780</v>
      </c>
      <c r="B737" s="3">
        <v>45568.585416666669</v>
      </c>
      <c r="C737" s="2" t="s">
        <v>27</v>
      </c>
      <c r="D737" s="2" t="s">
        <v>25</v>
      </c>
      <c r="E737" t="s">
        <v>28</v>
      </c>
      <c r="F737">
        <v>4517.43</v>
      </c>
      <c r="G737" s="2" t="s">
        <v>22</v>
      </c>
      <c r="H737"/>
      <c r="I737">
        <v>2.9</v>
      </c>
      <c r="J737">
        <v>1</v>
      </c>
      <c r="K737">
        <v>131.01</v>
      </c>
      <c r="L737">
        <v>4386.42</v>
      </c>
      <c r="M737">
        <v>4517.43</v>
      </c>
    </row>
    <row r="738" spans="1:13" x14ac:dyDescent="0.25">
      <c r="A738" t="s">
        <v>781</v>
      </c>
      <c r="B738" s="3">
        <v>45568.676388888889</v>
      </c>
      <c r="C738" s="2" t="s">
        <v>43</v>
      </c>
      <c r="D738" s="2" t="s">
        <v>25</v>
      </c>
      <c r="E738" t="s">
        <v>44</v>
      </c>
      <c r="F738">
        <v>274.81</v>
      </c>
      <c r="G738" s="2" t="s">
        <v>22</v>
      </c>
      <c r="H738"/>
      <c r="I738">
        <v>2.1</v>
      </c>
      <c r="J738">
        <v>1</v>
      </c>
      <c r="K738">
        <v>5.77</v>
      </c>
      <c r="L738">
        <v>269.04000000000002</v>
      </c>
      <c r="M738">
        <v>274.81</v>
      </c>
    </row>
    <row r="739" spans="1:13" x14ac:dyDescent="0.25">
      <c r="A739" t="s">
        <v>782</v>
      </c>
      <c r="B739" s="3">
        <v>45569.056944444441</v>
      </c>
      <c r="C739" s="2" t="s">
        <v>43</v>
      </c>
      <c r="D739" s="2" t="s">
        <v>25</v>
      </c>
      <c r="E739" t="s">
        <v>28</v>
      </c>
      <c r="F739">
        <v>4341.5</v>
      </c>
      <c r="G739" s="2" t="s">
        <v>17</v>
      </c>
      <c r="H739"/>
      <c r="I739">
        <v>2.9</v>
      </c>
      <c r="J739">
        <v>1</v>
      </c>
      <c r="K739">
        <v>0</v>
      </c>
      <c r="L739">
        <v>0</v>
      </c>
      <c r="M739">
        <v>0</v>
      </c>
    </row>
    <row r="740" spans="1:13" x14ac:dyDescent="0.25">
      <c r="A740" t="s">
        <v>783</v>
      </c>
      <c r="B740" s="3">
        <v>45569.068749999999</v>
      </c>
      <c r="C740" s="2" t="s">
        <v>31</v>
      </c>
      <c r="D740" s="2" t="s">
        <v>32</v>
      </c>
      <c r="E740" t="s">
        <v>44</v>
      </c>
      <c r="F740">
        <v>4987.16</v>
      </c>
      <c r="G740" s="2" t="s">
        <v>22</v>
      </c>
      <c r="H740"/>
      <c r="I740">
        <v>2.1</v>
      </c>
      <c r="J740">
        <v>1.17</v>
      </c>
      <c r="K740">
        <v>122.5341</v>
      </c>
      <c r="L740">
        <v>5712.4431000000004</v>
      </c>
      <c r="M740">
        <v>5834.9772000000003</v>
      </c>
    </row>
    <row r="741" spans="1:13" x14ac:dyDescent="0.25">
      <c r="A741" t="s">
        <v>784</v>
      </c>
      <c r="B741" s="3">
        <v>45569.074999999997</v>
      </c>
      <c r="C741" s="2" t="s">
        <v>43</v>
      </c>
      <c r="D741" s="2" t="s">
        <v>25</v>
      </c>
      <c r="E741" t="s">
        <v>33</v>
      </c>
      <c r="F741">
        <v>4948.9799999999996</v>
      </c>
      <c r="G741" s="2" t="s">
        <v>22</v>
      </c>
      <c r="H741"/>
      <c r="I741">
        <v>1.9</v>
      </c>
      <c r="J741">
        <v>1</v>
      </c>
      <c r="K741">
        <v>94.03</v>
      </c>
      <c r="L741">
        <v>4854.95</v>
      </c>
      <c r="M741">
        <v>4948.9799999999996</v>
      </c>
    </row>
    <row r="742" spans="1:13" x14ac:dyDescent="0.25">
      <c r="A742" t="s">
        <v>785</v>
      </c>
      <c r="B742" s="3">
        <v>45569.175694444442</v>
      </c>
      <c r="C742" s="2" t="s">
        <v>27</v>
      </c>
      <c r="D742" s="2" t="s">
        <v>25</v>
      </c>
      <c r="E742" t="s">
        <v>33</v>
      </c>
      <c r="F742">
        <v>3423.4</v>
      </c>
      <c r="G742" s="2" t="s">
        <v>22</v>
      </c>
      <c r="H742"/>
      <c r="I742">
        <v>1.9</v>
      </c>
      <c r="J742">
        <v>1</v>
      </c>
      <c r="K742">
        <v>65.040000000000006</v>
      </c>
      <c r="L742">
        <v>3358.36</v>
      </c>
      <c r="M742">
        <v>3423.4</v>
      </c>
    </row>
    <row r="743" spans="1:13" x14ac:dyDescent="0.25">
      <c r="A743" t="s">
        <v>786</v>
      </c>
      <c r="B743" s="3">
        <v>45569.601388888892</v>
      </c>
      <c r="C743" s="2" t="s">
        <v>60</v>
      </c>
      <c r="D743" s="2" t="s">
        <v>25</v>
      </c>
      <c r="E743" t="s">
        <v>44</v>
      </c>
      <c r="F743">
        <v>1953.49</v>
      </c>
      <c r="G743" s="2" t="s">
        <v>17</v>
      </c>
      <c r="H743"/>
      <c r="I743">
        <v>2.1</v>
      </c>
      <c r="J743">
        <v>1</v>
      </c>
      <c r="K743">
        <v>0</v>
      </c>
      <c r="L743">
        <v>0</v>
      </c>
      <c r="M743">
        <v>0</v>
      </c>
    </row>
    <row r="744" spans="1:13" x14ac:dyDescent="0.25">
      <c r="A744" t="s">
        <v>787</v>
      </c>
      <c r="B744" s="3">
        <v>45570.636111111111</v>
      </c>
      <c r="C744" s="2" t="s">
        <v>60</v>
      </c>
      <c r="D744" s="2" t="s">
        <v>25</v>
      </c>
      <c r="E744" t="s">
        <v>44</v>
      </c>
      <c r="F744">
        <v>1791.3</v>
      </c>
      <c r="G744" s="2" t="s">
        <v>22</v>
      </c>
      <c r="H744"/>
      <c r="I744">
        <v>2.1</v>
      </c>
      <c r="J744">
        <v>1</v>
      </c>
      <c r="K744">
        <v>37.619999999999997</v>
      </c>
      <c r="L744">
        <v>1753.68</v>
      </c>
      <c r="M744">
        <v>1791.3</v>
      </c>
    </row>
    <row r="745" spans="1:13" x14ac:dyDescent="0.25">
      <c r="A745" t="s">
        <v>788</v>
      </c>
      <c r="B745" s="3">
        <v>45570.779166666667</v>
      </c>
      <c r="C745" s="2" t="s">
        <v>60</v>
      </c>
      <c r="D745" s="2" t="s">
        <v>25</v>
      </c>
      <c r="E745" t="s">
        <v>44</v>
      </c>
      <c r="F745">
        <v>88.13</v>
      </c>
      <c r="G745" s="2" t="s">
        <v>22</v>
      </c>
      <c r="H745"/>
      <c r="I745">
        <v>2.1</v>
      </c>
      <c r="J745">
        <v>1</v>
      </c>
      <c r="K745">
        <v>1.85</v>
      </c>
      <c r="L745">
        <v>86.28</v>
      </c>
      <c r="M745">
        <v>88.13</v>
      </c>
    </row>
    <row r="746" spans="1:13" x14ac:dyDescent="0.25">
      <c r="A746" t="s">
        <v>789</v>
      </c>
      <c r="B746" s="3">
        <v>45570.848611111112</v>
      </c>
      <c r="C746" s="2" t="s">
        <v>60</v>
      </c>
      <c r="D746" s="2" t="s">
        <v>25</v>
      </c>
      <c r="E746" t="s">
        <v>15</v>
      </c>
      <c r="F746">
        <v>957.14</v>
      </c>
      <c r="G746" s="2" t="s">
        <v>22</v>
      </c>
      <c r="H746"/>
      <c r="I746">
        <v>2.5</v>
      </c>
      <c r="J746">
        <v>1</v>
      </c>
      <c r="K746">
        <v>23.93</v>
      </c>
      <c r="L746">
        <v>933.21</v>
      </c>
      <c r="M746">
        <v>957.14</v>
      </c>
    </row>
    <row r="747" spans="1:13" x14ac:dyDescent="0.25">
      <c r="A747" t="s">
        <v>790</v>
      </c>
      <c r="B747" s="3">
        <v>45570.929861111108</v>
      </c>
      <c r="C747" s="2" t="s">
        <v>19</v>
      </c>
      <c r="D747" s="2" t="s">
        <v>20</v>
      </c>
      <c r="E747" t="s">
        <v>33</v>
      </c>
      <c r="F747">
        <v>3342.64</v>
      </c>
      <c r="G747" s="2" t="s">
        <v>17</v>
      </c>
      <c r="H747"/>
      <c r="I747">
        <v>1.9</v>
      </c>
      <c r="J747">
        <v>8.7999999999999995E-2</v>
      </c>
      <c r="K747">
        <v>0</v>
      </c>
      <c r="L747">
        <v>0</v>
      </c>
      <c r="M747">
        <v>0</v>
      </c>
    </row>
    <row r="748" spans="1:13" x14ac:dyDescent="0.25">
      <c r="A748" t="s">
        <v>791</v>
      </c>
      <c r="B748" s="3">
        <v>45571.078472222223</v>
      </c>
      <c r="C748" s="2" t="s">
        <v>37</v>
      </c>
      <c r="D748" s="2" t="s">
        <v>38</v>
      </c>
      <c r="E748" t="s">
        <v>33</v>
      </c>
      <c r="F748">
        <v>748.99</v>
      </c>
      <c r="G748" s="2" t="s">
        <v>22</v>
      </c>
      <c r="H748"/>
      <c r="I748">
        <v>1.9</v>
      </c>
      <c r="J748">
        <v>0.23</v>
      </c>
      <c r="K748">
        <v>3.2729000000000004</v>
      </c>
      <c r="L748">
        <v>168.9948</v>
      </c>
      <c r="M748">
        <v>172.26769999999999</v>
      </c>
    </row>
    <row r="749" spans="1:13" x14ac:dyDescent="0.25">
      <c r="A749" t="s">
        <v>792</v>
      </c>
      <c r="B749" s="3">
        <v>45571.681250000001</v>
      </c>
      <c r="C749" s="2" t="s">
        <v>47</v>
      </c>
      <c r="D749" s="2" t="s">
        <v>25</v>
      </c>
      <c r="E749" t="s">
        <v>15</v>
      </c>
      <c r="F749">
        <v>4848.33</v>
      </c>
      <c r="G749" s="2" t="s">
        <v>17</v>
      </c>
      <c r="H749"/>
      <c r="I749">
        <v>2.5</v>
      </c>
      <c r="J749">
        <v>1</v>
      </c>
      <c r="K749">
        <v>0</v>
      </c>
      <c r="L749">
        <v>0</v>
      </c>
      <c r="M749">
        <v>0</v>
      </c>
    </row>
    <row r="750" spans="1:13" x14ac:dyDescent="0.25">
      <c r="A750" t="s">
        <v>793</v>
      </c>
      <c r="B750" s="3">
        <v>45571.831250000003</v>
      </c>
      <c r="C750" s="2" t="s">
        <v>24</v>
      </c>
      <c r="D750" s="2" t="s">
        <v>25</v>
      </c>
      <c r="E750" t="s">
        <v>15</v>
      </c>
      <c r="F750">
        <v>1371.95</v>
      </c>
      <c r="G750" s="2" t="s">
        <v>34</v>
      </c>
      <c r="H750" t="s">
        <v>78</v>
      </c>
      <c r="I750">
        <v>2.5</v>
      </c>
      <c r="J750">
        <v>1</v>
      </c>
      <c r="K750">
        <v>0</v>
      </c>
      <c r="L750">
        <v>0</v>
      </c>
      <c r="M750">
        <v>0</v>
      </c>
    </row>
    <row r="751" spans="1:13" x14ac:dyDescent="0.25">
      <c r="A751" t="s">
        <v>794</v>
      </c>
      <c r="B751" s="3">
        <v>45572.588888888888</v>
      </c>
      <c r="C751" s="2" t="s">
        <v>13</v>
      </c>
      <c r="D751" s="2" t="s">
        <v>14</v>
      </c>
      <c r="E751" t="s">
        <v>44</v>
      </c>
      <c r="F751">
        <v>2991.95</v>
      </c>
      <c r="G751" s="2" t="s">
        <v>17</v>
      </c>
      <c r="H751"/>
      <c r="I751">
        <v>2.1</v>
      </c>
      <c r="J751">
        <v>8.7999999999999995E-2</v>
      </c>
      <c r="K751">
        <v>0</v>
      </c>
      <c r="L751">
        <v>0</v>
      </c>
      <c r="M751">
        <v>0</v>
      </c>
    </row>
    <row r="752" spans="1:13" x14ac:dyDescent="0.25">
      <c r="A752" t="s">
        <v>795</v>
      </c>
      <c r="B752" s="3">
        <v>45572.755555555559</v>
      </c>
      <c r="C752" s="2" t="s">
        <v>19</v>
      </c>
      <c r="D752" s="2" t="s">
        <v>20</v>
      </c>
      <c r="E752" t="s">
        <v>15</v>
      </c>
      <c r="F752">
        <v>4471.83</v>
      </c>
      <c r="G752" s="2" t="s">
        <v>22</v>
      </c>
      <c r="H752"/>
      <c r="I752">
        <v>2.5</v>
      </c>
      <c r="J752">
        <v>8.7999999999999995E-2</v>
      </c>
      <c r="K752">
        <v>9.8384</v>
      </c>
      <c r="L752">
        <v>383.68263999999994</v>
      </c>
      <c r="M752">
        <v>393.52103999999991</v>
      </c>
    </row>
    <row r="753" spans="1:13" x14ac:dyDescent="0.25">
      <c r="A753" t="s">
        <v>796</v>
      </c>
      <c r="B753" s="3">
        <v>45573.061805555553</v>
      </c>
      <c r="C753" s="2" t="s">
        <v>31</v>
      </c>
      <c r="D753" s="2" t="s">
        <v>32</v>
      </c>
      <c r="E753" t="s">
        <v>39</v>
      </c>
      <c r="F753">
        <v>1623.14</v>
      </c>
      <c r="G753" s="2" t="s">
        <v>34</v>
      </c>
      <c r="H753" t="s">
        <v>100</v>
      </c>
      <c r="I753">
        <v>3.2</v>
      </c>
      <c r="J753">
        <v>1.17</v>
      </c>
      <c r="K753">
        <v>0</v>
      </c>
      <c r="L753">
        <v>0</v>
      </c>
      <c r="M753">
        <v>0</v>
      </c>
    </row>
    <row r="754" spans="1:13" x14ac:dyDescent="0.25">
      <c r="A754" t="s">
        <v>797</v>
      </c>
      <c r="B754" s="3">
        <v>45573.406944444447</v>
      </c>
      <c r="C754" s="2" t="s">
        <v>13</v>
      </c>
      <c r="D754" s="2" t="s">
        <v>14</v>
      </c>
      <c r="E754" t="s">
        <v>33</v>
      </c>
      <c r="F754">
        <v>1743.9</v>
      </c>
      <c r="G754" s="2" t="s">
        <v>22</v>
      </c>
      <c r="H754"/>
      <c r="I754">
        <v>1.9</v>
      </c>
      <c r="J754">
        <v>8.7999999999999995E-2</v>
      </c>
      <c r="K754">
        <v>2.9154400000000003</v>
      </c>
      <c r="L754">
        <v>150.54775999999998</v>
      </c>
      <c r="M754">
        <v>153.46319999999997</v>
      </c>
    </row>
    <row r="755" spans="1:13" x14ac:dyDescent="0.25">
      <c r="A755" t="s">
        <v>798</v>
      </c>
      <c r="B755" s="3">
        <v>45573.522222222222</v>
      </c>
      <c r="C755" s="2" t="s">
        <v>37</v>
      </c>
      <c r="D755" s="2" t="s">
        <v>38</v>
      </c>
      <c r="E755" t="s">
        <v>44</v>
      </c>
      <c r="F755">
        <v>4992.18</v>
      </c>
      <c r="G755" s="2" t="s">
        <v>34</v>
      </c>
      <c r="H755" t="s">
        <v>62</v>
      </c>
      <c r="I755">
        <v>2.1</v>
      </c>
      <c r="J755">
        <v>0.23</v>
      </c>
      <c r="K755">
        <v>0</v>
      </c>
      <c r="L755">
        <v>0</v>
      </c>
      <c r="M755">
        <v>0</v>
      </c>
    </row>
    <row r="756" spans="1:13" x14ac:dyDescent="0.25">
      <c r="A756" t="s">
        <v>799</v>
      </c>
      <c r="B756" s="3">
        <v>45573.611805555556</v>
      </c>
      <c r="C756" s="2" t="s">
        <v>13</v>
      </c>
      <c r="D756" s="2" t="s">
        <v>14</v>
      </c>
      <c r="E756" t="s">
        <v>28</v>
      </c>
      <c r="F756">
        <v>3361.71</v>
      </c>
      <c r="G756" s="2" t="s">
        <v>22</v>
      </c>
      <c r="H756"/>
      <c r="I756">
        <v>2.9</v>
      </c>
      <c r="J756">
        <v>8.7999999999999995E-2</v>
      </c>
      <c r="K756">
        <v>8.5791199999999996</v>
      </c>
      <c r="L756">
        <v>287.25135999999998</v>
      </c>
      <c r="M756">
        <v>295.83047999999997</v>
      </c>
    </row>
    <row r="757" spans="1:13" x14ac:dyDescent="0.25">
      <c r="A757" t="s">
        <v>800</v>
      </c>
      <c r="B757" s="3">
        <v>45574.024305555555</v>
      </c>
      <c r="C757" s="2" t="s">
        <v>58</v>
      </c>
      <c r="D757" s="2" t="s">
        <v>25</v>
      </c>
      <c r="E757" t="s">
        <v>28</v>
      </c>
      <c r="F757">
        <v>4961.3599999999997</v>
      </c>
      <c r="G757" s="2" t="s">
        <v>22</v>
      </c>
      <c r="H757"/>
      <c r="I757">
        <v>2.9</v>
      </c>
      <c r="J757">
        <v>1</v>
      </c>
      <c r="K757">
        <v>143.88</v>
      </c>
      <c r="L757">
        <v>4817.4799999999996</v>
      </c>
      <c r="M757">
        <v>4961.3599999999997</v>
      </c>
    </row>
    <row r="758" spans="1:13" x14ac:dyDescent="0.25">
      <c r="A758" t="s">
        <v>801</v>
      </c>
      <c r="B758" s="3">
        <v>45574.724999999999</v>
      </c>
      <c r="C758" s="2" t="s">
        <v>43</v>
      </c>
      <c r="D758" s="2" t="s">
        <v>25</v>
      </c>
      <c r="E758" t="s">
        <v>39</v>
      </c>
      <c r="F758">
        <v>4904.07</v>
      </c>
      <c r="G758" s="2" t="s">
        <v>22</v>
      </c>
      <c r="H758"/>
      <c r="I758">
        <v>3.2</v>
      </c>
      <c r="J758">
        <v>1</v>
      </c>
      <c r="K758">
        <v>156.93</v>
      </c>
      <c r="L758">
        <v>4747.1400000000003</v>
      </c>
      <c r="M758">
        <v>4904.0700000000006</v>
      </c>
    </row>
    <row r="759" spans="1:13" x14ac:dyDescent="0.25">
      <c r="A759" t="s">
        <v>802</v>
      </c>
      <c r="B759" s="3">
        <v>45574.859027777777</v>
      </c>
      <c r="C759" s="2" t="s">
        <v>27</v>
      </c>
      <c r="D759" s="2" t="s">
        <v>25</v>
      </c>
      <c r="E759" t="s">
        <v>44</v>
      </c>
      <c r="F759">
        <v>2519.29</v>
      </c>
      <c r="G759" s="2" t="s">
        <v>22</v>
      </c>
      <c r="H759"/>
      <c r="I759">
        <v>2.1</v>
      </c>
      <c r="J759">
        <v>1</v>
      </c>
      <c r="K759">
        <v>52.91</v>
      </c>
      <c r="L759">
        <v>2466.38</v>
      </c>
      <c r="M759">
        <v>2519.29</v>
      </c>
    </row>
    <row r="760" spans="1:13" x14ac:dyDescent="0.25">
      <c r="A760" t="s">
        <v>803</v>
      </c>
      <c r="B760" s="3">
        <v>45575.15625</v>
      </c>
      <c r="C760" s="2" t="s">
        <v>13</v>
      </c>
      <c r="D760" s="2" t="s">
        <v>14</v>
      </c>
      <c r="E760" t="s">
        <v>28</v>
      </c>
      <c r="F760">
        <v>428.54</v>
      </c>
      <c r="G760" s="2" t="s">
        <v>22</v>
      </c>
      <c r="H760"/>
      <c r="I760">
        <v>2.9</v>
      </c>
      <c r="J760">
        <v>8.7999999999999995E-2</v>
      </c>
      <c r="K760">
        <v>1.0938399999999999</v>
      </c>
      <c r="L760">
        <v>36.61768</v>
      </c>
      <c r="M760">
        <v>37.71152</v>
      </c>
    </row>
    <row r="761" spans="1:13" x14ac:dyDescent="0.25">
      <c r="A761" t="s">
        <v>804</v>
      </c>
      <c r="B761" s="3">
        <v>45575.229166666664</v>
      </c>
      <c r="C761" s="2" t="s">
        <v>37</v>
      </c>
      <c r="D761" s="2" t="s">
        <v>38</v>
      </c>
      <c r="E761" t="s">
        <v>39</v>
      </c>
      <c r="F761">
        <v>4472.6400000000003</v>
      </c>
      <c r="G761" s="2" t="s">
        <v>22</v>
      </c>
      <c r="H761"/>
      <c r="I761">
        <v>3.2</v>
      </c>
      <c r="J761">
        <v>0.23</v>
      </c>
      <c r="K761">
        <v>32.9176</v>
      </c>
      <c r="L761">
        <v>995.78960000000018</v>
      </c>
      <c r="M761">
        <v>1028.7072000000003</v>
      </c>
    </row>
    <row r="762" spans="1:13" x14ac:dyDescent="0.25">
      <c r="A762" t="s">
        <v>805</v>
      </c>
      <c r="B762" s="3">
        <v>45575.578472222223</v>
      </c>
      <c r="C762" s="2" t="s">
        <v>19</v>
      </c>
      <c r="D762" s="2" t="s">
        <v>20</v>
      </c>
      <c r="E762" t="s">
        <v>15</v>
      </c>
      <c r="F762">
        <v>3907.6</v>
      </c>
      <c r="G762" s="2" t="s">
        <v>22</v>
      </c>
      <c r="H762"/>
      <c r="I762">
        <v>2.5</v>
      </c>
      <c r="J762">
        <v>8.7999999999999995E-2</v>
      </c>
      <c r="K762">
        <v>8.5967199999999995</v>
      </c>
      <c r="L762">
        <v>335.27207999999996</v>
      </c>
      <c r="M762">
        <v>343.86879999999996</v>
      </c>
    </row>
    <row r="763" spans="1:13" x14ac:dyDescent="0.25">
      <c r="A763" t="s">
        <v>806</v>
      </c>
      <c r="B763" s="3">
        <v>45576.229861111111</v>
      </c>
      <c r="C763" s="2" t="s">
        <v>47</v>
      </c>
      <c r="D763" s="2" t="s">
        <v>25</v>
      </c>
      <c r="E763" t="s">
        <v>44</v>
      </c>
      <c r="F763">
        <v>1579.75</v>
      </c>
      <c r="G763" s="2" t="s">
        <v>34</v>
      </c>
      <c r="H763" t="s">
        <v>100</v>
      </c>
      <c r="I763">
        <v>2.1</v>
      </c>
      <c r="J763">
        <v>1</v>
      </c>
      <c r="K763">
        <v>0</v>
      </c>
      <c r="L763">
        <v>0</v>
      </c>
      <c r="M763">
        <v>0</v>
      </c>
    </row>
    <row r="764" spans="1:13" x14ac:dyDescent="0.25">
      <c r="A764" t="s">
        <v>807</v>
      </c>
      <c r="B764" s="3">
        <v>45576.836111111108</v>
      </c>
      <c r="C764" s="2" t="s">
        <v>47</v>
      </c>
      <c r="D764" s="2" t="s">
        <v>25</v>
      </c>
      <c r="E764" t="s">
        <v>33</v>
      </c>
      <c r="F764">
        <v>2010.07</v>
      </c>
      <c r="G764" s="2" t="s">
        <v>34</v>
      </c>
      <c r="H764" t="s">
        <v>35</v>
      </c>
      <c r="I764">
        <v>1.9</v>
      </c>
      <c r="J764">
        <v>1</v>
      </c>
      <c r="K764">
        <v>0</v>
      </c>
      <c r="L764">
        <v>0</v>
      </c>
      <c r="M764">
        <v>0</v>
      </c>
    </row>
    <row r="765" spans="1:13" x14ac:dyDescent="0.25">
      <c r="A765" t="s">
        <v>808</v>
      </c>
      <c r="B765" s="3">
        <v>45577.99722222222</v>
      </c>
      <c r="C765" s="2" t="s">
        <v>58</v>
      </c>
      <c r="D765" s="2" t="s">
        <v>25</v>
      </c>
      <c r="E765" t="s">
        <v>39</v>
      </c>
      <c r="F765">
        <v>4119.9799999999996</v>
      </c>
      <c r="G765" s="2" t="s">
        <v>22</v>
      </c>
      <c r="H765"/>
      <c r="I765">
        <v>3.2</v>
      </c>
      <c r="J765">
        <v>1</v>
      </c>
      <c r="K765">
        <v>131.84</v>
      </c>
      <c r="L765">
        <v>3988.14</v>
      </c>
      <c r="M765">
        <v>4119.9799999999996</v>
      </c>
    </row>
    <row r="766" spans="1:13" x14ac:dyDescent="0.25">
      <c r="A766" t="s">
        <v>809</v>
      </c>
      <c r="B766" s="3">
        <v>45578.067361111112</v>
      </c>
      <c r="C766" s="2" t="s">
        <v>27</v>
      </c>
      <c r="D766" s="2" t="s">
        <v>25</v>
      </c>
      <c r="E766" t="s">
        <v>39</v>
      </c>
      <c r="F766">
        <v>2523.6999999999998</v>
      </c>
      <c r="G766" s="2" t="s">
        <v>22</v>
      </c>
      <c r="H766"/>
      <c r="I766">
        <v>3.2</v>
      </c>
      <c r="J766">
        <v>1</v>
      </c>
      <c r="K766">
        <v>80.760000000000005</v>
      </c>
      <c r="L766">
        <v>2442.94</v>
      </c>
      <c r="M766">
        <v>2523.7000000000003</v>
      </c>
    </row>
    <row r="767" spans="1:13" x14ac:dyDescent="0.25">
      <c r="A767" t="s">
        <v>810</v>
      </c>
      <c r="B767" s="3">
        <v>45578.398611111108</v>
      </c>
      <c r="C767" s="2" t="s">
        <v>43</v>
      </c>
      <c r="D767" s="2" t="s">
        <v>25</v>
      </c>
      <c r="E767" t="s">
        <v>44</v>
      </c>
      <c r="F767">
        <v>941.27</v>
      </c>
      <c r="G767" s="2" t="s">
        <v>22</v>
      </c>
      <c r="H767"/>
      <c r="I767">
        <v>2.1</v>
      </c>
      <c r="J767">
        <v>1</v>
      </c>
      <c r="K767">
        <v>19.77</v>
      </c>
      <c r="L767">
        <v>921.5</v>
      </c>
      <c r="M767">
        <v>941.27</v>
      </c>
    </row>
    <row r="768" spans="1:13" x14ac:dyDescent="0.25">
      <c r="A768" t="s">
        <v>811</v>
      </c>
      <c r="B768" s="3">
        <v>45578.568749999999</v>
      </c>
      <c r="C768" s="2" t="s">
        <v>27</v>
      </c>
      <c r="D768" s="2" t="s">
        <v>25</v>
      </c>
      <c r="E768" t="s">
        <v>44</v>
      </c>
      <c r="F768">
        <v>4881.2700000000004</v>
      </c>
      <c r="G768" s="2" t="s">
        <v>22</v>
      </c>
      <c r="H768"/>
      <c r="I768">
        <v>2.1</v>
      </c>
      <c r="J768">
        <v>1</v>
      </c>
      <c r="K768">
        <v>102.51</v>
      </c>
      <c r="L768">
        <v>4778.76</v>
      </c>
      <c r="M768">
        <v>4881.2700000000004</v>
      </c>
    </row>
    <row r="769" spans="1:13" x14ac:dyDescent="0.25">
      <c r="A769" t="s">
        <v>812</v>
      </c>
      <c r="B769" s="3">
        <v>45579.28125</v>
      </c>
      <c r="C769" s="2" t="s">
        <v>13</v>
      </c>
      <c r="D769" s="2" t="s">
        <v>14</v>
      </c>
      <c r="E769" t="s">
        <v>15</v>
      </c>
      <c r="F769">
        <v>2251.5500000000002</v>
      </c>
      <c r="G769" s="2" t="s">
        <v>22</v>
      </c>
      <c r="H769"/>
      <c r="I769">
        <v>2.5</v>
      </c>
      <c r="J769">
        <v>8.7999999999999995E-2</v>
      </c>
      <c r="K769">
        <v>4.9535199999999993</v>
      </c>
      <c r="L769">
        <v>193.18288000000001</v>
      </c>
      <c r="M769">
        <v>198.13640000000001</v>
      </c>
    </row>
    <row r="770" spans="1:13" x14ac:dyDescent="0.25">
      <c r="A770" t="s">
        <v>813</v>
      </c>
      <c r="B770" s="3">
        <v>45579.833333333336</v>
      </c>
      <c r="C770" s="2" t="s">
        <v>31</v>
      </c>
      <c r="D770" s="2" t="s">
        <v>32</v>
      </c>
      <c r="E770" t="s">
        <v>39</v>
      </c>
      <c r="F770">
        <v>1209.3399999999999</v>
      </c>
      <c r="G770" s="2" t="s">
        <v>17</v>
      </c>
      <c r="H770"/>
      <c r="I770">
        <v>3.2</v>
      </c>
      <c r="J770">
        <v>1.17</v>
      </c>
      <c r="K770">
        <v>0</v>
      </c>
      <c r="L770">
        <v>0</v>
      </c>
      <c r="M770">
        <v>0</v>
      </c>
    </row>
    <row r="771" spans="1:13" x14ac:dyDescent="0.25">
      <c r="A771" t="s">
        <v>814</v>
      </c>
      <c r="B771" s="3">
        <v>45579.950694444444</v>
      </c>
      <c r="C771" s="2" t="s">
        <v>24</v>
      </c>
      <c r="D771" s="2" t="s">
        <v>25</v>
      </c>
      <c r="E771" t="s">
        <v>44</v>
      </c>
      <c r="F771">
        <v>1200.78</v>
      </c>
      <c r="G771" s="2" t="s">
        <v>22</v>
      </c>
      <c r="H771"/>
      <c r="I771">
        <v>2.1</v>
      </c>
      <c r="J771">
        <v>1</v>
      </c>
      <c r="K771">
        <v>25.22</v>
      </c>
      <c r="L771">
        <v>1175.56</v>
      </c>
      <c r="M771">
        <v>1200.78</v>
      </c>
    </row>
    <row r="772" spans="1:13" x14ac:dyDescent="0.25">
      <c r="A772" t="s">
        <v>815</v>
      </c>
      <c r="B772" s="3">
        <v>45580.159722222219</v>
      </c>
      <c r="C772" s="2" t="s">
        <v>47</v>
      </c>
      <c r="D772" s="2" t="s">
        <v>25</v>
      </c>
      <c r="E772" t="s">
        <v>33</v>
      </c>
      <c r="F772">
        <v>4390.6899999999996</v>
      </c>
      <c r="G772" s="2" t="s">
        <v>22</v>
      </c>
      <c r="H772"/>
      <c r="I772">
        <v>1.9</v>
      </c>
      <c r="J772">
        <v>1</v>
      </c>
      <c r="K772">
        <v>83.42</v>
      </c>
      <c r="L772">
        <v>4307.2700000000004</v>
      </c>
      <c r="M772">
        <v>4390.6900000000005</v>
      </c>
    </row>
    <row r="773" spans="1:13" x14ac:dyDescent="0.25">
      <c r="A773" t="s">
        <v>816</v>
      </c>
      <c r="B773" s="3">
        <v>45580.286805555559</v>
      </c>
      <c r="C773" s="2" t="s">
        <v>43</v>
      </c>
      <c r="D773" s="2" t="s">
        <v>25</v>
      </c>
      <c r="E773" t="s">
        <v>33</v>
      </c>
      <c r="F773">
        <v>886.03</v>
      </c>
      <c r="G773" s="2" t="s">
        <v>22</v>
      </c>
      <c r="H773"/>
      <c r="I773">
        <v>1.9</v>
      </c>
      <c r="J773">
        <v>1</v>
      </c>
      <c r="K773">
        <v>16.829999999999998</v>
      </c>
      <c r="L773">
        <v>869.2</v>
      </c>
      <c r="M773">
        <v>886.03000000000009</v>
      </c>
    </row>
    <row r="774" spans="1:13" x14ac:dyDescent="0.25">
      <c r="A774" t="s">
        <v>817</v>
      </c>
      <c r="B774" s="3">
        <v>45580.717361111114</v>
      </c>
      <c r="C774" s="2" t="s">
        <v>58</v>
      </c>
      <c r="D774" s="2" t="s">
        <v>25</v>
      </c>
      <c r="E774" t="s">
        <v>33</v>
      </c>
      <c r="F774">
        <v>1806.44</v>
      </c>
      <c r="G774" s="2" t="s">
        <v>34</v>
      </c>
      <c r="H774" t="s">
        <v>55</v>
      </c>
      <c r="I774">
        <v>1.9</v>
      </c>
      <c r="J774">
        <v>1</v>
      </c>
      <c r="K774">
        <v>0</v>
      </c>
      <c r="L774">
        <v>0</v>
      </c>
      <c r="M774">
        <v>0</v>
      </c>
    </row>
    <row r="775" spans="1:13" x14ac:dyDescent="0.25">
      <c r="A775" t="s">
        <v>818</v>
      </c>
      <c r="B775" s="3">
        <v>45580.834027777775</v>
      </c>
      <c r="C775" s="2" t="s">
        <v>47</v>
      </c>
      <c r="D775" s="2" t="s">
        <v>25</v>
      </c>
      <c r="E775" t="s">
        <v>28</v>
      </c>
      <c r="F775">
        <v>2251.52</v>
      </c>
      <c r="G775" s="2" t="s">
        <v>34</v>
      </c>
      <c r="H775" t="s">
        <v>55</v>
      </c>
      <c r="I775">
        <v>2.9</v>
      </c>
      <c r="J775">
        <v>1</v>
      </c>
      <c r="K775">
        <v>0</v>
      </c>
      <c r="L775">
        <v>0</v>
      </c>
      <c r="M775">
        <v>0</v>
      </c>
    </row>
    <row r="776" spans="1:13" x14ac:dyDescent="0.25">
      <c r="A776" t="s">
        <v>819</v>
      </c>
      <c r="B776" s="3">
        <v>45581.25277777778</v>
      </c>
      <c r="C776" s="2" t="s">
        <v>13</v>
      </c>
      <c r="D776" s="2" t="s">
        <v>14</v>
      </c>
      <c r="E776" t="s">
        <v>44</v>
      </c>
      <c r="F776">
        <v>1087.5999999999999</v>
      </c>
      <c r="G776" s="2" t="s">
        <v>22</v>
      </c>
      <c r="H776"/>
      <c r="I776">
        <v>2.1</v>
      </c>
      <c r="J776">
        <v>8.7999999999999995E-2</v>
      </c>
      <c r="K776">
        <v>2.0099199999999997</v>
      </c>
      <c r="L776">
        <v>93.698879999999988</v>
      </c>
      <c r="M776">
        <v>95.708799999999982</v>
      </c>
    </row>
    <row r="777" spans="1:13" x14ac:dyDescent="0.25">
      <c r="A777" t="s">
        <v>820</v>
      </c>
      <c r="B777" s="3">
        <v>45581.579861111109</v>
      </c>
      <c r="C777" s="2" t="s">
        <v>47</v>
      </c>
      <c r="D777" s="2" t="s">
        <v>25</v>
      </c>
      <c r="E777" t="s">
        <v>15</v>
      </c>
      <c r="F777">
        <v>1872.28</v>
      </c>
      <c r="G777" s="2" t="s">
        <v>17</v>
      </c>
      <c r="H777"/>
      <c r="I777">
        <v>2.5</v>
      </c>
      <c r="J777">
        <v>1</v>
      </c>
      <c r="K777">
        <v>0</v>
      </c>
      <c r="L777">
        <v>0</v>
      </c>
      <c r="M777">
        <v>0</v>
      </c>
    </row>
    <row r="778" spans="1:13" x14ac:dyDescent="0.25">
      <c r="A778" t="s">
        <v>821</v>
      </c>
      <c r="B778" s="3">
        <v>45581.909722222219</v>
      </c>
      <c r="C778" s="2" t="s">
        <v>27</v>
      </c>
      <c r="D778" s="2" t="s">
        <v>25</v>
      </c>
      <c r="E778" t="s">
        <v>44</v>
      </c>
      <c r="F778">
        <v>404.05</v>
      </c>
      <c r="G778" s="2" t="s">
        <v>34</v>
      </c>
      <c r="H778" t="s">
        <v>100</v>
      </c>
      <c r="I778">
        <v>2.1</v>
      </c>
      <c r="J778">
        <v>1</v>
      </c>
      <c r="K778">
        <v>0</v>
      </c>
      <c r="L778">
        <v>0</v>
      </c>
      <c r="M778">
        <v>0</v>
      </c>
    </row>
    <row r="779" spans="1:13" x14ac:dyDescent="0.25">
      <c r="A779" t="s">
        <v>822</v>
      </c>
      <c r="B779" s="3">
        <v>45581.998611111114</v>
      </c>
      <c r="C779" s="2" t="s">
        <v>43</v>
      </c>
      <c r="D779" s="2" t="s">
        <v>25</v>
      </c>
      <c r="E779" t="s">
        <v>39</v>
      </c>
      <c r="F779">
        <v>3660.89</v>
      </c>
      <c r="G779" s="2" t="s">
        <v>22</v>
      </c>
      <c r="H779"/>
      <c r="I779">
        <v>3.2</v>
      </c>
      <c r="J779">
        <v>1</v>
      </c>
      <c r="K779">
        <v>117.15</v>
      </c>
      <c r="L779">
        <v>3543.74</v>
      </c>
      <c r="M779">
        <v>3660.89</v>
      </c>
    </row>
    <row r="780" spans="1:13" x14ac:dyDescent="0.25">
      <c r="A780" t="s">
        <v>823</v>
      </c>
      <c r="B780" s="3">
        <v>45582.049305555556</v>
      </c>
      <c r="C780" s="2" t="s">
        <v>19</v>
      </c>
      <c r="D780" s="2" t="s">
        <v>20</v>
      </c>
      <c r="E780" t="s">
        <v>39</v>
      </c>
      <c r="F780">
        <v>1112.27</v>
      </c>
      <c r="G780" s="2" t="s">
        <v>17</v>
      </c>
      <c r="H780"/>
      <c r="I780">
        <v>3.2</v>
      </c>
      <c r="J780">
        <v>8.7999999999999995E-2</v>
      </c>
      <c r="K780">
        <v>0</v>
      </c>
      <c r="L780">
        <v>0</v>
      </c>
      <c r="M780">
        <v>0</v>
      </c>
    </row>
    <row r="781" spans="1:13" x14ac:dyDescent="0.25">
      <c r="A781" t="s">
        <v>824</v>
      </c>
      <c r="B781" s="3">
        <v>45582.65625</v>
      </c>
      <c r="C781" s="2" t="s">
        <v>37</v>
      </c>
      <c r="D781" s="2" t="s">
        <v>38</v>
      </c>
      <c r="E781" t="s">
        <v>28</v>
      </c>
      <c r="F781">
        <v>2412.85</v>
      </c>
      <c r="G781" s="2" t="s">
        <v>22</v>
      </c>
      <c r="H781"/>
      <c r="I781">
        <v>2.9</v>
      </c>
      <c r="J781">
        <v>0.23</v>
      </c>
      <c r="K781">
        <v>16.0931</v>
      </c>
      <c r="L781">
        <v>538.86240000000009</v>
      </c>
      <c r="M781">
        <v>554.95550000000014</v>
      </c>
    </row>
    <row r="782" spans="1:13" x14ac:dyDescent="0.25">
      <c r="A782" t="s">
        <v>825</v>
      </c>
      <c r="B782" s="3">
        <v>45582.749305555553</v>
      </c>
      <c r="C782" s="2" t="s">
        <v>37</v>
      </c>
      <c r="D782" s="2" t="s">
        <v>38</v>
      </c>
      <c r="E782" t="s">
        <v>39</v>
      </c>
      <c r="F782">
        <v>2009.07</v>
      </c>
      <c r="G782" s="2" t="s">
        <v>22</v>
      </c>
      <c r="H782"/>
      <c r="I782">
        <v>3.2</v>
      </c>
      <c r="J782">
        <v>0.23</v>
      </c>
      <c r="K782">
        <v>14.786700000000002</v>
      </c>
      <c r="L782">
        <v>447.29939999999999</v>
      </c>
      <c r="M782">
        <v>462.08609999999999</v>
      </c>
    </row>
    <row r="783" spans="1:13" x14ac:dyDescent="0.25">
      <c r="A783" t="s">
        <v>826</v>
      </c>
      <c r="B783" s="3">
        <v>45583.894444444442</v>
      </c>
      <c r="C783" s="2" t="s">
        <v>27</v>
      </c>
      <c r="D783" s="2" t="s">
        <v>25</v>
      </c>
      <c r="E783" t="s">
        <v>33</v>
      </c>
      <c r="F783">
        <v>3898.03</v>
      </c>
      <c r="G783" s="2" t="s">
        <v>17</v>
      </c>
      <c r="H783"/>
      <c r="I783">
        <v>1.9</v>
      </c>
      <c r="J783">
        <v>1</v>
      </c>
      <c r="K783">
        <v>0</v>
      </c>
      <c r="L783">
        <v>0</v>
      </c>
      <c r="M783">
        <v>0</v>
      </c>
    </row>
    <row r="784" spans="1:13" x14ac:dyDescent="0.25">
      <c r="A784" t="s">
        <v>827</v>
      </c>
      <c r="B784" s="3">
        <v>45584.513888888891</v>
      </c>
      <c r="C784" s="2" t="s">
        <v>19</v>
      </c>
      <c r="D784" s="2" t="s">
        <v>20</v>
      </c>
      <c r="E784" t="s">
        <v>28</v>
      </c>
      <c r="F784">
        <v>509.28</v>
      </c>
      <c r="G784" s="2" t="s">
        <v>22</v>
      </c>
      <c r="H784"/>
      <c r="I784">
        <v>2.9</v>
      </c>
      <c r="J784">
        <v>8.7999999999999995E-2</v>
      </c>
      <c r="K784">
        <v>1.2997599999999998</v>
      </c>
      <c r="L784">
        <v>43.516879999999993</v>
      </c>
      <c r="M784">
        <v>44.816639999999992</v>
      </c>
    </row>
    <row r="785" spans="1:13" x14ac:dyDescent="0.25">
      <c r="A785" t="s">
        <v>828</v>
      </c>
      <c r="B785" s="3">
        <v>45584.808333333334</v>
      </c>
      <c r="C785" s="2" t="s">
        <v>27</v>
      </c>
      <c r="D785" s="2" t="s">
        <v>25</v>
      </c>
      <c r="E785" t="s">
        <v>33</v>
      </c>
      <c r="F785">
        <v>4324.32</v>
      </c>
      <c r="G785" s="2" t="s">
        <v>22</v>
      </c>
      <c r="H785"/>
      <c r="I785">
        <v>1.9</v>
      </c>
      <c r="J785">
        <v>1</v>
      </c>
      <c r="K785">
        <v>82.16</v>
      </c>
      <c r="L785">
        <v>4242.16</v>
      </c>
      <c r="M785">
        <v>4324.32</v>
      </c>
    </row>
    <row r="786" spans="1:13" x14ac:dyDescent="0.25">
      <c r="A786" t="s">
        <v>829</v>
      </c>
      <c r="B786" s="3">
        <v>45584.81527777778</v>
      </c>
      <c r="C786" s="2" t="s">
        <v>13</v>
      </c>
      <c r="D786" s="2" t="s">
        <v>14</v>
      </c>
      <c r="E786" t="s">
        <v>28</v>
      </c>
      <c r="F786">
        <v>555.49</v>
      </c>
      <c r="G786" s="2" t="s">
        <v>34</v>
      </c>
      <c r="H786" t="s">
        <v>78</v>
      </c>
      <c r="I786">
        <v>2.9</v>
      </c>
      <c r="J786">
        <v>8.7999999999999995E-2</v>
      </c>
      <c r="K786">
        <v>0</v>
      </c>
      <c r="L786">
        <v>0</v>
      </c>
      <c r="M786">
        <v>0</v>
      </c>
    </row>
    <row r="787" spans="1:13" x14ac:dyDescent="0.25">
      <c r="A787" t="s">
        <v>830</v>
      </c>
      <c r="B787" s="3">
        <v>45585.168749999997</v>
      </c>
      <c r="C787" s="2" t="s">
        <v>27</v>
      </c>
      <c r="D787" s="2" t="s">
        <v>25</v>
      </c>
      <c r="E787" t="s">
        <v>39</v>
      </c>
      <c r="F787">
        <v>2588.04</v>
      </c>
      <c r="G787" s="2" t="s">
        <v>34</v>
      </c>
      <c r="H787" t="s">
        <v>100</v>
      </c>
      <c r="I787">
        <v>3.2</v>
      </c>
      <c r="J787">
        <v>1</v>
      </c>
      <c r="K787">
        <v>0</v>
      </c>
      <c r="L787">
        <v>0</v>
      </c>
      <c r="M787">
        <v>0</v>
      </c>
    </row>
    <row r="788" spans="1:13" x14ac:dyDescent="0.25">
      <c r="A788" t="s">
        <v>831</v>
      </c>
      <c r="B788" s="3">
        <v>45585.535416666666</v>
      </c>
      <c r="C788" s="2" t="s">
        <v>24</v>
      </c>
      <c r="D788" s="2" t="s">
        <v>25</v>
      </c>
      <c r="E788" t="s">
        <v>33</v>
      </c>
      <c r="F788">
        <v>3591.36</v>
      </c>
      <c r="G788" s="2" t="s">
        <v>17</v>
      </c>
      <c r="H788"/>
      <c r="I788">
        <v>1.9</v>
      </c>
      <c r="J788">
        <v>1</v>
      </c>
      <c r="K788">
        <v>0</v>
      </c>
      <c r="L788">
        <v>0</v>
      </c>
      <c r="M788">
        <v>0</v>
      </c>
    </row>
    <row r="789" spans="1:13" x14ac:dyDescent="0.25">
      <c r="A789" t="s">
        <v>832</v>
      </c>
      <c r="B789" s="3">
        <v>45585.714583333334</v>
      </c>
      <c r="C789" s="2" t="s">
        <v>27</v>
      </c>
      <c r="D789" s="2" t="s">
        <v>25</v>
      </c>
      <c r="E789" t="s">
        <v>39</v>
      </c>
      <c r="F789">
        <v>2214.7800000000002</v>
      </c>
      <c r="G789" s="2" t="s">
        <v>22</v>
      </c>
      <c r="H789"/>
      <c r="I789">
        <v>3.2</v>
      </c>
      <c r="J789">
        <v>1</v>
      </c>
      <c r="K789">
        <v>70.87</v>
      </c>
      <c r="L789">
        <v>2143.91</v>
      </c>
      <c r="M789">
        <v>2214.7799999999997</v>
      </c>
    </row>
    <row r="790" spans="1:13" x14ac:dyDescent="0.25">
      <c r="A790" t="s">
        <v>833</v>
      </c>
      <c r="B790" s="3">
        <v>45586.088194444441</v>
      </c>
      <c r="C790" s="2" t="s">
        <v>27</v>
      </c>
      <c r="D790" s="2" t="s">
        <v>25</v>
      </c>
      <c r="E790" t="s">
        <v>44</v>
      </c>
      <c r="F790">
        <v>3570.68</v>
      </c>
      <c r="G790" s="2" t="s">
        <v>22</v>
      </c>
      <c r="H790"/>
      <c r="I790">
        <v>2.1</v>
      </c>
      <c r="J790">
        <v>1</v>
      </c>
      <c r="K790">
        <v>74.98</v>
      </c>
      <c r="L790">
        <v>3495.7</v>
      </c>
      <c r="M790">
        <v>3570.68</v>
      </c>
    </row>
    <row r="791" spans="1:13" x14ac:dyDescent="0.25">
      <c r="A791" t="s">
        <v>834</v>
      </c>
      <c r="B791" s="3">
        <v>45586.520833333336</v>
      </c>
      <c r="C791" s="2" t="s">
        <v>60</v>
      </c>
      <c r="D791" s="2" t="s">
        <v>25</v>
      </c>
      <c r="E791" t="s">
        <v>39</v>
      </c>
      <c r="F791">
        <v>3769.84</v>
      </c>
      <c r="G791" s="2" t="s">
        <v>34</v>
      </c>
      <c r="H791" t="s">
        <v>100</v>
      </c>
      <c r="I791">
        <v>3.2</v>
      </c>
      <c r="J791">
        <v>1</v>
      </c>
      <c r="K791">
        <v>0</v>
      </c>
      <c r="L791">
        <v>0</v>
      </c>
      <c r="M791">
        <v>0</v>
      </c>
    </row>
    <row r="792" spans="1:13" x14ac:dyDescent="0.25">
      <c r="A792" t="s">
        <v>835</v>
      </c>
      <c r="B792" s="3">
        <v>45586.566666666666</v>
      </c>
      <c r="C792" s="2" t="s">
        <v>58</v>
      </c>
      <c r="D792" s="2" t="s">
        <v>25</v>
      </c>
      <c r="E792" t="s">
        <v>15</v>
      </c>
      <c r="F792">
        <v>584.72</v>
      </c>
      <c r="G792" s="2" t="s">
        <v>22</v>
      </c>
      <c r="H792"/>
      <c r="I792">
        <v>2.5</v>
      </c>
      <c r="J792">
        <v>1</v>
      </c>
      <c r="K792">
        <v>14.62</v>
      </c>
      <c r="L792">
        <v>570.1</v>
      </c>
      <c r="M792">
        <v>584.72</v>
      </c>
    </row>
    <row r="793" spans="1:13" x14ac:dyDescent="0.25">
      <c r="A793" t="s">
        <v>836</v>
      </c>
      <c r="B793" s="3">
        <v>45586.915277777778</v>
      </c>
      <c r="C793" s="2" t="s">
        <v>58</v>
      </c>
      <c r="D793" s="2" t="s">
        <v>25</v>
      </c>
      <c r="E793" t="s">
        <v>15</v>
      </c>
      <c r="F793">
        <v>389.22</v>
      </c>
      <c r="G793" s="2" t="s">
        <v>22</v>
      </c>
      <c r="H793"/>
      <c r="I793">
        <v>2.5</v>
      </c>
      <c r="J793">
        <v>1</v>
      </c>
      <c r="K793">
        <v>9.73</v>
      </c>
      <c r="L793">
        <v>379.49</v>
      </c>
      <c r="M793">
        <v>389.22</v>
      </c>
    </row>
    <row r="794" spans="1:13" x14ac:dyDescent="0.25">
      <c r="A794" t="s">
        <v>837</v>
      </c>
      <c r="B794" s="3">
        <v>45587.074999999997</v>
      </c>
      <c r="C794" s="2" t="s">
        <v>27</v>
      </c>
      <c r="D794" s="2" t="s">
        <v>25</v>
      </c>
      <c r="E794" t="s">
        <v>15</v>
      </c>
      <c r="F794">
        <v>3261.03</v>
      </c>
      <c r="G794" s="2" t="s">
        <v>22</v>
      </c>
      <c r="H794"/>
      <c r="I794">
        <v>2.5</v>
      </c>
      <c r="J794">
        <v>1</v>
      </c>
      <c r="K794">
        <v>81.53</v>
      </c>
      <c r="L794">
        <v>3179.5</v>
      </c>
      <c r="M794">
        <v>3261.03</v>
      </c>
    </row>
    <row r="795" spans="1:13" x14ac:dyDescent="0.25">
      <c r="A795" t="s">
        <v>838</v>
      </c>
      <c r="B795" s="3">
        <v>45587.28125</v>
      </c>
      <c r="C795" s="2" t="s">
        <v>31</v>
      </c>
      <c r="D795" s="2" t="s">
        <v>32</v>
      </c>
      <c r="E795" t="s">
        <v>28</v>
      </c>
      <c r="F795">
        <v>3867.61</v>
      </c>
      <c r="G795" s="2" t="s">
        <v>22</v>
      </c>
      <c r="H795"/>
      <c r="I795">
        <v>2.9</v>
      </c>
      <c r="J795">
        <v>1.17</v>
      </c>
      <c r="K795">
        <v>131.22719999999998</v>
      </c>
      <c r="L795">
        <v>4393.8764999999994</v>
      </c>
      <c r="M795">
        <v>4525.1036999999997</v>
      </c>
    </row>
    <row r="796" spans="1:13" x14ac:dyDescent="0.25">
      <c r="A796" t="s">
        <v>839</v>
      </c>
      <c r="B796" s="3">
        <v>45587.503472222219</v>
      </c>
      <c r="C796" s="2" t="s">
        <v>60</v>
      </c>
      <c r="D796" s="2" t="s">
        <v>25</v>
      </c>
      <c r="E796" t="s">
        <v>39</v>
      </c>
      <c r="F796">
        <v>4400.16</v>
      </c>
      <c r="G796" s="2" t="s">
        <v>34</v>
      </c>
      <c r="H796" t="s">
        <v>55</v>
      </c>
      <c r="I796">
        <v>3.2</v>
      </c>
      <c r="J796">
        <v>1</v>
      </c>
      <c r="K796">
        <v>0</v>
      </c>
      <c r="L796">
        <v>0</v>
      </c>
      <c r="M796">
        <v>0</v>
      </c>
    </row>
    <row r="797" spans="1:13" x14ac:dyDescent="0.25">
      <c r="A797" t="s">
        <v>840</v>
      </c>
      <c r="B797" s="3">
        <v>45587.745833333334</v>
      </c>
      <c r="C797" s="2" t="s">
        <v>24</v>
      </c>
      <c r="D797" s="2" t="s">
        <v>25</v>
      </c>
      <c r="E797" t="s">
        <v>28</v>
      </c>
      <c r="F797">
        <v>4286.3</v>
      </c>
      <c r="G797" s="2" t="s">
        <v>34</v>
      </c>
      <c r="H797" t="s">
        <v>35</v>
      </c>
      <c r="I797">
        <v>2.9</v>
      </c>
      <c r="J797">
        <v>1</v>
      </c>
      <c r="K797">
        <v>0</v>
      </c>
      <c r="L797">
        <v>0</v>
      </c>
      <c r="M797">
        <v>0</v>
      </c>
    </row>
    <row r="798" spans="1:13" x14ac:dyDescent="0.25">
      <c r="A798" t="s">
        <v>841</v>
      </c>
      <c r="B798" s="3">
        <v>45587.972222222219</v>
      </c>
      <c r="C798" s="2" t="s">
        <v>24</v>
      </c>
      <c r="D798" s="2" t="s">
        <v>25</v>
      </c>
      <c r="E798" t="s">
        <v>44</v>
      </c>
      <c r="F798">
        <v>4979.8900000000003</v>
      </c>
      <c r="G798" s="2" t="s">
        <v>34</v>
      </c>
      <c r="H798" t="s">
        <v>55</v>
      </c>
      <c r="I798">
        <v>2.1</v>
      </c>
      <c r="J798">
        <v>1</v>
      </c>
      <c r="K798">
        <v>0</v>
      </c>
      <c r="L798">
        <v>0</v>
      </c>
      <c r="M798">
        <v>0</v>
      </c>
    </row>
    <row r="799" spans="1:13" x14ac:dyDescent="0.25">
      <c r="A799" t="s">
        <v>842</v>
      </c>
      <c r="B799" s="3">
        <v>45587.995138888888</v>
      </c>
      <c r="C799" s="2" t="s">
        <v>37</v>
      </c>
      <c r="D799" s="2" t="s">
        <v>38</v>
      </c>
      <c r="E799" t="s">
        <v>28</v>
      </c>
      <c r="F799">
        <v>3779.86</v>
      </c>
      <c r="G799" s="2" t="s">
        <v>22</v>
      </c>
      <c r="H799"/>
      <c r="I799">
        <v>2.9</v>
      </c>
      <c r="J799">
        <v>0.23</v>
      </c>
      <c r="K799">
        <v>25.212600000000002</v>
      </c>
      <c r="L799">
        <v>844.15520000000004</v>
      </c>
      <c r="M799">
        <v>869.36779999999999</v>
      </c>
    </row>
    <row r="800" spans="1:13" x14ac:dyDescent="0.25">
      <c r="A800" t="s">
        <v>843</v>
      </c>
      <c r="B800" s="3">
        <v>45588.084722222222</v>
      </c>
      <c r="C800" s="2" t="s">
        <v>58</v>
      </c>
      <c r="D800" s="2" t="s">
        <v>25</v>
      </c>
      <c r="E800" t="s">
        <v>39</v>
      </c>
      <c r="F800">
        <v>2710.41</v>
      </c>
      <c r="G800" s="2" t="s">
        <v>22</v>
      </c>
      <c r="H800"/>
      <c r="I800">
        <v>3.2</v>
      </c>
      <c r="J800">
        <v>1</v>
      </c>
      <c r="K800">
        <v>86.73</v>
      </c>
      <c r="L800">
        <v>2623.68</v>
      </c>
      <c r="M800">
        <v>2710.41</v>
      </c>
    </row>
    <row r="801" spans="1:13" x14ac:dyDescent="0.25">
      <c r="A801" t="s">
        <v>844</v>
      </c>
      <c r="B801" s="3">
        <v>45588.43472222222</v>
      </c>
      <c r="C801" s="2" t="s">
        <v>24</v>
      </c>
      <c r="D801" s="2" t="s">
        <v>25</v>
      </c>
      <c r="E801" t="s">
        <v>39</v>
      </c>
      <c r="F801">
        <v>3897.09</v>
      </c>
      <c r="G801" s="2" t="s">
        <v>22</v>
      </c>
      <c r="H801"/>
      <c r="I801">
        <v>3.2</v>
      </c>
      <c r="J801">
        <v>1</v>
      </c>
      <c r="K801">
        <v>124.71</v>
      </c>
      <c r="L801">
        <v>3772.38</v>
      </c>
      <c r="M801">
        <v>3897.09</v>
      </c>
    </row>
    <row r="802" spans="1:13" x14ac:dyDescent="0.25">
      <c r="A802" t="s">
        <v>845</v>
      </c>
      <c r="B802" s="3">
        <v>45588.793055555558</v>
      </c>
      <c r="C802" s="2" t="s">
        <v>19</v>
      </c>
      <c r="D802" s="2" t="s">
        <v>20</v>
      </c>
      <c r="E802" t="s">
        <v>28</v>
      </c>
      <c r="F802">
        <v>3290.29</v>
      </c>
      <c r="G802" s="2" t="s">
        <v>17</v>
      </c>
      <c r="H802"/>
      <c r="I802">
        <v>2.9</v>
      </c>
      <c r="J802">
        <v>8.7999999999999995E-2</v>
      </c>
      <c r="K802">
        <v>0</v>
      </c>
      <c r="L802">
        <v>0</v>
      </c>
      <c r="M802">
        <v>0</v>
      </c>
    </row>
    <row r="803" spans="1:13" x14ac:dyDescent="0.25">
      <c r="A803" t="s">
        <v>846</v>
      </c>
      <c r="B803" s="3">
        <v>45588.820138888892</v>
      </c>
      <c r="C803" s="2" t="s">
        <v>37</v>
      </c>
      <c r="D803" s="2" t="s">
        <v>38</v>
      </c>
      <c r="E803" t="s">
        <v>15</v>
      </c>
      <c r="F803">
        <v>2216.38</v>
      </c>
      <c r="G803" s="2" t="s">
        <v>22</v>
      </c>
      <c r="H803"/>
      <c r="I803">
        <v>2.5</v>
      </c>
      <c r="J803">
        <v>0.23</v>
      </c>
      <c r="K803">
        <v>12.744299999999999</v>
      </c>
      <c r="L803">
        <v>497.0231</v>
      </c>
      <c r="M803">
        <v>509.76740000000001</v>
      </c>
    </row>
    <row r="804" spans="1:13" x14ac:dyDescent="0.25">
      <c r="A804" t="s">
        <v>847</v>
      </c>
      <c r="B804" s="3">
        <v>45589.334722222222</v>
      </c>
      <c r="C804" s="2" t="s">
        <v>31</v>
      </c>
      <c r="D804" s="2" t="s">
        <v>32</v>
      </c>
      <c r="E804" t="s">
        <v>33</v>
      </c>
      <c r="F804">
        <v>1734.98</v>
      </c>
      <c r="G804" s="2" t="s">
        <v>22</v>
      </c>
      <c r="H804"/>
      <c r="I804">
        <v>1.9</v>
      </c>
      <c r="J804">
        <v>1.17</v>
      </c>
      <c r="K804">
        <v>38.563200000000002</v>
      </c>
      <c r="L804">
        <v>1991.3634</v>
      </c>
      <c r="M804">
        <v>2029.9266</v>
      </c>
    </row>
    <row r="805" spans="1:13" x14ac:dyDescent="0.25">
      <c r="A805" t="s">
        <v>848</v>
      </c>
      <c r="B805" s="3">
        <v>45589.925694444442</v>
      </c>
      <c r="C805" s="2" t="s">
        <v>24</v>
      </c>
      <c r="D805" s="2" t="s">
        <v>25</v>
      </c>
      <c r="E805" t="s">
        <v>39</v>
      </c>
      <c r="F805">
        <v>4490.6899999999996</v>
      </c>
      <c r="G805" s="2" t="s">
        <v>17</v>
      </c>
      <c r="H805"/>
      <c r="I805">
        <v>3.2</v>
      </c>
      <c r="J805">
        <v>1</v>
      </c>
      <c r="K805">
        <v>0</v>
      </c>
      <c r="L805">
        <v>0</v>
      </c>
      <c r="M805">
        <v>0</v>
      </c>
    </row>
    <row r="806" spans="1:13" x14ac:dyDescent="0.25">
      <c r="A806" t="s">
        <v>849</v>
      </c>
      <c r="B806" s="3">
        <v>45590.409722222219</v>
      </c>
      <c r="C806" s="2" t="s">
        <v>60</v>
      </c>
      <c r="D806" s="2" t="s">
        <v>25</v>
      </c>
      <c r="E806" t="s">
        <v>33</v>
      </c>
      <c r="F806">
        <v>1335</v>
      </c>
      <c r="G806" s="2" t="s">
        <v>17</v>
      </c>
      <c r="H806"/>
      <c r="I806">
        <v>1.9</v>
      </c>
      <c r="J806">
        <v>1</v>
      </c>
      <c r="K806">
        <v>0</v>
      </c>
      <c r="L806">
        <v>0</v>
      </c>
      <c r="M806">
        <v>0</v>
      </c>
    </row>
    <row r="807" spans="1:13" x14ac:dyDescent="0.25">
      <c r="A807" t="s">
        <v>850</v>
      </c>
      <c r="B807" s="3">
        <v>45590.460416666669</v>
      </c>
      <c r="C807" s="2" t="s">
        <v>60</v>
      </c>
      <c r="D807" s="2" t="s">
        <v>25</v>
      </c>
      <c r="E807" t="s">
        <v>39</v>
      </c>
      <c r="F807">
        <v>2991.62</v>
      </c>
      <c r="G807" s="2" t="s">
        <v>34</v>
      </c>
      <c r="H807" t="s">
        <v>62</v>
      </c>
      <c r="I807">
        <v>3.2</v>
      </c>
      <c r="J807">
        <v>1</v>
      </c>
      <c r="K807">
        <v>0</v>
      </c>
      <c r="L807">
        <v>0</v>
      </c>
      <c r="M807">
        <v>0</v>
      </c>
    </row>
    <row r="808" spans="1:13" x14ac:dyDescent="0.25">
      <c r="A808" t="s">
        <v>851</v>
      </c>
      <c r="B808" s="3">
        <v>45590.98333333333</v>
      </c>
      <c r="C808" s="2" t="s">
        <v>60</v>
      </c>
      <c r="D808" s="2" t="s">
        <v>25</v>
      </c>
      <c r="E808" t="s">
        <v>39</v>
      </c>
      <c r="F808">
        <v>3466.92</v>
      </c>
      <c r="G808" s="2" t="s">
        <v>22</v>
      </c>
      <c r="H808"/>
      <c r="I808">
        <v>3.2</v>
      </c>
      <c r="J808">
        <v>1</v>
      </c>
      <c r="K808">
        <v>110.94</v>
      </c>
      <c r="L808">
        <v>3355.98</v>
      </c>
      <c r="M808">
        <v>3466.92</v>
      </c>
    </row>
    <row r="809" spans="1:13" x14ac:dyDescent="0.25">
      <c r="A809" t="s">
        <v>852</v>
      </c>
      <c r="B809" s="3">
        <v>45591.072222222225</v>
      </c>
      <c r="C809" s="2" t="s">
        <v>31</v>
      </c>
      <c r="D809" s="2" t="s">
        <v>32</v>
      </c>
      <c r="E809" t="s">
        <v>39</v>
      </c>
      <c r="F809">
        <v>539.62</v>
      </c>
      <c r="G809" s="2" t="s">
        <v>22</v>
      </c>
      <c r="H809"/>
      <c r="I809">
        <v>3.2</v>
      </c>
      <c r="J809">
        <v>1.17</v>
      </c>
      <c r="K809">
        <v>20.2059</v>
      </c>
      <c r="L809">
        <v>611.14949999999999</v>
      </c>
      <c r="M809">
        <v>631.35540000000003</v>
      </c>
    </row>
    <row r="810" spans="1:13" x14ac:dyDescent="0.25">
      <c r="A810" t="s">
        <v>853</v>
      </c>
      <c r="B810" s="3">
        <v>45591.117361111108</v>
      </c>
      <c r="C810" s="2" t="s">
        <v>13</v>
      </c>
      <c r="D810" s="2" t="s">
        <v>14</v>
      </c>
      <c r="E810" t="s">
        <v>28</v>
      </c>
      <c r="F810">
        <v>3705.18</v>
      </c>
      <c r="G810" s="2" t="s">
        <v>34</v>
      </c>
      <c r="H810" t="s">
        <v>35</v>
      </c>
      <c r="I810">
        <v>2.9</v>
      </c>
      <c r="J810">
        <v>8.7999999999999995E-2</v>
      </c>
      <c r="K810">
        <v>0</v>
      </c>
      <c r="L810">
        <v>0</v>
      </c>
      <c r="M810">
        <v>0</v>
      </c>
    </row>
    <row r="811" spans="1:13" x14ac:dyDescent="0.25">
      <c r="A811" t="s">
        <v>854</v>
      </c>
      <c r="B811" s="3">
        <v>45591.125</v>
      </c>
      <c r="C811" s="2" t="s">
        <v>13</v>
      </c>
      <c r="D811" s="2" t="s">
        <v>14</v>
      </c>
      <c r="E811" t="s">
        <v>39</v>
      </c>
      <c r="F811">
        <v>3240.24</v>
      </c>
      <c r="G811" s="2" t="s">
        <v>17</v>
      </c>
      <c r="H811"/>
      <c r="I811">
        <v>3.2</v>
      </c>
      <c r="J811">
        <v>8.7999999999999995E-2</v>
      </c>
      <c r="K811">
        <v>0</v>
      </c>
      <c r="L811">
        <v>0</v>
      </c>
      <c r="M811">
        <v>0</v>
      </c>
    </row>
    <row r="812" spans="1:13" x14ac:dyDescent="0.25">
      <c r="A812" t="s">
        <v>855</v>
      </c>
      <c r="B812" s="3">
        <v>45591.569444444445</v>
      </c>
      <c r="C812" s="2" t="s">
        <v>43</v>
      </c>
      <c r="D812" s="2" t="s">
        <v>25</v>
      </c>
      <c r="E812" t="s">
        <v>28</v>
      </c>
      <c r="F812">
        <v>1746.33</v>
      </c>
      <c r="G812" s="2" t="s">
        <v>22</v>
      </c>
      <c r="H812"/>
      <c r="I812">
        <v>2.9</v>
      </c>
      <c r="J812">
        <v>1</v>
      </c>
      <c r="K812">
        <v>50.64</v>
      </c>
      <c r="L812">
        <v>1695.69</v>
      </c>
      <c r="M812">
        <v>1746.3300000000002</v>
      </c>
    </row>
    <row r="813" spans="1:13" x14ac:dyDescent="0.25">
      <c r="A813" t="s">
        <v>856</v>
      </c>
      <c r="B813" s="3">
        <v>45591.581250000003</v>
      </c>
      <c r="C813" s="2" t="s">
        <v>19</v>
      </c>
      <c r="D813" s="2" t="s">
        <v>20</v>
      </c>
      <c r="E813" t="s">
        <v>15</v>
      </c>
      <c r="F813">
        <v>1104.4100000000001</v>
      </c>
      <c r="G813" s="2" t="s">
        <v>22</v>
      </c>
      <c r="H813"/>
      <c r="I813">
        <v>2.5</v>
      </c>
      <c r="J813">
        <v>8.7999999999999995E-2</v>
      </c>
      <c r="K813">
        <v>2.4296799999999998</v>
      </c>
      <c r="L813">
        <v>94.758399999999995</v>
      </c>
      <c r="M813">
        <v>97.188079999999999</v>
      </c>
    </row>
    <row r="814" spans="1:13" x14ac:dyDescent="0.25">
      <c r="A814" t="s">
        <v>857</v>
      </c>
      <c r="B814" s="3">
        <v>45591.627083333333</v>
      </c>
      <c r="C814" s="2" t="s">
        <v>58</v>
      </c>
      <c r="D814" s="2" t="s">
        <v>25</v>
      </c>
      <c r="E814" t="s">
        <v>44</v>
      </c>
      <c r="F814">
        <v>4640.16</v>
      </c>
      <c r="G814" s="2" t="s">
        <v>34</v>
      </c>
      <c r="H814" t="s">
        <v>35</v>
      </c>
      <c r="I814">
        <v>2.1</v>
      </c>
      <c r="J814">
        <v>1</v>
      </c>
      <c r="K814">
        <v>0</v>
      </c>
      <c r="L814">
        <v>0</v>
      </c>
      <c r="M814">
        <v>0</v>
      </c>
    </row>
    <row r="815" spans="1:13" x14ac:dyDescent="0.25">
      <c r="A815" t="s">
        <v>858</v>
      </c>
      <c r="B815" s="3">
        <v>45592.402777777781</v>
      </c>
      <c r="C815" s="2" t="s">
        <v>58</v>
      </c>
      <c r="D815" s="2" t="s">
        <v>25</v>
      </c>
      <c r="E815" t="s">
        <v>39</v>
      </c>
      <c r="F815">
        <v>4228.07</v>
      </c>
      <c r="G815" s="2" t="s">
        <v>22</v>
      </c>
      <c r="H815"/>
      <c r="I815">
        <v>3.2</v>
      </c>
      <c r="J815">
        <v>1</v>
      </c>
      <c r="K815">
        <v>135.30000000000001</v>
      </c>
      <c r="L815">
        <v>4092.77</v>
      </c>
      <c r="M815">
        <v>4228.07</v>
      </c>
    </row>
    <row r="816" spans="1:13" x14ac:dyDescent="0.25">
      <c r="A816" t="s">
        <v>859</v>
      </c>
      <c r="B816" s="3">
        <v>45592.732638888891</v>
      </c>
      <c r="C816" s="2" t="s">
        <v>37</v>
      </c>
      <c r="D816" s="2" t="s">
        <v>38</v>
      </c>
      <c r="E816" t="s">
        <v>28</v>
      </c>
      <c r="F816">
        <v>1774.45</v>
      </c>
      <c r="G816" s="2" t="s">
        <v>34</v>
      </c>
      <c r="H816" t="s">
        <v>78</v>
      </c>
      <c r="I816">
        <v>2.9</v>
      </c>
      <c r="J816">
        <v>0.23</v>
      </c>
      <c r="K816">
        <v>0</v>
      </c>
      <c r="L816">
        <v>0</v>
      </c>
      <c r="M816">
        <v>0</v>
      </c>
    </row>
    <row r="817" spans="1:13" x14ac:dyDescent="0.25">
      <c r="A817" t="s">
        <v>860</v>
      </c>
      <c r="B817" s="3">
        <v>45593.291666666664</v>
      </c>
      <c r="C817" s="2" t="s">
        <v>31</v>
      </c>
      <c r="D817" s="2" t="s">
        <v>32</v>
      </c>
      <c r="E817" t="s">
        <v>28</v>
      </c>
      <c r="F817">
        <v>346.33</v>
      </c>
      <c r="G817" s="2" t="s">
        <v>22</v>
      </c>
      <c r="H817"/>
      <c r="I817">
        <v>2.9</v>
      </c>
      <c r="J817">
        <v>1.17</v>
      </c>
      <c r="K817">
        <v>11.746799999999999</v>
      </c>
      <c r="L817">
        <v>393.45929999999998</v>
      </c>
      <c r="M817">
        <v>405.20609999999999</v>
      </c>
    </row>
    <row r="818" spans="1:13" x14ac:dyDescent="0.25">
      <c r="A818" t="s">
        <v>861</v>
      </c>
      <c r="B818" s="3">
        <v>45593.522916666669</v>
      </c>
      <c r="C818" s="2" t="s">
        <v>31</v>
      </c>
      <c r="D818" s="2" t="s">
        <v>32</v>
      </c>
      <c r="E818" t="s">
        <v>15</v>
      </c>
      <c r="F818">
        <v>3731.57</v>
      </c>
      <c r="G818" s="2" t="s">
        <v>22</v>
      </c>
      <c r="H818"/>
      <c r="I818">
        <v>2.5</v>
      </c>
      <c r="J818">
        <v>1.17</v>
      </c>
      <c r="K818">
        <v>109.1493</v>
      </c>
      <c r="L818">
        <v>4256.7875999999997</v>
      </c>
      <c r="M818">
        <v>4365.9368999999997</v>
      </c>
    </row>
    <row r="819" spans="1:13" x14ac:dyDescent="0.25">
      <c r="A819" t="s">
        <v>862</v>
      </c>
      <c r="B819" s="3">
        <v>45593.693055555559</v>
      </c>
      <c r="C819" s="2" t="s">
        <v>47</v>
      </c>
      <c r="D819" s="2" t="s">
        <v>25</v>
      </c>
      <c r="E819" t="s">
        <v>28</v>
      </c>
      <c r="F819">
        <v>1488.27</v>
      </c>
      <c r="G819" s="2" t="s">
        <v>22</v>
      </c>
      <c r="H819"/>
      <c r="I819">
        <v>2.9</v>
      </c>
      <c r="J819">
        <v>1</v>
      </c>
      <c r="K819">
        <v>43.16</v>
      </c>
      <c r="L819">
        <v>1445.11</v>
      </c>
      <c r="M819">
        <v>1488.27</v>
      </c>
    </row>
    <row r="820" spans="1:13" x14ac:dyDescent="0.25">
      <c r="A820" t="s">
        <v>863</v>
      </c>
      <c r="B820" s="3">
        <v>45594.543055555558</v>
      </c>
      <c r="C820" s="2" t="s">
        <v>60</v>
      </c>
      <c r="D820" s="2" t="s">
        <v>25</v>
      </c>
      <c r="E820" t="s">
        <v>28</v>
      </c>
      <c r="F820">
        <v>1170.98</v>
      </c>
      <c r="G820" s="2" t="s">
        <v>17</v>
      </c>
      <c r="H820"/>
      <c r="I820">
        <v>2.9</v>
      </c>
      <c r="J820">
        <v>1</v>
      </c>
      <c r="K820">
        <v>0</v>
      </c>
      <c r="L820">
        <v>0</v>
      </c>
      <c r="M820">
        <v>0</v>
      </c>
    </row>
    <row r="821" spans="1:13" x14ac:dyDescent="0.25">
      <c r="A821" t="s">
        <v>864</v>
      </c>
      <c r="B821" s="3">
        <v>45594.661805555559</v>
      </c>
      <c r="C821" s="2" t="s">
        <v>43</v>
      </c>
      <c r="D821" s="2" t="s">
        <v>25</v>
      </c>
      <c r="E821" t="s">
        <v>39</v>
      </c>
      <c r="F821">
        <v>3652.79</v>
      </c>
      <c r="G821" s="2" t="s">
        <v>22</v>
      </c>
      <c r="H821"/>
      <c r="I821">
        <v>3.2</v>
      </c>
      <c r="J821">
        <v>1</v>
      </c>
      <c r="K821">
        <v>116.89</v>
      </c>
      <c r="L821">
        <v>3535.9</v>
      </c>
      <c r="M821">
        <v>3652.79</v>
      </c>
    </row>
    <row r="822" spans="1:13" x14ac:dyDescent="0.25">
      <c r="A822" t="s">
        <v>865</v>
      </c>
      <c r="B822" s="3">
        <v>45594.964583333334</v>
      </c>
      <c r="C822" s="2" t="s">
        <v>43</v>
      </c>
      <c r="D822" s="2" t="s">
        <v>25</v>
      </c>
      <c r="E822" t="s">
        <v>39</v>
      </c>
      <c r="F822">
        <v>1313.65</v>
      </c>
      <c r="G822" s="2" t="s">
        <v>22</v>
      </c>
      <c r="H822"/>
      <c r="I822">
        <v>3.2</v>
      </c>
      <c r="J822">
        <v>1</v>
      </c>
      <c r="K822">
        <v>42.04</v>
      </c>
      <c r="L822">
        <v>1271.6099999999999</v>
      </c>
      <c r="M822">
        <v>1313.6499999999999</v>
      </c>
    </row>
    <row r="823" spans="1:13" x14ac:dyDescent="0.25">
      <c r="A823" t="s">
        <v>866</v>
      </c>
      <c r="B823" s="3">
        <v>45595.428472222222</v>
      </c>
      <c r="C823" s="2" t="s">
        <v>31</v>
      </c>
      <c r="D823" s="2" t="s">
        <v>32</v>
      </c>
      <c r="E823" t="s">
        <v>33</v>
      </c>
      <c r="F823">
        <v>2381.59</v>
      </c>
      <c r="G823" s="2" t="s">
        <v>22</v>
      </c>
      <c r="H823"/>
      <c r="I823">
        <v>1.9</v>
      </c>
      <c r="J823">
        <v>1.17</v>
      </c>
      <c r="K823">
        <v>52.942499999999995</v>
      </c>
      <c r="L823">
        <v>2733.5178000000001</v>
      </c>
      <c r="M823">
        <v>2786.4603000000002</v>
      </c>
    </row>
    <row r="824" spans="1:13" x14ac:dyDescent="0.25">
      <c r="A824" t="s">
        <v>867</v>
      </c>
      <c r="B824" s="3">
        <v>45596.800000000003</v>
      </c>
      <c r="C824" s="2" t="s">
        <v>43</v>
      </c>
      <c r="D824" s="2" t="s">
        <v>25</v>
      </c>
      <c r="E824" t="s">
        <v>28</v>
      </c>
      <c r="F824">
        <v>1530.24</v>
      </c>
      <c r="G824" s="2" t="s">
        <v>34</v>
      </c>
      <c r="H824" t="s">
        <v>62</v>
      </c>
      <c r="I824">
        <v>2.9</v>
      </c>
      <c r="J824">
        <v>1</v>
      </c>
      <c r="K824">
        <v>0</v>
      </c>
      <c r="L824">
        <v>0</v>
      </c>
      <c r="M824">
        <v>0</v>
      </c>
    </row>
    <row r="825" spans="1:13" x14ac:dyDescent="0.25">
      <c r="A825" t="s">
        <v>868</v>
      </c>
      <c r="B825" s="3">
        <v>45596.920138888891</v>
      </c>
      <c r="C825" s="2" t="s">
        <v>47</v>
      </c>
      <c r="D825" s="2" t="s">
        <v>25</v>
      </c>
      <c r="E825" t="s">
        <v>33</v>
      </c>
      <c r="F825">
        <v>3221.03</v>
      </c>
      <c r="G825" s="2" t="s">
        <v>22</v>
      </c>
      <c r="H825"/>
      <c r="I825">
        <v>1.9</v>
      </c>
      <c r="J825">
        <v>1</v>
      </c>
      <c r="K825">
        <v>61.2</v>
      </c>
      <c r="L825">
        <v>3159.83</v>
      </c>
      <c r="M825">
        <v>3221.0299999999997</v>
      </c>
    </row>
    <row r="826" spans="1:13" x14ac:dyDescent="0.25">
      <c r="A826" t="s">
        <v>869</v>
      </c>
      <c r="B826" s="3">
        <v>45597.239583333336</v>
      </c>
      <c r="C826" s="2" t="s">
        <v>43</v>
      </c>
      <c r="D826" s="2" t="s">
        <v>25</v>
      </c>
      <c r="E826" t="s">
        <v>33</v>
      </c>
      <c r="F826">
        <v>3139.69</v>
      </c>
      <c r="G826" s="2" t="s">
        <v>22</v>
      </c>
      <c r="H826"/>
      <c r="I826">
        <v>1.9</v>
      </c>
      <c r="J826">
        <v>1</v>
      </c>
      <c r="K826">
        <v>59.65</v>
      </c>
      <c r="L826">
        <v>3080.04</v>
      </c>
      <c r="M826">
        <v>3139.69</v>
      </c>
    </row>
    <row r="827" spans="1:13" x14ac:dyDescent="0.25">
      <c r="A827" t="s">
        <v>870</v>
      </c>
      <c r="B827" s="3">
        <v>45597.301388888889</v>
      </c>
      <c r="C827" s="2" t="s">
        <v>60</v>
      </c>
      <c r="D827" s="2" t="s">
        <v>25</v>
      </c>
      <c r="E827" t="s">
        <v>39</v>
      </c>
      <c r="F827">
        <v>3443.83</v>
      </c>
      <c r="G827" s="2" t="s">
        <v>34</v>
      </c>
      <c r="H827" t="s">
        <v>35</v>
      </c>
      <c r="I827">
        <v>3.2</v>
      </c>
      <c r="J827">
        <v>1</v>
      </c>
      <c r="K827">
        <v>0</v>
      </c>
      <c r="L827">
        <v>0</v>
      </c>
      <c r="M827">
        <v>0</v>
      </c>
    </row>
    <row r="828" spans="1:13" x14ac:dyDescent="0.25">
      <c r="A828" t="s">
        <v>871</v>
      </c>
      <c r="B828" s="3">
        <v>45598.438194444447</v>
      </c>
      <c r="C828" s="2" t="s">
        <v>60</v>
      </c>
      <c r="D828" s="2" t="s">
        <v>25</v>
      </c>
      <c r="E828" t="s">
        <v>28</v>
      </c>
      <c r="F828">
        <v>4394.82</v>
      </c>
      <c r="G828" s="2" t="s">
        <v>22</v>
      </c>
      <c r="H828"/>
      <c r="I828">
        <v>2.9</v>
      </c>
      <c r="J828">
        <v>1</v>
      </c>
      <c r="K828">
        <v>127.45</v>
      </c>
      <c r="L828">
        <v>4267.37</v>
      </c>
      <c r="M828">
        <v>4394.82</v>
      </c>
    </row>
    <row r="829" spans="1:13" x14ac:dyDescent="0.25">
      <c r="A829" t="s">
        <v>872</v>
      </c>
      <c r="B829" s="3">
        <v>45599.15902777778</v>
      </c>
      <c r="C829" s="2" t="s">
        <v>37</v>
      </c>
      <c r="D829" s="2" t="s">
        <v>38</v>
      </c>
      <c r="E829" t="s">
        <v>39</v>
      </c>
      <c r="F829">
        <v>3688.81</v>
      </c>
      <c r="G829" s="2" t="s">
        <v>22</v>
      </c>
      <c r="H829"/>
      <c r="I829">
        <v>3.2</v>
      </c>
      <c r="J829">
        <v>0.23</v>
      </c>
      <c r="K829">
        <v>27.149200000000004</v>
      </c>
      <c r="L829">
        <v>821.27710000000002</v>
      </c>
      <c r="M829">
        <v>848.42629999999997</v>
      </c>
    </row>
    <row r="830" spans="1:13" x14ac:dyDescent="0.25">
      <c r="A830" t="s">
        <v>873</v>
      </c>
      <c r="B830" s="3">
        <v>45599.529166666667</v>
      </c>
      <c r="C830" s="2" t="s">
        <v>37</v>
      </c>
      <c r="D830" s="2" t="s">
        <v>38</v>
      </c>
      <c r="E830" t="s">
        <v>44</v>
      </c>
      <c r="F830">
        <v>3280.45</v>
      </c>
      <c r="G830" s="2" t="s">
        <v>22</v>
      </c>
      <c r="H830"/>
      <c r="I830">
        <v>2.1</v>
      </c>
      <c r="J830">
        <v>0.23</v>
      </c>
      <c r="K830">
        <v>15.844700000000001</v>
      </c>
      <c r="L830">
        <v>738.65880000000004</v>
      </c>
      <c r="M830">
        <v>754.50350000000003</v>
      </c>
    </row>
    <row r="831" spans="1:13" x14ac:dyDescent="0.25">
      <c r="A831" t="s">
        <v>874</v>
      </c>
      <c r="B831" s="3">
        <v>45600.684027777781</v>
      </c>
      <c r="C831" s="2" t="s">
        <v>13</v>
      </c>
      <c r="D831" s="2" t="s">
        <v>14</v>
      </c>
      <c r="E831" t="s">
        <v>28</v>
      </c>
      <c r="F831">
        <v>204.18</v>
      </c>
      <c r="G831" s="2" t="s">
        <v>22</v>
      </c>
      <c r="H831"/>
      <c r="I831">
        <v>2.9</v>
      </c>
      <c r="J831">
        <v>8.7999999999999995E-2</v>
      </c>
      <c r="K831">
        <v>0.52095999999999998</v>
      </c>
      <c r="L831">
        <v>17.446879999999997</v>
      </c>
      <c r="M831">
        <v>17.967839999999995</v>
      </c>
    </row>
    <row r="832" spans="1:13" x14ac:dyDescent="0.25">
      <c r="A832" t="s">
        <v>875</v>
      </c>
      <c r="B832" s="3">
        <v>45600.945833333331</v>
      </c>
      <c r="C832" s="2" t="s">
        <v>43</v>
      </c>
      <c r="D832" s="2" t="s">
        <v>25</v>
      </c>
      <c r="E832" t="s">
        <v>44</v>
      </c>
      <c r="F832">
        <v>3617.75</v>
      </c>
      <c r="G832" s="2" t="s">
        <v>34</v>
      </c>
      <c r="H832" t="s">
        <v>55</v>
      </c>
      <c r="I832">
        <v>2.1</v>
      </c>
      <c r="J832">
        <v>1</v>
      </c>
      <c r="K832">
        <v>0</v>
      </c>
      <c r="L832">
        <v>0</v>
      </c>
      <c r="M832">
        <v>0</v>
      </c>
    </row>
    <row r="833" spans="1:13" x14ac:dyDescent="0.25">
      <c r="A833" t="s">
        <v>876</v>
      </c>
      <c r="B833" s="3">
        <v>45601.196527777778</v>
      </c>
      <c r="C833" s="2" t="s">
        <v>43</v>
      </c>
      <c r="D833" s="2" t="s">
        <v>25</v>
      </c>
      <c r="E833" t="s">
        <v>39</v>
      </c>
      <c r="F833">
        <v>2225.2600000000002</v>
      </c>
      <c r="G833" s="2" t="s">
        <v>22</v>
      </c>
      <c r="H833"/>
      <c r="I833">
        <v>3.2</v>
      </c>
      <c r="J833">
        <v>1</v>
      </c>
      <c r="K833">
        <v>71.209999999999994</v>
      </c>
      <c r="L833">
        <v>2154.0500000000002</v>
      </c>
      <c r="M833">
        <v>2225.2600000000002</v>
      </c>
    </row>
    <row r="834" spans="1:13" x14ac:dyDescent="0.25">
      <c r="A834" t="s">
        <v>877</v>
      </c>
      <c r="B834" s="3">
        <v>45601.334027777775</v>
      </c>
      <c r="C834" s="2" t="s">
        <v>31</v>
      </c>
      <c r="D834" s="2" t="s">
        <v>32</v>
      </c>
      <c r="E834" t="s">
        <v>44</v>
      </c>
      <c r="F834">
        <v>2939.74</v>
      </c>
      <c r="G834" s="2" t="s">
        <v>22</v>
      </c>
      <c r="H834"/>
      <c r="I834">
        <v>2.1</v>
      </c>
      <c r="J834">
        <v>1.17</v>
      </c>
      <c r="K834">
        <v>72.224099999999993</v>
      </c>
      <c r="L834">
        <v>3367.2717000000002</v>
      </c>
      <c r="M834">
        <v>3439.4958000000001</v>
      </c>
    </row>
    <row r="835" spans="1:13" x14ac:dyDescent="0.25">
      <c r="A835" t="s">
        <v>878</v>
      </c>
      <c r="B835" s="3">
        <v>45601.850694444445</v>
      </c>
      <c r="C835" s="2" t="s">
        <v>47</v>
      </c>
      <c r="D835" s="2" t="s">
        <v>25</v>
      </c>
      <c r="E835" t="s">
        <v>15</v>
      </c>
      <c r="F835">
        <v>3742</v>
      </c>
      <c r="G835" s="2" t="s">
        <v>17</v>
      </c>
      <c r="H835"/>
      <c r="I835">
        <v>2.5</v>
      </c>
      <c r="J835">
        <v>1</v>
      </c>
      <c r="K835">
        <v>0</v>
      </c>
      <c r="L835">
        <v>0</v>
      </c>
      <c r="M835">
        <v>0</v>
      </c>
    </row>
    <row r="836" spans="1:13" x14ac:dyDescent="0.25">
      <c r="A836" t="s">
        <v>879</v>
      </c>
      <c r="B836" s="3">
        <v>45602.270138888889</v>
      </c>
      <c r="C836" s="2" t="s">
        <v>58</v>
      </c>
      <c r="D836" s="2" t="s">
        <v>25</v>
      </c>
      <c r="E836" t="s">
        <v>33</v>
      </c>
      <c r="F836">
        <v>1312.93</v>
      </c>
      <c r="G836" s="2" t="s">
        <v>34</v>
      </c>
      <c r="H836" t="s">
        <v>100</v>
      </c>
      <c r="I836">
        <v>1.9</v>
      </c>
      <c r="J836">
        <v>1</v>
      </c>
      <c r="K836">
        <v>0</v>
      </c>
      <c r="L836">
        <v>0</v>
      </c>
      <c r="M836">
        <v>0</v>
      </c>
    </row>
    <row r="837" spans="1:13" x14ac:dyDescent="0.25">
      <c r="A837" t="s">
        <v>880</v>
      </c>
      <c r="B837" s="3">
        <v>45602.671527777777</v>
      </c>
      <c r="C837" s="2" t="s">
        <v>58</v>
      </c>
      <c r="D837" s="2" t="s">
        <v>25</v>
      </c>
      <c r="E837" t="s">
        <v>33</v>
      </c>
      <c r="F837">
        <v>1281.07</v>
      </c>
      <c r="G837" s="2" t="s">
        <v>34</v>
      </c>
      <c r="H837" t="s">
        <v>78</v>
      </c>
      <c r="I837">
        <v>1.9</v>
      </c>
      <c r="J837">
        <v>1</v>
      </c>
      <c r="K837">
        <v>0</v>
      </c>
      <c r="L837">
        <v>0</v>
      </c>
      <c r="M837">
        <v>0</v>
      </c>
    </row>
    <row r="838" spans="1:13" x14ac:dyDescent="0.25">
      <c r="A838" t="s">
        <v>881</v>
      </c>
      <c r="B838" s="3">
        <v>45603.95</v>
      </c>
      <c r="C838" s="2" t="s">
        <v>24</v>
      </c>
      <c r="D838" s="2" t="s">
        <v>25</v>
      </c>
      <c r="E838" t="s">
        <v>39</v>
      </c>
      <c r="F838">
        <v>4818.33</v>
      </c>
      <c r="G838" s="2" t="s">
        <v>22</v>
      </c>
      <c r="H838"/>
      <c r="I838">
        <v>3.2</v>
      </c>
      <c r="J838">
        <v>1</v>
      </c>
      <c r="K838">
        <v>154.19</v>
      </c>
      <c r="L838">
        <v>4664.1400000000003</v>
      </c>
      <c r="M838">
        <v>4818.33</v>
      </c>
    </row>
    <row r="839" spans="1:13" x14ac:dyDescent="0.25">
      <c r="A839" t="s">
        <v>882</v>
      </c>
      <c r="B839" s="3">
        <v>45604.408333333333</v>
      </c>
      <c r="C839" s="2" t="s">
        <v>43</v>
      </c>
      <c r="D839" s="2" t="s">
        <v>25</v>
      </c>
      <c r="E839" t="s">
        <v>44</v>
      </c>
      <c r="F839">
        <v>1203.45</v>
      </c>
      <c r="G839" s="2" t="s">
        <v>34</v>
      </c>
      <c r="H839" t="s">
        <v>35</v>
      </c>
      <c r="I839">
        <v>2.1</v>
      </c>
      <c r="J839">
        <v>1</v>
      </c>
      <c r="K839">
        <v>0</v>
      </c>
      <c r="L839">
        <v>0</v>
      </c>
      <c r="M839">
        <v>0</v>
      </c>
    </row>
    <row r="840" spans="1:13" x14ac:dyDescent="0.25">
      <c r="A840" t="s">
        <v>883</v>
      </c>
      <c r="B840" s="3">
        <v>45604.89166666667</v>
      </c>
      <c r="C840" s="2" t="s">
        <v>37</v>
      </c>
      <c r="D840" s="2" t="s">
        <v>38</v>
      </c>
      <c r="E840" t="s">
        <v>28</v>
      </c>
      <c r="F840">
        <v>4256.25</v>
      </c>
      <c r="G840" s="2" t="s">
        <v>22</v>
      </c>
      <c r="H840"/>
      <c r="I840">
        <v>2.9</v>
      </c>
      <c r="J840">
        <v>0.23</v>
      </c>
      <c r="K840">
        <v>28.388900000000003</v>
      </c>
      <c r="L840">
        <v>950.54859999999996</v>
      </c>
      <c r="M840">
        <v>978.9375</v>
      </c>
    </row>
    <row r="841" spans="1:13" x14ac:dyDescent="0.25">
      <c r="A841" t="s">
        <v>884</v>
      </c>
      <c r="B841" s="3">
        <v>45605.086111111108</v>
      </c>
      <c r="C841" s="2" t="s">
        <v>47</v>
      </c>
      <c r="D841" s="2" t="s">
        <v>25</v>
      </c>
      <c r="E841" t="s">
        <v>15</v>
      </c>
      <c r="F841">
        <v>2633.22</v>
      </c>
      <c r="G841" s="2" t="s">
        <v>34</v>
      </c>
      <c r="H841" t="s">
        <v>100</v>
      </c>
      <c r="I841">
        <v>2.5</v>
      </c>
      <c r="J841">
        <v>1</v>
      </c>
      <c r="K841">
        <v>0</v>
      </c>
      <c r="L841">
        <v>0</v>
      </c>
      <c r="M841">
        <v>0</v>
      </c>
    </row>
    <row r="842" spans="1:13" x14ac:dyDescent="0.25">
      <c r="A842" t="s">
        <v>885</v>
      </c>
      <c r="B842" s="3">
        <v>45605.224999999999</v>
      </c>
      <c r="C842" s="2" t="s">
        <v>13</v>
      </c>
      <c r="D842" s="2" t="s">
        <v>14</v>
      </c>
      <c r="E842" t="s">
        <v>15</v>
      </c>
      <c r="F842">
        <v>3843.62</v>
      </c>
      <c r="G842" s="2" t="s">
        <v>22</v>
      </c>
      <c r="H842"/>
      <c r="I842">
        <v>2.5</v>
      </c>
      <c r="J842">
        <v>8.7999999999999995E-2</v>
      </c>
      <c r="K842">
        <v>8.455919999999999</v>
      </c>
      <c r="L842">
        <v>329.78264000000001</v>
      </c>
      <c r="M842">
        <v>338.23856000000001</v>
      </c>
    </row>
    <row r="843" spans="1:13" x14ac:dyDescent="0.25">
      <c r="A843" t="s">
        <v>886</v>
      </c>
      <c r="B843" s="3">
        <v>45605.34097222222</v>
      </c>
      <c r="C843" s="2" t="s">
        <v>13</v>
      </c>
      <c r="D843" s="2" t="s">
        <v>14</v>
      </c>
      <c r="E843" t="s">
        <v>39</v>
      </c>
      <c r="F843">
        <v>1354.35</v>
      </c>
      <c r="G843" s="2" t="s">
        <v>17</v>
      </c>
      <c r="H843"/>
      <c r="I843">
        <v>3.2</v>
      </c>
      <c r="J843">
        <v>8.7999999999999995E-2</v>
      </c>
      <c r="K843">
        <v>0</v>
      </c>
      <c r="L843">
        <v>0</v>
      </c>
      <c r="M843">
        <v>0</v>
      </c>
    </row>
    <row r="844" spans="1:13" x14ac:dyDescent="0.25">
      <c r="A844" t="s">
        <v>887</v>
      </c>
      <c r="B844" s="3">
        <v>45605.405555555553</v>
      </c>
      <c r="C844" s="2" t="s">
        <v>43</v>
      </c>
      <c r="D844" s="2" t="s">
        <v>25</v>
      </c>
      <c r="E844" t="s">
        <v>44</v>
      </c>
      <c r="F844">
        <v>687.28</v>
      </c>
      <c r="G844" s="2" t="s">
        <v>22</v>
      </c>
      <c r="H844"/>
      <c r="I844">
        <v>2.1</v>
      </c>
      <c r="J844">
        <v>1</v>
      </c>
      <c r="K844">
        <v>14.43</v>
      </c>
      <c r="L844">
        <v>672.85</v>
      </c>
      <c r="M844">
        <v>687.28</v>
      </c>
    </row>
    <row r="845" spans="1:13" x14ac:dyDescent="0.25">
      <c r="A845" t="s">
        <v>888</v>
      </c>
      <c r="B845" s="3">
        <v>45606.301388888889</v>
      </c>
      <c r="C845" s="2" t="s">
        <v>27</v>
      </c>
      <c r="D845" s="2" t="s">
        <v>25</v>
      </c>
      <c r="E845" t="s">
        <v>15</v>
      </c>
      <c r="F845">
        <v>2280.34</v>
      </c>
      <c r="G845" s="2" t="s">
        <v>17</v>
      </c>
      <c r="H845"/>
      <c r="I845">
        <v>2.5</v>
      </c>
      <c r="J845">
        <v>1</v>
      </c>
      <c r="K845">
        <v>0</v>
      </c>
      <c r="L845">
        <v>0</v>
      </c>
      <c r="M845">
        <v>0</v>
      </c>
    </row>
    <row r="846" spans="1:13" x14ac:dyDescent="0.25">
      <c r="A846" t="s">
        <v>889</v>
      </c>
      <c r="B846" s="3">
        <v>45606.837500000001</v>
      </c>
      <c r="C846" s="2" t="s">
        <v>43</v>
      </c>
      <c r="D846" s="2" t="s">
        <v>25</v>
      </c>
      <c r="E846" t="s">
        <v>39</v>
      </c>
      <c r="F846">
        <v>183.96</v>
      </c>
      <c r="G846" s="2" t="s">
        <v>22</v>
      </c>
      <c r="H846"/>
      <c r="I846">
        <v>3.2</v>
      </c>
      <c r="J846">
        <v>1</v>
      </c>
      <c r="K846">
        <v>5.89</v>
      </c>
      <c r="L846">
        <v>178.07</v>
      </c>
      <c r="M846">
        <v>183.95999999999998</v>
      </c>
    </row>
    <row r="847" spans="1:13" x14ac:dyDescent="0.25">
      <c r="A847" t="s">
        <v>890</v>
      </c>
      <c r="B847" s="3">
        <v>45607.47152777778</v>
      </c>
      <c r="C847" s="2" t="s">
        <v>37</v>
      </c>
      <c r="D847" s="2" t="s">
        <v>38</v>
      </c>
      <c r="E847" t="s">
        <v>44</v>
      </c>
      <c r="F847">
        <v>401.94</v>
      </c>
      <c r="G847" s="2" t="s">
        <v>34</v>
      </c>
      <c r="H847" t="s">
        <v>100</v>
      </c>
      <c r="I847">
        <v>2.1</v>
      </c>
      <c r="J847">
        <v>0.23</v>
      </c>
      <c r="K847">
        <v>0</v>
      </c>
      <c r="L847">
        <v>0</v>
      </c>
      <c r="M847">
        <v>0</v>
      </c>
    </row>
    <row r="848" spans="1:13" x14ac:dyDescent="0.25">
      <c r="A848" t="s">
        <v>891</v>
      </c>
      <c r="B848" s="3">
        <v>45607.55972222222</v>
      </c>
      <c r="C848" s="2" t="s">
        <v>60</v>
      </c>
      <c r="D848" s="2" t="s">
        <v>25</v>
      </c>
      <c r="E848" t="s">
        <v>39</v>
      </c>
      <c r="F848">
        <v>2806.47</v>
      </c>
      <c r="G848" s="2" t="s">
        <v>22</v>
      </c>
      <c r="H848"/>
      <c r="I848">
        <v>3.2</v>
      </c>
      <c r="J848">
        <v>1</v>
      </c>
      <c r="K848">
        <v>89.81</v>
      </c>
      <c r="L848">
        <v>2716.66</v>
      </c>
      <c r="M848">
        <v>2806.47</v>
      </c>
    </row>
    <row r="849" spans="1:13" x14ac:dyDescent="0.25">
      <c r="A849" t="s">
        <v>892</v>
      </c>
      <c r="B849" s="3">
        <v>45607.742361111108</v>
      </c>
      <c r="C849" s="2" t="s">
        <v>43</v>
      </c>
      <c r="D849" s="2" t="s">
        <v>25</v>
      </c>
      <c r="E849" t="s">
        <v>15</v>
      </c>
      <c r="F849">
        <v>4130.42</v>
      </c>
      <c r="G849" s="2" t="s">
        <v>17</v>
      </c>
      <c r="H849"/>
      <c r="I849">
        <v>2.5</v>
      </c>
      <c r="J849">
        <v>1</v>
      </c>
      <c r="K849">
        <v>0</v>
      </c>
      <c r="L849">
        <v>0</v>
      </c>
      <c r="M849">
        <v>0</v>
      </c>
    </row>
    <row r="850" spans="1:13" x14ac:dyDescent="0.25">
      <c r="A850" t="s">
        <v>893</v>
      </c>
      <c r="B850" s="3">
        <v>45607.763194444444</v>
      </c>
      <c r="C850" s="2" t="s">
        <v>58</v>
      </c>
      <c r="D850" s="2" t="s">
        <v>25</v>
      </c>
      <c r="E850" t="s">
        <v>33</v>
      </c>
      <c r="F850">
        <v>1526.34</v>
      </c>
      <c r="G850" s="2" t="s">
        <v>22</v>
      </c>
      <c r="H850"/>
      <c r="I850">
        <v>1.9</v>
      </c>
      <c r="J850">
        <v>1</v>
      </c>
      <c r="K850">
        <v>29</v>
      </c>
      <c r="L850">
        <v>1497.34</v>
      </c>
      <c r="M850">
        <v>1526.34</v>
      </c>
    </row>
    <row r="851" spans="1:13" x14ac:dyDescent="0.25">
      <c r="A851" t="s">
        <v>894</v>
      </c>
      <c r="B851" s="3">
        <v>45608.821527777778</v>
      </c>
      <c r="C851" s="2" t="s">
        <v>58</v>
      </c>
      <c r="D851" s="2" t="s">
        <v>25</v>
      </c>
      <c r="E851" t="s">
        <v>28</v>
      </c>
      <c r="F851">
        <v>4448.9799999999996</v>
      </c>
      <c r="G851" s="2" t="s">
        <v>22</v>
      </c>
      <c r="H851"/>
      <c r="I851">
        <v>2.9</v>
      </c>
      <c r="J851">
        <v>1</v>
      </c>
      <c r="K851">
        <v>129.02000000000001</v>
      </c>
      <c r="L851">
        <v>4319.96</v>
      </c>
      <c r="M851">
        <v>4448.9800000000005</v>
      </c>
    </row>
    <row r="852" spans="1:13" x14ac:dyDescent="0.25">
      <c r="A852" t="s">
        <v>895</v>
      </c>
      <c r="B852" s="3">
        <v>45609.315972222219</v>
      </c>
      <c r="C852" s="2" t="s">
        <v>27</v>
      </c>
      <c r="D852" s="2" t="s">
        <v>25</v>
      </c>
      <c r="E852" t="s">
        <v>15</v>
      </c>
      <c r="F852">
        <v>339.64</v>
      </c>
      <c r="G852" s="2" t="s">
        <v>22</v>
      </c>
      <c r="H852"/>
      <c r="I852">
        <v>2.5</v>
      </c>
      <c r="J852">
        <v>1</v>
      </c>
      <c r="K852">
        <v>8.49</v>
      </c>
      <c r="L852">
        <v>331.15</v>
      </c>
      <c r="M852">
        <v>339.64</v>
      </c>
    </row>
    <row r="853" spans="1:13" x14ac:dyDescent="0.25">
      <c r="A853" t="s">
        <v>896</v>
      </c>
      <c r="B853" s="3">
        <v>45609.438194444447</v>
      </c>
      <c r="C853" s="2" t="s">
        <v>19</v>
      </c>
      <c r="D853" s="2" t="s">
        <v>20</v>
      </c>
      <c r="E853" t="s">
        <v>39</v>
      </c>
      <c r="F853">
        <v>922.53</v>
      </c>
      <c r="G853" s="2" t="s">
        <v>17</v>
      </c>
      <c r="H853"/>
      <c r="I853">
        <v>3.2</v>
      </c>
      <c r="J853">
        <v>8.7999999999999995E-2</v>
      </c>
      <c r="K853">
        <v>0</v>
      </c>
      <c r="L853">
        <v>0</v>
      </c>
      <c r="M853">
        <v>0</v>
      </c>
    </row>
    <row r="854" spans="1:13" x14ac:dyDescent="0.25">
      <c r="A854" t="s">
        <v>897</v>
      </c>
      <c r="B854" s="3">
        <v>45609.535416666666</v>
      </c>
      <c r="C854" s="2" t="s">
        <v>37</v>
      </c>
      <c r="D854" s="2" t="s">
        <v>38</v>
      </c>
      <c r="E854" t="s">
        <v>15</v>
      </c>
      <c r="F854">
        <v>2158.77</v>
      </c>
      <c r="G854" s="2" t="s">
        <v>17</v>
      </c>
      <c r="H854"/>
      <c r="I854">
        <v>2.5</v>
      </c>
      <c r="J854">
        <v>0.23</v>
      </c>
      <c r="K854">
        <v>0</v>
      </c>
      <c r="L854">
        <v>0</v>
      </c>
      <c r="M854">
        <v>0</v>
      </c>
    </row>
    <row r="855" spans="1:13" x14ac:dyDescent="0.25">
      <c r="A855" t="s">
        <v>898</v>
      </c>
      <c r="B855" s="3">
        <v>45609.620138888888</v>
      </c>
      <c r="C855" s="2" t="s">
        <v>24</v>
      </c>
      <c r="D855" s="2" t="s">
        <v>25</v>
      </c>
      <c r="E855" t="s">
        <v>39</v>
      </c>
      <c r="F855">
        <v>2737.61</v>
      </c>
      <c r="G855" s="2" t="s">
        <v>17</v>
      </c>
      <c r="H855"/>
      <c r="I855">
        <v>3.2</v>
      </c>
      <c r="J855">
        <v>1</v>
      </c>
      <c r="K855">
        <v>0</v>
      </c>
      <c r="L855">
        <v>0</v>
      </c>
      <c r="M855">
        <v>0</v>
      </c>
    </row>
    <row r="856" spans="1:13" x14ac:dyDescent="0.25">
      <c r="A856" t="s">
        <v>899</v>
      </c>
      <c r="B856" s="3">
        <v>45610.652777777781</v>
      </c>
      <c r="C856" s="2" t="s">
        <v>43</v>
      </c>
      <c r="D856" s="2" t="s">
        <v>25</v>
      </c>
      <c r="E856" t="s">
        <v>28</v>
      </c>
      <c r="F856">
        <v>1342.61</v>
      </c>
      <c r="G856" s="2" t="s">
        <v>22</v>
      </c>
      <c r="H856"/>
      <c r="I856">
        <v>2.9</v>
      </c>
      <c r="J856">
        <v>1</v>
      </c>
      <c r="K856">
        <v>38.94</v>
      </c>
      <c r="L856">
        <v>1303.67</v>
      </c>
      <c r="M856">
        <v>1342.6100000000001</v>
      </c>
    </row>
    <row r="857" spans="1:13" x14ac:dyDescent="0.25">
      <c r="A857" t="s">
        <v>900</v>
      </c>
      <c r="B857" s="3">
        <v>45610.79583333333</v>
      </c>
      <c r="C857" s="2" t="s">
        <v>31</v>
      </c>
      <c r="D857" s="2" t="s">
        <v>32</v>
      </c>
      <c r="E857" t="s">
        <v>33</v>
      </c>
      <c r="F857">
        <v>3965.73</v>
      </c>
      <c r="G857" s="2" t="s">
        <v>22</v>
      </c>
      <c r="H857"/>
      <c r="I857">
        <v>1.9</v>
      </c>
      <c r="J857">
        <v>1.17</v>
      </c>
      <c r="K857">
        <v>88.159499999999994</v>
      </c>
      <c r="L857">
        <v>4551.7446</v>
      </c>
      <c r="M857">
        <v>4639.9040999999997</v>
      </c>
    </row>
    <row r="858" spans="1:13" x14ac:dyDescent="0.25">
      <c r="A858" t="s">
        <v>901</v>
      </c>
      <c r="B858" s="3">
        <v>45610.822222222225</v>
      </c>
      <c r="C858" s="2" t="s">
        <v>27</v>
      </c>
      <c r="D858" s="2" t="s">
        <v>25</v>
      </c>
      <c r="E858" t="s">
        <v>15</v>
      </c>
      <c r="F858">
        <v>2562.81</v>
      </c>
      <c r="G858" s="2" t="s">
        <v>17</v>
      </c>
      <c r="H858"/>
      <c r="I858">
        <v>2.5</v>
      </c>
      <c r="J858">
        <v>1</v>
      </c>
      <c r="K858">
        <v>0</v>
      </c>
      <c r="L858">
        <v>0</v>
      </c>
      <c r="M858">
        <v>0</v>
      </c>
    </row>
    <row r="859" spans="1:13" x14ac:dyDescent="0.25">
      <c r="A859" t="s">
        <v>902</v>
      </c>
      <c r="B859" s="3">
        <v>45611.347916666666</v>
      </c>
      <c r="C859" s="2" t="s">
        <v>27</v>
      </c>
      <c r="D859" s="2" t="s">
        <v>25</v>
      </c>
      <c r="E859" t="s">
        <v>44</v>
      </c>
      <c r="F859">
        <v>400.32</v>
      </c>
      <c r="G859" s="2" t="s">
        <v>17</v>
      </c>
      <c r="H859"/>
      <c r="I859">
        <v>2.1</v>
      </c>
      <c r="J859">
        <v>1</v>
      </c>
      <c r="K859">
        <v>0</v>
      </c>
      <c r="L859">
        <v>0</v>
      </c>
      <c r="M859">
        <v>0</v>
      </c>
    </row>
    <row r="860" spans="1:13" x14ac:dyDescent="0.25">
      <c r="A860" t="s">
        <v>903</v>
      </c>
      <c r="B860" s="3">
        <v>45611.934027777781</v>
      </c>
      <c r="C860" s="2" t="s">
        <v>31</v>
      </c>
      <c r="D860" s="2" t="s">
        <v>32</v>
      </c>
      <c r="E860" t="s">
        <v>39</v>
      </c>
      <c r="F860">
        <v>1906.25</v>
      </c>
      <c r="G860" s="2" t="s">
        <v>22</v>
      </c>
      <c r="H860"/>
      <c r="I860">
        <v>3.2</v>
      </c>
      <c r="J860">
        <v>1.17</v>
      </c>
      <c r="K860">
        <v>71.36999999999999</v>
      </c>
      <c r="L860">
        <v>2158.9424999999997</v>
      </c>
      <c r="M860">
        <v>2230.3124999999995</v>
      </c>
    </row>
    <row r="861" spans="1:13" x14ac:dyDescent="0.25">
      <c r="A861" t="s">
        <v>904</v>
      </c>
      <c r="B861" s="3">
        <v>45612.092361111114</v>
      </c>
      <c r="C861" s="2" t="s">
        <v>24</v>
      </c>
      <c r="D861" s="2" t="s">
        <v>25</v>
      </c>
      <c r="E861" t="s">
        <v>15</v>
      </c>
      <c r="F861">
        <v>1035.8399999999999</v>
      </c>
      <c r="G861" s="2" t="s">
        <v>34</v>
      </c>
      <c r="H861" t="s">
        <v>78</v>
      </c>
      <c r="I861">
        <v>2.5</v>
      </c>
      <c r="J861">
        <v>1</v>
      </c>
      <c r="K861">
        <v>0</v>
      </c>
      <c r="L861">
        <v>0</v>
      </c>
      <c r="M861">
        <v>0</v>
      </c>
    </row>
    <row r="862" spans="1:13" x14ac:dyDescent="0.25">
      <c r="A862" t="s">
        <v>905</v>
      </c>
      <c r="B862" s="3">
        <v>45612.213194444441</v>
      </c>
      <c r="C862" s="2" t="s">
        <v>27</v>
      </c>
      <c r="D862" s="2" t="s">
        <v>25</v>
      </c>
      <c r="E862" t="s">
        <v>44</v>
      </c>
      <c r="F862">
        <v>3116.58</v>
      </c>
      <c r="G862" s="2" t="s">
        <v>22</v>
      </c>
      <c r="H862"/>
      <c r="I862">
        <v>2.1</v>
      </c>
      <c r="J862">
        <v>1</v>
      </c>
      <c r="K862">
        <v>65.45</v>
      </c>
      <c r="L862">
        <v>3051.13</v>
      </c>
      <c r="M862">
        <v>3116.58</v>
      </c>
    </row>
    <row r="863" spans="1:13" x14ac:dyDescent="0.25">
      <c r="A863" t="s">
        <v>906</v>
      </c>
      <c r="B863" s="3">
        <v>45612.433333333334</v>
      </c>
      <c r="C863" s="2" t="s">
        <v>31</v>
      </c>
      <c r="D863" s="2" t="s">
        <v>32</v>
      </c>
      <c r="E863" t="s">
        <v>15</v>
      </c>
      <c r="F863">
        <v>4959.8100000000004</v>
      </c>
      <c r="G863" s="2" t="s">
        <v>34</v>
      </c>
      <c r="H863" t="s">
        <v>62</v>
      </c>
      <c r="I863">
        <v>2.5</v>
      </c>
      <c r="J863">
        <v>1.17</v>
      </c>
      <c r="K863">
        <v>0</v>
      </c>
      <c r="L863">
        <v>0</v>
      </c>
      <c r="M863">
        <v>0</v>
      </c>
    </row>
    <row r="864" spans="1:13" x14ac:dyDescent="0.25">
      <c r="A864" t="s">
        <v>907</v>
      </c>
      <c r="B864" s="3">
        <v>45612.828472222223</v>
      </c>
      <c r="C864" s="2" t="s">
        <v>47</v>
      </c>
      <c r="D864" s="2" t="s">
        <v>25</v>
      </c>
      <c r="E864" t="s">
        <v>15</v>
      </c>
      <c r="F864">
        <v>2755.3</v>
      </c>
      <c r="G864" s="2" t="s">
        <v>22</v>
      </c>
      <c r="H864"/>
      <c r="I864">
        <v>2.5</v>
      </c>
      <c r="J864">
        <v>1</v>
      </c>
      <c r="K864">
        <v>68.88</v>
      </c>
      <c r="L864">
        <v>2686.42</v>
      </c>
      <c r="M864">
        <v>2755.3</v>
      </c>
    </row>
    <row r="865" spans="1:13" x14ac:dyDescent="0.25">
      <c r="A865" t="s">
        <v>908</v>
      </c>
      <c r="B865" s="3">
        <v>45612.893750000003</v>
      </c>
      <c r="C865" s="2" t="s">
        <v>13</v>
      </c>
      <c r="D865" s="2" t="s">
        <v>14</v>
      </c>
      <c r="E865" t="s">
        <v>15</v>
      </c>
      <c r="F865">
        <v>4861.7299999999996</v>
      </c>
      <c r="G865" s="2" t="s">
        <v>34</v>
      </c>
      <c r="H865" t="s">
        <v>100</v>
      </c>
      <c r="I865">
        <v>2.5</v>
      </c>
      <c r="J865">
        <v>8.7999999999999995E-2</v>
      </c>
      <c r="K865">
        <v>0</v>
      </c>
      <c r="L865">
        <v>0</v>
      </c>
      <c r="M865">
        <v>0</v>
      </c>
    </row>
    <row r="866" spans="1:13" x14ac:dyDescent="0.25">
      <c r="A866" t="s">
        <v>909</v>
      </c>
      <c r="B866" s="3">
        <v>45613.681944444441</v>
      </c>
      <c r="C866" s="2" t="s">
        <v>31</v>
      </c>
      <c r="D866" s="2" t="s">
        <v>32</v>
      </c>
      <c r="E866" t="s">
        <v>28</v>
      </c>
      <c r="F866">
        <v>2249.1999999999998</v>
      </c>
      <c r="G866" s="2" t="s">
        <v>17</v>
      </c>
      <c r="H866"/>
      <c r="I866">
        <v>2.9</v>
      </c>
      <c r="J866">
        <v>1.17</v>
      </c>
      <c r="K866">
        <v>0</v>
      </c>
      <c r="L866">
        <v>0</v>
      </c>
      <c r="M866">
        <v>0</v>
      </c>
    </row>
    <row r="867" spans="1:13" x14ac:dyDescent="0.25">
      <c r="A867" t="s">
        <v>910</v>
      </c>
      <c r="B867" s="3">
        <v>45613.834722222222</v>
      </c>
      <c r="C867" s="2" t="s">
        <v>47</v>
      </c>
      <c r="D867" s="2" t="s">
        <v>25</v>
      </c>
      <c r="E867" t="s">
        <v>15</v>
      </c>
      <c r="F867">
        <v>2902.07</v>
      </c>
      <c r="G867" s="2" t="s">
        <v>22</v>
      </c>
      <c r="H867"/>
      <c r="I867">
        <v>2.5</v>
      </c>
      <c r="J867">
        <v>1</v>
      </c>
      <c r="K867">
        <v>72.55</v>
      </c>
      <c r="L867">
        <v>2829.52</v>
      </c>
      <c r="M867">
        <v>2902.07</v>
      </c>
    </row>
    <row r="868" spans="1:13" x14ac:dyDescent="0.25">
      <c r="A868" t="s">
        <v>911</v>
      </c>
      <c r="B868" s="3">
        <v>45614.618055555555</v>
      </c>
      <c r="C868" s="2" t="s">
        <v>27</v>
      </c>
      <c r="D868" s="2" t="s">
        <v>25</v>
      </c>
      <c r="E868" t="s">
        <v>28</v>
      </c>
      <c r="F868">
        <v>1008.38</v>
      </c>
      <c r="G868" s="2" t="s">
        <v>22</v>
      </c>
      <c r="H868"/>
      <c r="I868">
        <v>2.9</v>
      </c>
      <c r="J868">
        <v>1</v>
      </c>
      <c r="K868">
        <v>29.24</v>
      </c>
      <c r="L868">
        <v>979.14</v>
      </c>
      <c r="M868">
        <v>1008.38</v>
      </c>
    </row>
    <row r="869" spans="1:13" x14ac:dyDescent="0.25">
      <c r="A869" t="s">
        <v>912</v>
      </c>
      <c r="B869" s="3">
        <v>45615.409722222219</v>
      </c>
      <c r="C869" s="2" t="s">
        <v>47</v>
      </c>
      <c r="D869" s="2" t="s">
        <v>25</v>
      </c>
      <c r="E869" t="s">
        <v>33</v>
      </c>
      <c r="F869">
        <v>1766.19</v>
      </c>
      <c r="G869" s="2" t="s">
        <v>22</v>
      </c>
      <c r="H869"/>
      <c r="I869">
        <v>1.9</v>
      </c>
      <c r="J869">
        <v>1</v>
      </c>
      <c r="K869">
        <v>33.56</v>
      </c>
      <c r="L869">
        <v>1732.63</v>
      </c>
      <c r="M869">
        <v>1766.19</v>
      </c>
    </row>
    <row r="870" spans="1:13" x14ac:dyDescent="0.25">
      <c r="A870" t="s">
        <v>913</v>
      </c>
      <c r="B870" s="3">
        <v>45615.455555555556</v>
      </c>
      <c r="C870" s="2" t="s">
        <v>58</v>
      </c>
      <c r="D870" s="2" t="s">
        <v>25</v>
      </c>
      <c r="E870" t="s">
        <v>28</v>
      </c>
      <c r="F870">
        <v>4333.5600000000004</v>
      </c>
      <c r="G870" s="2" t="s">
        <v>34</v>
      </c>
      <c r="H870" t="s">
        <v>55</v>
      </c>
      <c r="I870">
        <v>2.9</v>
      </c>
      <c r="J870">
        <v>1</v>
      </c>
      <c r="K870">
        <v>0</v>
      </c>
      <c r="L870">
        <v>0</v>
      </c>
      <c r="M870">
        <v>0</v>
      </c>
    </row>
    <row r="871" spans="1:13" x14ac:dyDescent="0.25">
      <c r="A871" t="s">
        <v>914</v>
      </c>
      <c r="B871" s="3">
        <v>45616.321527777778</v>
      </c>
      <c r="C871" s="2" t="s">
        <v>24</v>
      </c>
      <c r="D871" s="2" t="s">
        <v>25</v>
      </c>
      <c r="E871" t="s">
        <v>39</v>
      </c>
      <c r="F871">
        <v>4777.67</v>
      </c>
      <c r="G871" s="2" t="s">
        <v>17</v>
      </c>
      <c r="H871"/>
      <c r="I871">
        <v>3.2</v>
      </c>
      <c r="J871">
        <v>1</v>
      </c>
      <c r="K871">
        <v>0</v>
      </c>
      <c r="L871">
        <v>0</v>
      </c>
      <c r="M871">
        <v>0</v>
      </c>
    </row>
    <row r="872" spans="1:13" x14ac:dyDescent="0.25">
      <c r="A872" t="s">
        <v>915</v>
      </c>
      <c r="B872" s="3">
        <v>45617.561111111114</v>
      </c>
      <c r="C872" s="2" t="s">
        <v>43</v>
      </c>
      <c r="D872" s="2" t="s">
        <v>25</v>
      </c>
      <c r="E872" t="s">
        <v>15</v>
      </c>
      <c r="F872">
        <v>730.29</v>
      </c>
      <c r="G872" s="2" t="s">
        <v>22</v>
      </c>
      <c r="H872"/>
      <c r="I872">
        <v>2.5</v>
      </c>
      <c r="J872">
        <v>1</v>
      </c>
      <c r="K872">
        <v>18.260000000000002</v>
      </c>
      <c r="L872">
        <v>712.03</v>
      </c>
      <c r="M872">
        <v>730.29</v>
      </c>
    </row>
    <row r="873" spans="1:13" x14ac:dyDescent="0.25">
      <c r="A873" t="s">
        <v>916</v>
      </c>
      <c r="B873" s="3">
        <v>45618.378472222219</v>
      </c>
      <c r="C873" s="2" t="s">
        <v>43</v>
      </c>
      <c r="D873" s="2" t="s">
        <v>25</v>
      </c>
      <c r="E873" t="s">
        <v>28</v>
      </c>
      <c r="F873">
        <v>3926.53</v>
      </c>
      <c r="G873" s="2" t="s">
        <v>34</v>
      </c>
      <c r="H873" t="s">
        <v>55</v>
      </c>
      <c r="I873">
        <v>2.9</v>
      </c>
      <c r="J873">
        <v>1</v>
      </c>
      <c r="K873">
        <v>0</v>
      </c>
      <c r="L873">
        <v>0</v>
      </c>
      <c r="M873">
        <v>0</v>
      </c>
    </row>
    <row r="874" spans="1:13" x14ac:dyDescent="0.25">
      <c r="A874" t="s">
        <v>917</v>
      </c>
      <c r="B874" s="3">
        <v>45618.743750000001</v>
      </c>
      <c r="C874" s="2" t="s">
        <v>19</v>
      </c>
      <c r="D874" s="2" t="s">
        <v>20</v>
      </c>
      <c r="E874" t="s">
        <v>15</v>
      </c>
      <c r="F874">
        <v>3635.81</v>
      </c>
      <c r="G874" s="2" t="s">
        <v>22</v>
      </c>
      <c r="H874"/>
      <c r="I874">
        <v>2.5</v>
      </c>
      <c r="J874">
        <v>8.7999999999999995E-2</v>
      </c>
      <c r="K874">
        <v>7.9992000000000001</v>
      </c>
      <c r="L874">
        <v>311.95207999999997</v>
      </c>
      <c r="M874">
        <v>319.95127999999994</v>
      </c>
    </row>
    <row r="875" spans="1:13" x14ac:dyDescent="0.25">
      <c r="A875" t="s">
        <v>918</v>
      </c>
      <c r="B875" s="3">
        <v>45619.021527777775</v>
      </c>
      <c r="C875" s="2" t="s">
        <v>13</v>
      </c>
      <c r="D875" s="2" t="s">
        <v>14</v>
      </c>
      <c r="E875" t="s">
        <v>39</v>
      </c>
      <c r="F875">
        <v>2419.89</v>
      </c>
      <c r="G875" s="2" t="s">
        <v>34</v>
      </c>
      <c r="H875" t="s">
        <v>62</v>
      </c>
      <c r="I875">
        <v>3.2</v>
      </c>
      <c r="J875">
        <v>8.7999999999999995E-2</v>
      </c>
      <c r="K875">
        <v>0</v>
      </c>
      <c r="L875">
        <v>0</v>
      </c>
      <c r="M875">
        <v>0</v>
      </c>
    </row>
    <row r="876" spans="1:13" x14ac:dyDescent="0.25">
      <c r="A876" t="s">
        <v>919</v>
      </c>
      <c r="B876" s="3">
        <v>45619.125694444447</v>
      </c>
      <c r="C876" s="2" t="s">
        <v>47</v>
      </c>
      <c r="D876" s="2" t="s">
        <v>25</v>
      </c>
      <c r="E876" t="s">
        <v>44</v>
      </c>
      <c r="F876">
        <v>706.29</v>
      </c>
      <c r="G876" s="2" t="s">
        <v>22</v>
      </c>
      <c r="H876"/>
      <c r="I876">
        <v>2.1</v>
      </c>
      <c r="J876">
        <v>1</v>
      </c>
      <c r="K876">
        <v>14.83</v>
      </c>
      <c r="L876">
        <v>691.46</v>
      </c>
      <c r="M876">
        <v>706.29000000000008</v>
      </c>
    </row>
    <row r="877" spans="1:13" x14ac:dyDescent="0.25">
      <c r="A877" t="s">
        <v>920</v>
      </c>
      <c r="B877" s="3">
        <v>45619.280555555553</v>
      </c>
      <c r="C877" s="2" t="s">
        <v>47</v>
      </c>
      <c r="D877" s="2" t="s">
        <v>25</v>
      </c>
      <c r="E877" t="s">
        <v>39</v>
      </c>
      <c r="F877">
        <v>1545.79</v>
      </c>
      <c r="G877" s="2" t="s">
        <v>17</v>
      </c>
      <c r="H877"/>
      <c r="I877">
        <v>3.2</v>
      </c>
      <c r="J877">
        <v>1</v>
      </c>
      <c r="K877">
        <v>0</v>
      </c>
      <c r="L877">
        <v>0</v>
      </c>
      <c r="M877">
        <v>0</v>
      </c>
    </row>
    <row r="878" spans="1:13" x14ac:dyDescent="0.25">
      <c r="A878" t="s">
        <v>921</v>
      </c>
      <c r="B878" s="3">
        <v>45619.367361111108</v>
      </c>
      <c r="C878" s="2" t="s">
        <v>13</v>
      </c>
      <c r="D878" s="2" t="s">
        <v>14</v>
      </c>
      <c r="E878" t="s">
        <v>33</v>
      </c>
      <c r="F878">
        <v>2973.68</v>
      </c>
      <c r="G878" s="2" t="s">
        <v>22</v>
      </c>
      <c r="H878"/>
      <c r="I878">
        <v>1.9</v>
      </c>
      <c r="J878">
        <v>8.7999999999999995E-2</v>
      </c>
      <c r="K878">
        <v>4.9719999999999995</v>
      </c>
      <c r="L878">
        <v>256.71184</v>
      </c>
      <c r="M878">
        <v>261.68383999999998</v>
      </c>
    </row>
    <row r="879" spans="1:13" x14ac:dyDescent="0.25">
      <c r="A879" t="s">
        <v>922</v>
      </c>
      <c r="B879" s="3">
        <v>45619.443055555559</v>
      </c>
      <c r="C879" s="2" t="s">
        <v>58</v>
      </c>
      <c r="D879" s="2" t="s">
        <v>25</v>
      </c>
      <c r="E879" t="s">
        <v>33</v>
      </c>
      <c r="F879">
        <v>2939.15</v>
      </c>
      <c r="G879" s="2" t="s">
        <v>22</v>
      </c>
      <c r="H879"/>
      <c r="I879">
        <v>1.9</v>
      </c>
      <c r="J879">
        <v>1</v>
      </c>
      <c r="K879">
        <v>55.84</v>
      </c>
      <c r="L879">
        <v>2883.31</v>
      </c>
      <c r="M879">
        <v>2939.15</v>
      </c>
    </row>
    <row r="880" spans="1:13" x14ac:dyDescent="0.25">
      <c r="A880" t="s">
        <v>923</v>
      </c>
      <c r="B880" s="3">
        <v>45619.693055555559</v>
      </c>
      <c r="C880" s="2" t="s">
        <v>24</v>
      </c>
      <c r="D880" s="2" t="s">
        <v>25</v>
      </c>
      <c r="E880" t="s">
        <v>44</v>
      </c>
      <c r="F880">
        <v>3814.93</v>
      </c>
      <c r="G880" s="2" t="s">
        <v>17</v>
      </c>
      <c r="H880"/>
      <c r="I880">
        <v>2.1</v>
      </c>
      <c r="J880">
        <v>1</v>
      </c>
      <c r="K880">
        <v>0</v>
      </c>
      <c r="L880">
        <v>0</v>
      </c>
      <c r="M880">
        <v>0</v>
      </c>
    </row>
    <row r="881" spans="1:13" x14ac:dyDescent="0.25">
      <c r="A881" t="s">
        <v>924</v>
      </c>
      <c r="B881" s="3">
        <v>45620.421527777777</v>
      </c>
      <c r="C881" s="2" t="s">
        <v>31</v>
      </c>
      <c r="D881" s="2" t="s">
        <v>32</v>
      </c>
      <c r="E881" t="s">
        <v>33</v>
      </c>
      <c r="F881">
        <v>228.45</v>
      </c>
      <c r="G881" s="2" t="s">
        <v>22</v>
      </c>
      <c r="H881"/>
      <c r="I881">
        <v>1.9</v>
      </c>
      <c r="J881">
        <v>1.17</v>
      </c>
      <c r="K881">
        <v>5.0777999999999999</v>
      </c>
      <c r="L881">
        <v>262.20870000000002</v>
      </c>
      <c r="M881">
        <v>267.28650000000005</v>
      </c>
    </row>
    <row r="882" spans="1:13" x14ac:dyDescent="0.25">
      <c r="A882" t="s">
        <v>925</v>
      </c>
      <c r="B882" s="3">
        <v>45620.684027777781</v>
      </c>
      <c r="C882" s="2" t="s">
        <v>13</v>
      </c>
      <c r="D882" s="2" t="s">
        <v>14</v>
      </c>
      <c r="E882" t="s">
        <v>39</v>
      </c>
      <c r="F882">
        <v>585.55999999999995</v>
      </c>
      <c r="G882" s="2" t="s">
        <v>22</v>
      </c>
      <c r="H882"/>
      <c r="I882">
        <v>3.2</v>
      </c>
      <c r="J882">
        <v>8.7999999999999995E-2</v>
      </c>
      <c r="K882">
        <v>1.6491199999999997</v>
      </c>
      <c r="L882">
        <v>49.880160000000004</v>
      </c>
      <c r="M882">
        <v>51.52928</v>
      </c>
    </row>
    <row r="883" spans="1:13" x14ac:dyDescent="0.25">
      <c r="A883" t="s">
        <v>926</v>
      </c>
      <c r="B883" s="3">
        <v>45621.245138888888</v>
      </c>
      <c r="C883" s="2" t="s">
        <v>43</v>
      </c>
      <c r="D883" s="2" t="s">
        <v>25</v>
      </c>
      <c r="E883" t="s">
        <v>15</v>
      </c>
      <c r="F883">
        <v>4059.37</v>
      </c>
      <c r="G883" s="2" t="s">
        <v>22</v>
      </c>
      <c r="H883"/>
      <c r="I883">
        <v>2.5</v>
      </c>
      <c r="J883">
        <v>1</v>
      </c>
      <c r="K883">
        <v>101.48</v>
      </c>
      <c r="L883">
        <v>3957.89</v>
      </c>
      <c r="M883">
        <v>4059.37</v>
      </c>
    </row>
    <row r="884" spans="1:13" x14ac:dyDescent="0.25">
      <c r="A884" t="s">
        <v>927</v>
      </c>
      <c r="B884" s="3">
        <v>45621.86041666667</v>
      </c>
      <c r="C884" s="2" t="s">
        <v>37</v>
      </c>
      <c r="D884" s="2" t="s">
        <v>38</v>
      </c>
      <c r="E884" t="s">
        <v>39</v>
      </c>
      <c r="F884">
        <v>2204.42</v>
      </c>
      <c r="G884" s="2" t="s">
        <v>34</v>
      </c>
      <c r="H884" t="s">
        <v>55</v>
      </c>
      <c r="I884">
        <v>3.2</v>
      </c>
      <c r="J884">
        <v>0.23</v>
      </c>
      <c r="K884">
        <v>0</v>
      </c>
      <c r="L884">
        <v>0</v>
      </c>
      <c r="M884">
        <v>0</v>
      </c>
    </row>
    <row r="885" spans="1:13" x14ac:dyDescent="0.25">
      <c r="A885" t="s">
        <v>928</v>
      </c>
      <c r="B885" s="3">
        <v>45622.177083333336</v>
      </c>
      <c r="C885" s="2" t="s">
        <v>31</v>
      </c>
      <c r="D885" s="2" t="s">
        <v>32</v>
      </c>
      <c r="E885" t="s">
        <v>44</v>
      </c>
      <c r="F885">
        <v>994.39</v>
      </c>
      <c r="G885" s="2" t="s">
        <v>17</v>
      </c>
      <c r="H885"/>
      <c r="I885">
        <v>2.1</v>
      </c>
      <c r="J885">
        <v>1.17</v>
      </c>
      <c r="K885">
        <v>0</v>
      </c>
      <c r="L885">
        <v>0</v>
      </c>
      <c r="M885">
        <v>0</v>
      </c>
    </row>
    <row r="886" spans="1:13" x14ac:dyDescent="0.25">
      <c r="A886" t="s">
        <v>929</v>
      </c>
      <c r="B886" s="3">
        <v>45622.938194444447</v>
      </c>
      <c r="C886" s="2" t="s">
        <v>43</v>
      </c>
      <c r="D886" s="2" t="s">
        <v>25</v>
      </c>
      <c r="E886" t="s">
        <v>28</v>
      </c>
      <c r="F886">
        <v>1478.24</v>
      </c>
      <c r="G886" s="2" t="s">
        <v>34</v>
      </c>
      <c r="H886" t="s">
        <v>35</v>
      </c>
      <c r="I886">
        <v>2.9</v>
      </c>
      <c r="J886">
        <v>1</v>
      </c>
      <c r="K886">
        <v>0</v>
      </c>
      <c r="L886">
        <v>0</v>
      </c>
      <c r="M886">
        <v>0</v>
      </c>
    </row>
    <row r="887" spans="1:13" x14ac:dyDescent="0.25">
      <c r="A887" t="s">
        <v>930</v>
      </c>
      <c r="B887" s="3">
        <v>45623.111111111109</v>
      </c>
      <c r="C887" s="2" t="s">
        <v>43</v>
      </c>
      <c r="D887" s="2" t="s">
        <v>25</v>
      </c>
      <c r="E887" t="s">
        <v>39</v>
      </c>
      <c r="F887">
        <v>592.21</v>
      </c>
      <c r="G887" s="2" t="s">
        <v>22</v>
      </c>
      <c r="H887"/>
      <c r="I887">
        <v>3.2</v>
      </c>
      <c r="J887">
        <v>1</v>
      </c>
      <c r="K887">
        <v>18.95</v>
      </c>
      <c r="L887">
        <v>573.26</v>
      </c>
      <c r="M887">
        <v>592.21</v>
      </c>
    </row>
    <row r="888" spans="1:13" x14ac:dyDescent="0.25">
      <c r="A888" t="s">
        <v>931</v>
      </c>
      <c r="B888" s="3">
        <v>45623.321527777778</v>
      </c>
      <c r="C888" s="2" t="s">
        <v>24</v>
      </c>
      <c r="D888" s="2" t="s">
        <v>25</v>
      </c>
      <c r="E888" t="s">
        <v>39</v>
      </c>
      <c r="F888">
        <v>2571.27</v>
      </c>
      <c r="G888" s="2" t="s">
        <v>22</v>
      </c>
      <c r="H888"/>
      <c r="I888">
        <v>3.2</v>
      </c>
      <c r="J888">
        <v>1</v>
      </c>
      <c r="K888">
        <v>82.28</v>
      </c>
      <c r="L888">
        <v>2488.9899999999998</v>
      </c>
      <c r="M888">
        <v>2571.27</v>
      </c>
    </row>
    <row r="889" spans="1:13" x14ac:dyDescent="0.25">
      <c r="A889" t="s">
        <v>932</v>
      </c>
      <c r="B889" s="3">
        <v>45623.724999999999</v>
      </c>
      <c r="C889" s="2" t="s">
        <v>24</v>
      </c>
      <c r="D889" s="2" t="s">
        <v>25</v>
      </c>
      <c r="E889" t="s">
        <v>33</v>
      </c>
      <c r="F889">
        <v>3467.75</v>
      </c>
      <c r="G889" s="2" t="s">
        <v>22</v>
      </c>
      <c r="H889"/>
      <c r="I889">
        <v>1.9</v>
      </c>
      <c r="J889">
        <v>1</v>
      </c>
      <c r="K889">
        <v>65.89</v>
      </c>
      <c r="L889">
        <v>3401.86</v>
      </c>
      <c r="M889">
        <v>3467.75</v>
      </c>
    </row>
    <row r="890" spans="1:13" x14ac:dyDescent="0.25">
      <c r="A890" t="s">
        <v>933</v>
      </c>
      <c r="B890" s="3">
        <v>45623.839583333334</v>
      </c>
      <c r="C890" s="2" t="s">
        <v>31</v>
      </c>
      <c r="D890" s="2" t="s">
        <v>32</v>
      </c>
      <c r="E890" t="s">
        <v>39</v>
      </c>
      <c r="F890">
        <v>4007.49</v>
      </c>
      <c r="G890" s="2" t="s">
        <v>22</v>
      </c>
      <c r="H890"/>
      <c r="I890">
        <v>3.2</v>
      </c>
      <c r="J890">
        <v>1.17</v>
      </c>
      <c r="K890">
        <v>150.04079999999999</v>
      </c>
      <c r="L890">
        <v>4538.7224999999999</v>
      </c>
      <c r="M890">
        <v>4688.7632999999996</v>
      </c>
    </row>
    <row r="891" spans="1:13" x14ac:dyDescent="0.25">
      <c r="A891" t="s">
        <v>934</v>
      </c>
      <c r="B891" s="3">
        <v>45623.90625</v>
      </c>
      <c r="C891" s="2" t="s">
        <v>27</v>
      </c>
      <c r="D891" s="2" t="s">
        <v>25</v>
      </c>
      <c r="E891" t="s">
        <v>15</v>
      </c>
      <c r="F891">
        <v>3151.5</v>
      </c>
      <c r="G891" s="2" t="s">
        <v>17</v>
      </c>
      <c r="H891"/>
      <c r="I891">
        <v>2.5</v>
      </c>
      <c r="J891">
        <v>1</v>
      </c>
      <c r="K891">
        <v>0</v>
      </c>
      <c r="L891">
        <v>0</v>
      </c>
      <c r="M891">
        <v>0</v>
      </c>
    </row>
    <row r="892" spans="1:13" x14ac:dyDescent="0.25">
      <c r="A892" t="s">
        <v>935</v>
      </c>
      <c r="B892" s="3">
        <v>45624.42083333333</v>
      </c>
      <c r="C892" s="2" t="s">
        <v>13</v>
      </c>
      <c r="D892" s="2" t="s">
        <v>14</v>
      </c>
      <c r="E892" t="s">
        <v>39</v>
      </c>
      <c r="F892">
        <v>2897.37</v>
      </c>
      <c r="G892" s="2" t="s">
        <v>17</v>
      </c>
      <c r="H892"/>
      <c r="I892">
        <v>3.2</v>
      </c>
      <c r="J892">
        <v>8.7999999999999995E-2</v>
      </c>
      <c r="K892">
        <v>0</v>
      </c>
      <c r="L892">
        <v>0</v>
      </c>
      <c r="M892">
        <v>0</v>
      </c>
    </row>
    <row r="893" spans="1:13" x14ac:dyDescent="0.25">
      <c r="A893" t="s">
        <v>936</v>
      </c>
      <c r="B893" s="3">
        <v>45624.424305555556</v>
      </c>
      <c r="C893" s="2" t="s">
        <v>13</v>
      </c>
      <c r="D893" s="2" t="s">
        <v>14</v>
      </c>
      <c r="E893" t="s">
        <v>33</v>
      </c>
      <c r="F893">
        <v>1123.95</v>
      </c>
      <c r="G893" s="2" t="s">
        <v>17</v>
      </c>
      <c r="H893"/>
      <c r="I893">
        <v>1.9</v>
      </c>
      <c r="J893">
        <v>8.7999999999999995E-2</v>
      </c>
      <c r="K893">
        <v>0</v>
      </c>
      <c r="L893">
        <v>0</v>
      </c>
      <c r="M893">
        <v>0</v>
      </c>
    </row>
    <row r="894" spans="1:13" x14ac:dyDescent="0.25">
      <c r="A894" t="s">
        <v>937</v>
      </c>
      <c r="B894" s="3">
        <v>45625.263888888891</v>
      </c>
      <c r="C894" s="2" t="s">
        <v>13</v>
      </c>
      <c r="D894" s="2" t="s">
        <v>14</v>
      </c>
      <c r="E894" t="s">
        <v>28</v>
      </c>
      <c r="F894">
        <v>845.3</v>
      </c>
      <c r="G894" s="2" t="s">
        <v>17</v>
      </c>
      <c r="H894"/>
      <c r="I894">
        <v>2.9</v>
      </c>
      <c r="J894">
        <v>8.7999999999999995E-2</v>
      </c>
      <c r="K894">
        <v>0</v>
      </c>
      <c r="L894">
        <v>0</v>
      </c>
      <c r="M894">
        <v>0</v>
      </c>
    </row>
    <row r="895" spans="1:13" x14ac:dyDescent="0.25">
      <c r="A895" t="s">
        <v>938</v>
      </c>
      <c r="B895" s="3">
        <v>45625.759722222225</v>
      </c>
      <c r="C895" s="2" t="s">
        <v>13</v>
      </c>
      <c r="D895" s="2" t="s">
        <v>14</v>
      </c>
      <c r="E895" t="s">
        <v>28</v>
      </c>
      <c r="F895">
        <v>2095.25</v>
      </c>
      <c r="G895" s="2" t="s">
        <v>22</v>
      </c>
      <c r="H895"/>
      <c r="I895">
        <v>2.9</v>
      </c>
      <c r="J895">
        <v>8.7999999999999995E-2</v>
      </c>
      <c r="K895">
        <v>5.3468799999999996</v>
      </c>
      <c r="L895">
        <v>179.03511999999998</v>
      </c>
      <c r="M895">
        <v>184.38199999999998</v>
      </c>
    </row>
    <row r="896" spans="1:13" x14ac:dyDescent="0.25">
      <c r="A896" t="s">
        <v>939</v>
      </c>
      <c r="B896" s="3">
        <v>45625.761111111111</v>
      </c>
      <c r="C896" s="2" t="s">
        <v>47</v>
      </c>
      <c r="D896" s="2" t="s">
        <v>25</v>
      </c>
      <c r="E896" t="s">
        <v>33</v>
      </c>
      <c r="F896">
        <v>2827.7</v>
      </c>
      <c r="G896" s="2" t="s">
        <v>17</v>
      </c>
      <c r="H896"/>
      <c r="I896">
        <v>1.9</v>
      </c>
      <c r="J896">
        <v>1</v>
      </c>
      <c r="K896">
        <v>0</v>
      </c>
      <c r="L896">
        <v>0</v>
      </c>
      <c r="M896">
        <v>0</v>
      </c>
    </row>
    <row r="897" spans="1:13" x14ac:dyDescent="0.25">
      <c r="A897" t="s">
        <v>940</v>
      </c>
      <c r="B897" s="3">
        <v>45625.884722222225</v>
      </c>
      <c r="C897" s="2" t="s">
        <v>27</v>
      </c>
      <c r="D897" s="2" t="s">
        <v>25</v>
      </c>
      <c r="E897" t="s">
        <v>15</v>
      </c>
      <c r="F897">
        <v>3997.98</v>
      </c>
      <c r="G897" s="2" t="s">
        <v>22</v>
      </c>
      <c r="H897"/>
      <c r="I897">
        <v>2.5</v>
      </c>
      <c r="J897">
        <v>1</v>
      </c>
      <c r="K897">
        <v>99.95</v>
      </c>
      <c r="L897">
        <v>3898.03</v>
      </c>
      <c r="M897">
        <v>3997.98</v>
      </c>
    </row>
    <row r="898" spans="1:13" x14ac:dyDescent="0.25">
      <c r="A898" t="s">
        <v>941</v>
      </c>
      <c r="B898" s="3">
        <v>45626.002083333333</v>
      </c>
      <c r="C898" s="2" t="s">
        <v>31</v>
      </c>
      <c r="D898" s="2" t="s">
        <v>32</v>
      </c>
      <c r="E898" t="s">
        <v>15</v>
      </c>
      <c r="F898">
        <v>1907.47</v>
      </c>
      <c r="G898" s="2" t="s">
        <v>17</v>
      </c>
      <c r="H898"/>
      <c r="I898">
        <v>2.5</v>
      </c>
      <c r="J898">
        <v>1.17</v>
      </c>
      <c r="K898">
        <v>0</v>
      </c>
      <c r="L898">
        <v>0</v>
      </c>
      <c r="M898">
        <v>0</v>
      </c>
    </row>
    <row r="899" spans="1:13" x14ac:dyDescent="0.25">
      <c r="A899" t="s">
        <v>942</v>
      </c>
      <c r="B899" s="3">
        <v>45626.459722222222</v>
      </c>
      <c r="C899" s="2" t="s">
        <v>27</v>
      </c>
      <c r="D899" s="2" t="s">
        <v>25</v>
      </c>
      <c r="E899" t="s">
        <v>28</v>
      </c>
      <c r="F899">
        <v>4191.6899999999996</v>
      </c>
      <c r="G899" s="2" t="s">
        <v>22</v>
      </c>
      <c r="H899"/>
      <c r="I899">
        <v>2.9</v>
      </c>
      <c r="J899">
        <v>1</v>
      </c>
      <c r="K899">
        <v>121.56</v>
      </c>
      <c r="L899">
        <v>4070.13</v>
      </c>
      <c r="M899">
        <v>4191.6900000000005</v>
      </c>
    </row>
    <row r="900" spans="1:13" x14ac:dyDescent="0.25">
      <c r="A900" t="s">
        <v>943</v>
      </c>
      <c r="B900" s="3">
        <v>45626.463194444441</v>
      </c>
      <c r="C900" s="2" t="s">
        <v>27</v>
      </c>
      <c r="D900" s="2" t="s">
        <v>25</v>
      </c>
      <c r="E900" t="s">
        <v>33</v>
      </c>
      <c r="F900">
        <v>2648.92</v>
      </c>
      <c r="G900" s="2" t="s">
        <v>22</v>
      </c>
      <c r="H900"/>
      <c r="I900">
        <v>1.9</v>
      </c>
      <c r="J900">
        <v>1</v>
      </c>
      <c r="K900">
        <v>50.33</v>
      </c>
      <c r="L900">
        <v>2598.59</v>
      </c>
      <c r="M900">
        <v>2648.92</v>
      </c>
    </row>
    <row r="901" spans="1:13" x14ac:dyDescent="0.25">
      <c r="A901" t="s">
        <v>944</v>
      </c>
      <c r="B901" s="3">
        <v>45626.645833333336</v>
      </c>
      <c r="C901" s="2" t="s">
        <v>24</v>
      </c>
      <c r="D901" s="2" t="s">
        <v>25</v>
      </c>
      <c r="E901" t="s">
        <v>39</v>
      </c>
      <c r="F901">
        <v>1434.22</v>
      </c>
      <c r="G901" s="2" t="s">
        <v>22</v>
      </c>
      <c r="H901"/>
      <c r="I901">
        <v>3.2</v>
      </c>
      <c r="J901">
        <v>1</v>
      </c>
      <c r="K901">
        <v>45.9</v>
      </c>
      <c r="L901">
        <v>1388.32</v>
      </c>
      <c r="M901">
        <v>1434.22</v>
      </c>
    </row>
    <row r="902" spans="1:13" x14ac:dyDescent="0.25">
      <c r="A902" t="s">
        <v>945</v>
      </c>
      <c r="B902" s="3">
        <v>45627.09097222222</v>
      </c>
      <c r="C902" s="2" t="s">
        <v>43</v>
      </c>
      <c r="D902" s="2" t="s">
        <v>25</v>
      </c>
      <c r="E902" t="s">
        <v>15</v>
      </c>
      <c r="F902">
        <v>3801.79</v>
      </c>
      <c r="G902" s="2" t="s">
        <v>34</v>
      </c>
      <c r="H902" t="s">
        <v>100</v>
      </c>
      <c r="I902">
        <v>2.5</v>
      </c>
      <c r="J902">
        <v>1</v>
      </c>
      <c r="K902">
        <v>0</v>
      </c>
      <c r="L902">
        <v>0</v>
      </c>
      <c r="M902">
        <v>0</v>
      </c>
    </row>
    <row r="903" spans="1:13" x14ac:dyDescent="0.25">
      <c r="A903" t="s">
        <v>946</v>
      </c>
      <c r="B903" s="3">
        <v>45627.093055555553</v>
      </c>
      <c r="C903" s="2" t="s">
        <v>37</v>
      </c>
      <c r="D903" s="2" t="s">
        <v>38</v>
      </c>
      <c r="E903" t="s">
        <v>44</v>
      </c>
      <c r="F903">
        <v>2108.16</v>
      </c>
      <c r="G903" s="2" t="s">
        <v>22</v>
      </c>
      <c r="H903"/>
      <c r="I903">
        <v>2.1</v>
      </c>
      <c r="J903">
        <v>0.23</v>
      </c>
      <c r="K903">
        <v>10.182100000000002</v>
      </c>
      <c r="L903">
        <v>474.69470000000001</v>
      </c>
      <c r="M903">
        <v>484.8768</v>
      </c>
    </row>
    <row r="904" spans="1:13" x14ac:dyDescent="0.25">
      <c r="A904" t="s">
        <v>947</v>
      </c>
      <c r="B904" s="3">
        <v>45627.161805555559</v>
      </c>
      <c r="C904" s="2" t="s">
        <v>43</v>
      </c>
      <c r="D904" s="2" t="s">
        <v>25</v>
      </c>
      <c r="E904" t="s">
        <v>33</v>
      </c>
      <c r="F904">
        <v>4695.87</v>
      </c>
      <c r="G904" s="2" t="s">
        <v>22</v>
      </c>
      <c r="H904"/>
      <c r="I904">
        <v>1.9</v>
      </c>
      <c r="J904">
        <v>1</v>
      </c>
      <c r="K904">
        <v>89.22</v>
      </c>
      <c r="L904">
        <v>4606.6499999999996</v>
      </c>
      <c r="M904">
        <v>4695.87</v>
      </c>
    </row>
    <row r="905" spans="1:13" x14ac:dyDescent="0.25">
      <c r="A905" t="s">
        <v>948</v>
      </c>
      <c r="B905" s="3">
        <v>45627.469444444447</v>
      </c>
      <c r="C905" s="2" t="s">
        <v>31</v>
      </c>
      <c r="D905" s="2" t="s">
        <v>32</v>
      </c>
      <c r="E905" t="s">
        <v>39</v>
      </c>
      <c r="F905">
        <v>268.42</v>
      </c>
      <c r="G905" s="2" t="s">
        <v>22</v>
      </c>
      <c r="H905"/>
      <c r="I905">
        <v>3.2</v>
      </c>
      <c r="J905">
        <v>1.17</v>
      </c>
      <c r="K905">
        <v>10.0503</v>
      </c>
      <c r="L905">
        <v>304.00109999999995</v>
      </c>
      <c r="M905">
        <v>314.05139999999994</v>
      </c>
    </row>
    <row r="906" spans="1:13" x14ac:dyDescent="0.25">
      <c r="A906" t="s">
        <v>949</v>
      </c>
      <c r="B906" s="3">
        <v>45627.645138888889</v>
      </c>
      <c r="C906" s="2" t="s">
        <v>58</v>
      </c>
      <c r="D906" s="2" t="s">
        <v>25</v>
      </c>
      <c r="E906" t="s">
        <v>33</v>
      </c>
      <c r="F906">
        <v>1520.97</v>
      </c>
      <c r="G906" s="2" t="s">
        <v>17</v>
      </c>
      <c r="H906"/>
      <c r="I906">
        <v>1.9</v>
      </c>
      <c r="J906">
        <v>1</v>
      </c>
      <c r="K906">
        <v>0</v>
      </c>
      <c r="L906">
        <v>0</v>
      </c>
      <c r="M906">
        <v>0</v>
      </c>
    </row>
    <row r="907" spans="1:13" x14ac:dyDescent="0.25">
      <c r="A907" t="s">
        <v>950</v>
      </c>
      <c r="B907" s="3">
        <v>45627.65</v>
      </c>
      <c r="C907" s="2" t="s">
        <v>19</v>
      </c>
      <c r="D907" s="2" t="s">
        <v>20</v>
      </c>
      <c r="E907" t="s">
        <v>15</v>
      </c>
      <c r="F907">
        <v>869.28</v>
      </c>
      <c r="G907" s="2" t="s">
        <v>34</v>
      </c>
      <c r="H907" t="s">
        <v>35</v>
      </c>
      <c r="I907">
        <v>2.5</v>
      </c>
      <c r="J907">
        <v>8.7999999999999995E-2</v>
      </c>
      <c r="K907">
        <v>0</v>
      </c>
      <c r="L907">
        <v>0</v>
      </c>
      <c r="M907">
        <v>0</v>
      </c>
    </row>
    <row r="908" spans="1:13" x14ac:dyDescent="0.25">
      <c r="A908" t="s">
        <v>951</v>
      </c>
      <c r="B908" s="3">
        <v>45627.767361111109</v>
      </c>
      <c r="C908" s="2" t="s">
        <v>43</v>
      </c>
      <c r="D908" s="2" t="s">
        <v>25</v>
      </c>
      <c r="E908" t="s">
        <v>44</v>
      </c>
      <c r="F908">
        <v>3854.78</v>
      </c>
      <c r="G908" s="2" t="s">
        <v>17</v>
      </c>
      <c r="H908"/>
      <c r="I908">
        <v>2.1</v>
      </c>
      <c r="J908">
        <v>1</v>
      </c>
      <c r="K908">
        <v>0</v>
      </c>
      <c r="L908">
        <v>0</v>
      </c>
      <c r="M908">
        <v>0</v>
      </c>
    </row>
    <row r="909" spans="1:13" x14ac:dyDescent="0.25">
      <c r="A909" t="s">
        <v>952</v>
      </c>
      <c r="B909" s="3">
        <v>45627.916666666664</v>
      </c>
      <c r="C909" s="2" t="s">
        <v>31</v>
      </c>
      <c r="D909" s="2" t="s">
        <v>32</v>
      </c>
      <c r="E909" t="s">
        <v>15</v>
      </c>
      <c r="F909">
        <v>887.67</v>
      </c>
      <c r="G909" s="2" t="s">
        <v>17</v>
      </c>
      <c r="H909"/>
      <c r="I909">
        <v>2.5</v>
      </c>
      <c r="J909">
        <v>1.17</v>
      </c>
      <c r="K909">
        <v>0</v>
      </c>
      <c r="L909">
        <v>0</v>
      </c>
      <c r="M909">
        <v>0</v>
      </c>
    </row>
    <row r="910" spans="1:13" x14ac:dyDescent="0.25">
      <c r="A910" t="s">
        <v>953</v>
      </c>
      <c r="B910" s="3">
        <v>45628.489583333336</v>
      </c>
      <c r="C910" s="2" t="s">
        <v>43</v>
      </c>
      <c r="D910" s="2" t="s">
        <v>25</v>
      </c>
      <c r="E910" t="s">
        <v>28</v>
      </c>
      <c r="F910">
        <v>3799.01</v>
      </c>
      <c r="G910" s="2" t="s">
        <v>22</v>
      </c>
      <c r="H910"/>
      <c r="I910">
        <v>2.9</v>
      </c>
      <c r="J910">
        <v>1</v>
      </c>
      <c r="K910">
        <v>110.17</v>
      </c>
      <c r="L910">
        <v>3688.84</v>
      </c>
      <c r="M910">
        <v>3799.01</v>
      </c>
    </row>
    <row r="911" spans="1:13" x14ac:dyDescent="0.25">
      <c r="A911" t="s">
        <v>954</v>
      </c>
      <c r="B911" s="3">
        <v>45629.157638888886</v>
      </c>
      <c r="C911" s="2" t="s">
        <v>24</v>
      </c>
      <c r="D911" s="2" t="s">
        <v>25</v>
      </c>
      <c r="E911" t="s">
        <v>15</v>
      </c>
      <c r="F911">
        <v>510.39</v>
      </c>
      <c r="G911" s="2" t="s">
        <v>17</v>
      </c>
      <c r="H911"/>
      <c r="I911">
        <v>2.5</v>
      </c>
      <c r="J911">
        <v>1</v>
      </c>
      <c r="K911">
        <v>0</v>
      </c>
      <c r="L911">
        <v>0</v>
      </c>
      <c r="M911">
        <v>0</v>
      </c>
    </row>
    <row r="912" spans="1:13" x14ac:dyDescent="0.25">
      <c r="A912" t="s">
        <v>955</v>
      </c>
      <c r="B912" s="3">
        <v>45629.511805555558</v>
      </c>
      <c r="C912" s="2" t="s">
        <v>60</v>
      </c>
      <c r="D912" s="2" t="s">
        <v>25</v>
      </c>
      <c r="E912" t="s">
        <v>33</v>
      </c>
      <c r="F912">
        <v>4553.9799999999996</v>
      </c>
      <c r="G912" s="2" t="s">
        <v>34</v>
      </c>
      <c r="H912" t="s">
        <v>62</v>
      </c>
      <c r="I912">
        <v>1.9</v>
      </c>
      <c r="J912">
        <v>1</v>
      </c>
      <c r="K912">
        <v>0</v>
      </c>
      <c r="L912">
        <v>0</v>
      </c>
      <c r="M912">
        <v>0</v>
      </c>
    </row>
    <row r="913" spans="1:13" x14ac:dyDescent="0.25">
      <c r="A913" t="s">
        <v>956</v>
      </c>
      <c r="B913" s="3">
        <v>45629.625694444447</v>
      </c>
      <c r="C913" s="2" t="s">
        <v>60</v>
      </c>
      <c r="D913" s="2" t="s">
        <v>25</v>
      </c>
      <c r="E913" t="s">
        <v>33</v>
      </c>
      <c r="F913">
        <v>2062.58</v>
      </c>
      <c r="G913" s="2" t="s">
        <v>22</v>
      </c>
      <c r="H913"/>
      <c r="I913">
        <v>1.9</v>
      </c>
      <c r="J913">
        <v>1</v>
      </c>
      <c r="K913">
        <v>39.19</v>
      </c>
      <c r="L913">
        <v>2023.39</v>
      </c>
      <c r="M913">
        <v>2062.58</v>
      </c>
    </row>
    <row r="914" spans="1:13" x14ac:dyDescent="0.25">
      <c r="A914" t="s">
        <v>957</v>
      </c>
      <c r="B914" s="3">
        <v>45629.679861111108</v>
      </c>
      <c r="C914" s="2" t="s">
        <v>43</v>
      </c>
      <c r="D914" s="2" t="s">
        <v>25</v>
      </c>
      <c r="E914" t="s">
        <v>28</v>
      </c>
      <c r="F914">
        <v>4992.95</v>
      </c>
      <c r="G914" s="2" t="s">
        <v>34</v>
      </c>
      <c r="H914" t="s">
        <v>55</v>
      </c>
      <c r="I914">
        <v>2.9</v>
      </c>
      <c r="J914">
        <v>1</v>
      </c>
      <c r="K914">
        <v>0</v>
      </c>
      <c r="L914">
        <v>0</v>
      </c>
      <c r="M914">
        <v>0</v>
      </c>
    </row>
    <row r="915" spans="1:13" x14ac:dyDescent="0.25">
      <c r="A915" t="s">
        <v>958</v>
      </c>
      <c r="B915" s="3">
        <v>45630.005555555559</v>
      </c>
      <c r="C915" s="2" t="s">
        <v>60</v>
      </c>
      <c r="D915" s="2" t="s">
        <v>25</v>
      </c>
      <c r="E915" t="s">
        <v>39</v>
      </c>
      <c r="F915">
        <v>2948.38</v>
      </c>
      <c r="G915" s="2" t="s">
        <v>22</v>
      </c>
      <c r="H915"/>
      <c r="I915">
        <v>3.2</v>
      </c>
      <c r="J915">
        <v>1</v>
      </c>
      <c r="K915">
        <v>94.35</v>
      </c>
      <c r="L915">
        <v>2854.03</v>
      </c>
      <c r="M915">
        <v>2948.38</v>
      </c>
    </row>
    <row r="916" spans="1:13" x14ac:dyDescent="0.25">
      <c r="A916" t="s">
        <v>959</v>
      </c>
      <c r="B916" s="3">
        <v>45630.263194444444</v>
      </c>
      <c r="C916" s="2" t="s">
        <v>58</v>
      </c>
      <c r="D916" s="2" t="s">
        <v>25</v>
      </c>
      <c r="E916" t="s">
        <v>28</v>
      </c>
      <c r="F916">
        <v>2437.65</v>
      </c>
      <c r="G916" s="2" t="s">
        <v>34</v>
      </c>
      <c r="H916" t="s">
        <v>35</v>
      </c>
      <c r="I916">
        <v>2.9</v>
      </c>
      <c r="J916">
        <v>1</v>
      </c>
      <c r="K916">
        <v>0</v>
      </c>
      <c r="L916">
        <v>0</v>
      </c>
      <c r="M916">
        <v>0</v>
      </c>
    </row>
    <row r="917" spans="1:13" x14ac:dyDescent="0.25">
      <c r="A917" t="s">
        <v>960</v>
      </c>
      <c r="B917" s="3">
        <v>45630.336805555555</v>
      </c>
      <c r="C917" s="2" t="s">
        <v>13</v>
      </c>
      <c r="D917" s="2" t="s">
        <v>14</v>
      </c>
      <c r="E917" t="s">
        <v>15</v>
      </c>
      <c r="F917">
        <v>1861.39</v>
      </c>
      <c r="G917" s="2" t="s">
        <v>34</v>
      </c>
      <c r="H917" t="s">
        <v>62</v>
      </c>
      <c r="I917">
        <v>2.5</v>
      </c>
      <c r="J917">
        <v>8.7999999999999995E-2</v>
      </c>
      <c r="K917">
        <v>0</v>
      </c>
      <c r="L917">
        <v>0</v>
      </c>
      <c r="M917">
        <v>0</v>
      </c>
    </row>
    <row r="918" spans="1:13" x14ac:dyDescent="0.25">
      <c r="A918" t="s">
        <v>961</v>
      </c>
      <c r="B918" s="3">
        <v>45630.388194444444</v>
      </c>
      <c r="C918" s="2" t="s">
        <v>43</v>
      </c>
      <c r="D918" s="2" t="s">
        <v>25</v>
      </c>
      <c r="E918" t="s">
        <v>33</v>
      </c>
      <c r="F918">
        <v>841.56</v>
      </c>
      <c r="G918" s="2" t="s">
        <v>34</v>
      </c>
      <c r="H918" t="s">
        <v>62</v>
      </c>
      <c r="I918">
        <v>1.9</v>
      </c>
      <c r="J918">
        <v>1</v>
      </c>
      <c r="K918">
        <v>0</v>
      </c>
      <c r="L918">
        <v>0</v>
      </c>
      <c r="M918">
        <v>0</v>
      </c>
    </row>
    <row r="919" spans="1:13" x14ac:dyDescent="0.25">
      <c r="A919" t="s">
        <v>962</v>
      </c>
      <c r="B919" s="3">
        <v>45630.455555555556</v>
      </c>
      <c r="C919" s="2" t="s">
        <v>19</v>
      </c>
      <c r="D919" s="2" t="s">
        <v>20</v>
      </c>
      <c r="E919" t="s">
        <v>44</v>
      </c>
      <c r="F919">
        <v>1889.83</v>
      </c>
      <c r="G919" s="2" t="s">
        <v>22</v>
      </c>
      <c r="H919"/>
      <c r="I919">
        <v>2.1</v>
      </c>
      <c r="J919">
        <v>8.7999999999999995E-2</v>
      </c>
      <c r="K919">
        <v>3.4927199999999994</v>
      </c>
      <c r="L919">
        <v>162.81232</v>
      </c>
      <c r="M919">
        <v>166.30503999999999</v>
      </c>
    </row>
    <row r="920" spans="1:13" x14ac:dyDescent="0.25">
      <c r="A920" t="s">
        <v>963</v>
      </c>
      <c r="B920" s="3">
        <v>45630.461111111108</v>
      </c>
      <c r="C920" s="2" t="s">
        <v>13</v>
      </c>
      <c r="D920" s="2" t="s">
        <v>14</v>
      </c>
      <c r="E920" t="s">
        <v>39</v>
      </c>
      <c r="F920">
        <v>4249.38</v>
      </c>
      <c r="G920" s="2" t="s">
        <v>34</v>
      </c>
      <c r="H920" t="s">
        <v>78</v>
      </c>
      <c r="I920">
        <v>3.2</v>
      </c>
      <c r="J920">
        <v>8.7999999999999995E-2</v>
      </c>
      <c r="K920">
        <v>0</v>
      </c>
      <c r="L920">
        <v>0</v>
      </c>
      <c r="M920">
        <v>0</v>
      </c>
    </row>
    <row r="921" spans="1:13" x14ac:dyDescent="0.25">
      <c r="A921" t="s">
        <v>964</v>
      </c>
      <c r="B921" s="3">
        <v>45630.646527777775</v>
      </c>
      <c r="C921" s="2" t="s">
        <v>13</v>
      </c>
      <c r="D921" s="2" t="s">
        <v>14</v>
      </c>
      <c r="E921" t="s">
        <v>39</v>
      </c>
      <c r="F921">
        <v>1724.64</v>
      </c>
      <c r="G921" s="2" t="s">
        <v>17</v>
      </c>
      <c r="H921"/>
      <c r="I921">
        <v>3.2</v>
      </c>
      <c r="J921">
        <v>8.7999999999999995E-2</v>
      </c>
      <c r="K921">
        <v>0</v>
      </c>
      <c r="L921">
        <v>0</v>
      </c>
      <c r="M921">
        <v>0</v>
      </c>
    </row>
    <row r="922" spans="1:13" x14ac:dyDescent="0.25">
      <c r="A922" t="s">
        <v>965</v>
      </c>
      <c r="B922" s="3">
        <v>45631.072222222225</v>
      </c>
      <c r="C922" s="2" t="s">
        <v>24</v>
      </c>
      <c r="D922" s="2" t="s">
        <v>25</v>
      </c>
      <c r="E922" t="s">
        <v>39</v>
      </c>
      <c r="F922">
        <v>1929.6</v>
      </c>
      <c r="G922" s="2" t="s">
        <v>22</v>
      </c>
      <c r="H922"/>
      <c r="I922">
        <v>3.2</v>
      </c>
      <c r="J922">
        <v>1</v>
      </c>
      <c r="K922">
        <v>61.75</v>
      </c>
      <c r="L922">
        <v>1867.85</v>
      </c>
      <c r="M922">
        <v>1929.6</v>
      </c>
    </row>
    <row r="923" spans="1:13" x14ac:dyDescent="0.25">
      <c r="A923" t="s">
        <v>966</v>
      </c>
      <c r="B923" s="3">
        <v>45631.156944444447</v>
      </c>
      <c r="C923" s="2" t="s">
        <v>47</v>
      </c>
      <c r="D923" s="2" t="s">
        <v>25</v>
      </c>
      <c r="E923" t="s">
        <v>33</v>
      </c>
      <c r="F923">
        <v>3337.8</v>
      </c>
      <c r="G923" s="2" t="s">
        <v>22</v>
      </c>
      <c r="H923"/>
      <c r="I923">
        <v>1.9</v>
      </c>
      <c r="J923">
        <v>1</v>
      </c>
      <c r="K923">
        <v>63.42</v>
      </c>
      <c r="L923">
        <v>3274.38</v>
      </c>
      <c r="M923">
        <v>3337.8</v>
      </c>
    </row>
    <row r="924" spans="1:13" x14ac:dyDescent="0.25">
      <c r="A924" t="s">
        <v>967</v>
      </c>
      <c r="B924" s="3">
        <v>45631.163888888892</v>
      </c>
      <c r="C924" s="2" t="s">
        <v>27</v>
      </c>
      <c r="D924" s="2" t="s">
        <v>25</v>
      </c>
      <c r="E924" t="s">
        <v>39</v>
      </c>
      <c r="F924">
        <v>4449.67</v>
      </c>
      <c r="G924" s="2" t="s">
        <v>17</v>
      </c>
      <c r="H924"/>
      <c r="I924">
        <v>3.2</v>
      </c>
      <c r="J924">
        <v>1</v>
      </c>
      <c r="K924">
        <v>0</v>
      </c>
      <c r="L924">
        <v>0</v>
      </c>
      <c r="M924">
        <v>0</v>
      </c>
    </row>
    <row r="925" spans="1:13" x14ac:dyDescent="0.25">
      <c r="A925" t="s">
        <v>968</v>
      </c>
      <c r="B925" s="3">
        <v>45632.431944444441</v>
      </c>
      <c r="C925" s="2" t="s">
        <v>27</v>
      </c>
      <c r="D925" s="2" t="s">
        <v>25</v>
      </c>
      <c r="E925" t="s">
        <v>39</v>
      </c>
      <c r="F925">
        <v>2703.93</v>
      </c>
      <c r="G925" s="2" t="s">
        <v>22</v>
      </c>
      <c r="H925"/>
      <c r="I925">
        <v>3.2</v>
      </c>
      <c r="J925">
        <v>1</v>
      </c>
      <c r="K925">
        <v>86.53</v>
      </c>
      <c r="L925">
        <v>2617.4</v>
      </c>
      <c r="M925">
        <v>2703.9300000000003</v>
      </c>
    </row>
    <row r="926" spans="1:13" x14ac:dyDescent="0.25">
      <c r="A926" t="s">
        <v>969</v>
      </c>
      <c r="B926" s="3">
        <v>45632.878472222219</v>
      </c>
      <c r="C926" s="2" t="s">
        <v>13</v>
      </c>
      <c r="D926" s="2" t="s">
        <v>14</v>
      </c>
      <c r="E926" t="s">
        <v>39</v>
      </c>
      <c r="F926">
        <v>4767.4799999999996</v>
      </c>
      <c r="G926" s="2" t="s">
        <v>17</v>
      </c>
      <c r="H926"/>
      <c r="I926">
        <v>3.2</v>
      </c>
      <c r="J926">
        <v>8.7999999999999995E-2</v>
      </c>
      <c r="K926">
        <v>0</v>
      </c>
      <c r="L926">
        <v>0</v>
      </c>
      <c r="M926">
        <v>0</v>
      </c>
    </row>
    <row r="927" spans="1:13" x14ac:dyDescent="0.25">
      <c r="A927" t="s">
        <v>970</v>
      </c>
      <c r="B927" s="3">
        <v>45633.630555555559</v>
      </c>
      <c r="C927" s="2" t="s">
        <v>27</v>
      </c>
      <c r="D927" s="2" t="s">
        <v>25</v>
      </c>
      <c r="E927" t="s">
        <v>44</v>
      </c>
      <c r="F927">
        <v>3032.69</v>
      </c>
      <c r="G927" s="2" t="s">
        <v>22</v>
      </c>
      <c r="H927"/>
      <c r="I927">
        <v>2.1</v>
      </c>
      <c r="J927">
        <v>1</v>
      </c>
      <c r="K927">
        <v>63.69</v>
      </c>
      <c r="L927">
        <v>2969</v>
      </c>
      <c r="M927">
        <v>3032.69</v>
      </c>
    </row>
    <row r="928" spans="1:13" x14ac:dyDescent="0.25">
      <c r="A928" t="s">
        <v>971</v>
      </c>
      <c r="B928" s="3">
        <v>45634.272916666669</v>
      </c>
      <c r="C928" s="2" t="s">
        <v>37</v>
      </c>
      <c r="D928" s="2" t="s">
        <v>38</v>
      </c>
      <c r="E928" t="s">
        <v>15</v>
      </c>
      <c r="F928">
        <v>4590.33</v>
      </c>
      <c r="G928" s="2" t="s">
        <v>22</v>
      </c>
      <c r="H928"/>
      <c r="I928">
        <v>2.5</v>
      </c>
      <c r="J928">
        <v>0.23</v>
      </c>
      <c r="K928">
        <v>26.394800000000004</v>
      </c>
      <c r="L928">
        <v>1029.3811000000001</v>
      </c>
      <c r="M928">
        <v>1055.7759000000001</v>
      </c>
    </row>
    <row r="929" spans="1:13" x14ac:dyDescent="0.25">
      <c r="A929" t="s">
        <v>972</v>
      </c>
      <c r="B929" s="3">
        <v>45634.439583333333</v>
      </c>
      <c r="C929" s="2" t="s">
        <v>13</v>
      </c>
      <c r="D929" s="2" t="s">
        <v>14</v>
      </c>
      <c r="E929" t="s">
        <v>33</v>
      </c>
      <c r="F929">
        <v>2169.91</v>
      </c>
      <c r="G929" s="2" t="s">
        <v>22</v>
      </c>
      <c r="H929"/>
      <c r="I929">
        <v>1.9</v>
      </c>
      <c r="J929">
        <v>8.7999999999999995E-2</v>
      </c>
      <c r="K929">
        <v>3.6282399999999995</v>
      </c>
      <c r="L929">
        <v>187.32383999999996</v>
      </c>
      <c r="M929">
        <v>190.95207999999997</v>
      </c>
    </row>
    <row r="930" spans="1:13" x14ac:dyDescent="0.25">
      <c r="A930" t="s">
        <v>973</v>
      </c>
      <c r="B930" s="3">
        <v>45635.162499999999</v>
      </c>
      <c r="C930" s="2" t="s">
        <v>27</v>
      </c>
      <c r="D930" s="2" t="s">
        <v>25</v>
      </c>
      <c r="E930" t="s">
        <v>39</v>
      </c>
      <c r="F930">
        <v>3471.43</v>
      </c>
      <c r="G930" s="2" t="s">
        <v>22</v>
      </c>
      <c r="H930"/>
      <c r="I930">
        <v>3.2</v>
      </c>
      <c r="J930">
        <v>1</v>
      </c>
      <c r="K930">
        <v>111.09</v>
      </c>
      <c r="L930">
        <v>3360.34</v>
      </c>
      <c r="M930">
        <v>3471.4300000000003</v>
      </c>
    </row>
    <row r="931" spans="1:13" x14ac:dyDescent="0.25">
      <c r="A931" t="s">
        <v>974</v>
      </c>
      <c r="B931" s="3">
        <v>45635.850694444445</v>
      </c>
      <c r="C931" s="2" t="s">
        <v>37</v>
      </c>
      <c r="D931" s="2" t="s">
        <v>38</v>
      </c>
      <c r="E931" t="s">
        <v>33</v>
      </c>
      <c r="F931">
        <v>4764.42</v>
      </c>
      <c r="G931" s="2" t="s">
        <v>22</v>
      </c>
      <c r="H931"/>
      <c r="I931">
        <v>1.9</v>
      </c>
      <c r="J931">
        <v>0.23</v>
      </c>
      <c r="K931">
        <v>20.819600000000001</v>
      </c>
      <c r="L931">
        <v>1074.9970000000001</v>
      </c>
      <c r="M931">
        <v>1095.8166000000001</v>
      </c>
    </row>
    <row r="932" spans="1:13" x14ac:dyDescent="0.25">
      <c r="A932" t="s">
        <v>975</v>
      </c>
      <c r="B932" s="3">
        <v>45635.913888888892</v>
      </c>
      <c r="C932" s="2" t="s">
        <v>31</v>
      </c>
      <c r="D932" s="2" t="s">
        <v>32</v>
      </c>
      <c r="E932" t="s">
        <v>15</v>
      </c>
      <c r="F932">
        <v>1187.8499999999999</v>
      </c>
      <c r="G932" s="2" t="s">
        <v>17</v>
      </c>
      <c r="H932"/>
      <c r="I932">
        <v>2.5</v>
      </c>
      <c r="J932">
        <v>1.17</v>
      </c>
      <c r="K932">
        <v>0</v>
      </c>
      <c r="L932">
        <v>0</v>
      </c>
      <c r="M932">
        <v>0</v>
      </c>
    </row>
    <row r="933" spans="1:13" x14ac:dyDescent="0.25">
      <c r="A933" t="s">
        <v>976</v>
      </c>
      <c r="B933" s="3">
        <v>45635.953472222223</v>
      </c>
      <c r="C933" s="2" t="s">
        <v>13</v>
      </c>
      <c r="D933" s="2" t="s">
        <v>14</v>
      </c>
      <c r="E933" t="s">
        <v>28</v>
      </c>
      <c r="F933">
        <v>2547.36</v>
      </c>
      <c r="G933" s="2" t="s">
        <v>22</v>
      </c>
      <c r="H933"/>
      <c r="I933">
        <v>2.9</v>
      </c>
      <c r="J933">
        <v>8.7999999999999995E-2</v>
      </c>
      <c r="K933">
        <v>6.5005600000000001</v>
      </c>
      <c r="L933">
        <v>217.66711999999995</v>
      </c>
      <c r="M933">
        <v>224.16767999999996</v>
      </c>
    </row>
    <row r="934" spans="1:13" x14ac:dyDescent="0.25">
      <c r="A934" t="s">
        <v>977</v>
      </c>
      <c r="B934" s="3">
        <v>45635.988888888889</v>
      </c>
      <c r="C934" s="2" t="s">
        <v>13</v>
      </c>
      <c r="D934" s="2" t="s">
        <v>14</v>
      </c>
      <c r="E934" t="s">
        <v>15</v>
      </c>
      <c r="F934">
        <v>3713.92</v>
      </c>
      <c r="G934" s="2" t="s">
        <v>22</v>
      </c>
      <c r="H934"/>
      <c r="I934">
        <v>2.5</v>
      </c>
      <c r="J934">
        <v>8.7999999999999995E-2</v>
      </c>
      <c r="K934">
        <v>8.1707999999999998</v>
      </c>
      <c r="L934">
        <v>318.65415999999999</v>
      </c>
      <c r="M934">
        <v>326.82495999999998</v>
      </c>
    </row>
    <row r="935" spans="1:13" x14ac:dyDescent="0.25">
      <c r="A935" t="s">
        <v>978</v>
      </c>
      <c r="B935" s="3">
        <v>45636.143750000003</v>
      </c>
      <c r="C935" s="2" t="s">
        <v>13</v>
      </c>
      <c r="D935" s="2" t="s">
        <v>14</v>
      </c>
      <c r="E935" t="s">
        <v>28</v>
      </c>
      <c r="F935">
        <v>1980.72</v>
      </c>
      <c r="G935" s="2" t="s">
        <v>22</v>
      </c>
      <c r="H935"/>
      <c r="I935">
        <v>2.9</v>
      </c>
      <c r="J935">
        <v>8.7999999999999995E-2</v>
      </c>
      <c r="K935">
        <v>5.0547199999999997</v>
      </c>
      <c r="L935">
        <v>169.24863999999999</v>
      </c>
      <c r="M935">
        <v>174.30336</v>
      </c>
    </row>
    <row r="936" spans="1:13" x14ac:dyDescent="0.25">
      <c r="A936" t="s">
        <v>979</v>
      </c>
      <c r="B936" s="3">
        <v>45636.197916666664</v>
      </c>
      <c r="C936" s="2" t="s">
        <v>27</v>
      </c>
      <c r="D936" s="2" t="s">
        <v>25</v>
      </c>
      <c r="E936" t="s">
        <v>33</v>
      </c>
      <c r="F936">
        <v>3474.62</v>
      </c>
      <c r="G936" s="2" t="s">
        <v>22</v>
      </c>
      <c r="H936"/>
      <c r="I936">
        <v>1.9</v>
      </c>
      <c r="J936">
        <v>1</v>
      </c>
      <c r="K936">
        <v>66.02</v>
      </c>
      <c r="L936">
        <v>3408.6</v>
      </c>
      <c r="M936">
        <v>3474.62</v>
      </c>
    </row>
    <row r="937" spans="1:13" x14ac:dyDescent="0.25">
      <c r="A937" t="s">
        <v>980</v>
      </c>
      <c r="B937" s="3">
        <v>45636.865972222222</v>
      </c>
      <c r="C937" s="2" t="s">
        <v>37</v>
      </c>
      <c r="D937" s="2" t="s">
        <v>38</v>
      </c>
      <c r="E937" t="s">
        <v>15</v>
      </c>
      <c r="F937">
        <v>3112.99</v>
      </c>
      <c r="G937" s="2" t="s">
        <v>22</v>
      </c>
      <c r="H937"/>
      <c r="I937">
        <v>2.5</v>
      </c>
      <c r="J937">
        <v>0.23</v>
      </c>
      <c r="K937">
        <v>17.898599999999998</v>
      </c>
      <c r="L937">
        <v>698.08910000000003</v>
      </c>
      <c r="M937">
        <v>715.98770000000002</v>
      </c>
    </row>
    <row r="938" spans="1:13" x14ac:dyDescent="0.25">
      <c r="A938" t="s">
        <v>981</v>
      </c>
      <c r="B938" s="3">
        <v>45636.975694444445</v>
      </c>
      <c r="C938" s="2" t="s">
        <v>43</v>
      </c>
      <c r="D938" s="2" t="s">
        <v>25</v>
      </c>
      <c r="E938" t="s">
        <v>33</v>
      </c>
      <c r="F938">
        <v>2528.6</v>
      </c>
      <c r="G938" s="2" t="s">
        <v>22</v>
      </c>
      <c r="H938"/>
      <c r="I938">
        <v>1.9</v>
      </c>
      <c r="J938">
        <v>1</v>
      </c>
      <c r="K938">
        <v>48.04</v>
      </c>
      <c r="L938">
        <v>2480.56</v>
      </c>
      <c r="M938">
        <v>2528.6</v>
      </c>
    </row>
    <row r="939" spans="1:13" x14ac:dyDescent="0.25">
      <c r="A939" t="s">
        <v>982</v>
      </c>
      <c r="B939" s="3">
        <v>45636.988194444442</v>
      </c>
      <c r="C939" s="2" t="s">
        <v>47</v>
      </c>
      <c r="D939" s="2" t="s">
        <v>25</v>
      </c>
      <c r="E939" t="s">
        <v>33</v>
      </c>
      <c r="F939">
        <v>4113.8599999999997</v>
      </c>
      <c r="G939" s="2" t="s">
        <v>22</v>
      </c>
      <c r="H939"/>
      <c r="I939">
        <v>1.9</v>
      </c>
      <c r="J939">
        <v>1</v>
      </c>
      <c r="K939">
        <v>78.16</v>
      </c>
      <c r="L939">
        <v>4035.7</v>
      </c>
      <c r="M939">
        <v>4113.8599999999997</v>
      </c>
    </row>
    <row r="940" spans="1:13" x14ac:dyDescent="0.25">
      <c r="A940" t="s">
        <v>983</v>
      </c>
      <c r="B940" s="3">
        <v>45637.057638888888</v>
      </c>
      <c r="C940" s="2" t="s">
        <v>24</v>
      </c>
      <c r="D940" s="2" t="s">
        <v>25</v>
      </c>
      <c r="E940" t="s">
        <v>28</v>
      </c>
      <c r="F940">
        <v>443.35</v>
      </c>
      <c r="G940" s="2" t="s">
        <v>22</v>
      </c>
      <c r="H940"/>
      <c r="I940">
        <v>2.9</v>
      </c>
      <c r="J940">
        <v>1</v>
      </c>
      <c r="K940">
        <v>12.86</v>
      </c>
      <c r="L940">
        <v>430.49</v>
      </c>
      <c r="M940">
        <v>443.35</v>
      </c>
    </row>
    <row r="941" spans="1:13" x14ac:dyDescent="0.25">
      <c r="A941" t="s">
        <v>984</v>
      </c>
      <c r="B941" s="3">
        <v>45637.3125</v>
      </c>
      <c r="C941" s="2" t="s">
        <v>60</v>
      </c>
      <c r="D941" s="2" t="s">
        <v>25</v>
      </c>
      <c r="E941" t="s">
        <v>33</v>
      </c>
      <c r="F941">
        <v>1646.75</v>
      </c>
      <c r="G941" s="2" t="s">
        <v>17</v>
      </c>
      <c r="H941"/>
      <c r="I941">
        <v>1.9</v>
      </c>
      <c r="J941">
        <v>1</v>
      </c>
      <c r="K941">
        <v>0</v>
      </c>
      <c r="L941">
        <v>0</v>
      </c>
      <c r="M941">
        <v>0</v>
      </c>
    </row>
    <row r="942" spans="1:13" x14ac:dyDescent="0.25">
      <c r="A942" t="s">
        <v>985</v>
      </c>
      <c r="B942" s="3">
        <v>45637.645833333336</v>
      </c>
      <c r="C942" s="2" t="s">
        <v>24</v>
      </c>
      <c r="D942" s="2" t="s">
        <v>25</v>
      </c>
      <c r="E942" t="s">
        <v>33</v>
      </c>
      <c r="F942">
        <v>3239.82</v>
      </c>
      <c r="G942" s="2" t="s">
        <v>34</v>
      </c>
      <c r="H942" t="s">
        <v>78</v>
      </c>
      <c r="I942">
        <v>1.9</v>
      </c>
      <c r="J942">
        <v>1</v>
      </c>
      <c r="K942">
        <v>0</v>
      </c>
      <c r="L942">
        <v>0</v>
      </c>
      <c r="M942">
        <v>0</v>
      </c>
    </row>
    <row r="943" spans="1:13" x14ac:dyDescent="0.25">
      <c r="A943" t="s">
        <v>986</v>
      </c>
      <c r="B943" s="3">
        <v>45638.521527777775</v>
      </c>
      <c r="C943" s="2" t="s">
        <v>27</v>
      </c>
      <c r="D943" s="2" t="s">
        <v>25</v>
      </c>
      <c r="E943" t="s">
        <v>33</v>
      </c>
      <c r="F943">
        <v>3142.79</v>
      </c>
      <c r="G943" s="2" t="s">
        <v>34</v>
      </c>
      <c r="H943" t="s">
        <v>55</v>
      </c>
      <c r="I943">
        <v>1.9</v>
      </c>
      <c r="J943">
        <v>1</v>
      </c>
      <c r="K943">
        <v>0</v>
      </c>
      <c r="L943">
        <v>0</v>
      </c>
      <c r="M943">
        <v>0</v>
      </c>
    </row>
    <row r="944" spans="1:13" x14ac:dyDescent="0.25">
      <c r="A944" t="s">
        <v>987</v>
      </c>
      <c r="B944" s="3">
        <v>45638.684027777781</v>
      </c>
      <c r="C944" s="2" t="s">
        <v>19</v>
      </c>
      <c r="D944" s="2" t="s">
        <v>20</v>
      </c>
      <c r="E944" t="s">
        <v>33</v>
      </c>
      <c r="F944">
        <v>3896.34</v>
      </c>
      <c r="G944" s="2" t="s">
        <v>22</v>
      </c>
      <c r="H944"/>
      <c r="I944">
        <v>1.9</v>
      </c>
      <c r="J944">
        <v>8.7999999999999995E-2</v>
      </c>
      <c r="K944">
        <v>6.51464</v>
      </c>
      <c r="L944">
        <v>336.36327999999997</v>
      </c>
      <c r="M944">
        <v>342.87791999999996</v>
      </c>
    </row>
    <row r="945" spans="1:13" x14ac:dyDescent="0.25">
      <c r="A945" t="s">
        <v>988</v>
      </c>
      <c r="B945" s="3">
        <v>45638.722916666666</v>
      </c>
      <c r="C945" s="2" t="s">
        <v>58</v>
      </c>
      <c r="D945" s="2" t="s">
        <v>25</v>
      </c>
      <c r="E945" t="s">
        <v>44</v>
      </c>
      <c r="F945">
        <v>2508.96</v>
      </c>
      <c r="G945" s="2" t="s">
        <v>22</v>
      </c>
      <c r="H945"/>
      <c r="I945">
        <v>2.1</v>
      </c>
      <c r="J945">
        <v>1</v>
      </c>
      <c r="K945">
        <v>52.69</v>
      </c>
      <c r="L945">
        <v>2456.27</v>
      </c>
      <c r="M945">
        <v>2508.96</v>
      </c>
    </row>
    <row r="946" spans="1:13" x14ac:dyDescent="0.25">
      <c r="A946" t="s">
        <v>989</v>
      </c>
      <c r="B946" s="3">
        <v>45638.896527777775</v>
      </c>
      <c r="C946" s="2" t="s">
        <v>19</v>
      </c>
      <c r="D946" s="2" t="s">
        <v>20</v>
      </c>
      <c r="E946" t="s">
        <v>28</v>
      </c>
      <c r="F946">
        <v>4790.3900000000003</v>
      </c>
      <c r="G946" s="2" t="s">
        <v>34</v>
      </c>
      <c r="H946" t="s">
        <v>62</v>
      </c>
      <c r="I946">
        <v>2.9</v>
      </c>
      <c r="J946">
        <v>8.7999999999999995E-2</v>
      </c>
      <c r="K946">
        <v>0</v>
      </c>
      <c r="L946">
        <v>0</v>
      </c>
      <c r="M946">
        <v>0</v>
      </c>
    </row>
    <row r="947" spans="1:13" x14ac:dyDescent="0.25">
      <c r="A947" t="s">
        <v>990</v>
      </c>
      <c r="B947" s="3">
        <v>45638.924305555556</v>
      </c>
      <c r="C947" s="2" t="s">
        <v>37</v>
      </c>
      <c r="D947" s="2" t="s">
        <v>38</v>
      </c>
      <c r="E947" t="s">
        <v>33</v>
      </c>
      <c r="F947">
        <v>3367.28</v>
      </c>
      <c r="G947" s="2" t="s">
        <v>22</v>
      </c>
      <c r="H947"/>
      <c r="I947">
        <v>1.9</v>
      </c>
      <c r="J947">
        <v>0.23</v>
      </c>
      <c r="K947">
        <v>14.715400000000001</v>
      </c>
      <c r="L947">
        <v>759.75900000000013</v>
      </c>
      <c r="M947">
        <v>774.47440000000017</v>
      </c>
    </row>
    <row r="948" spans="1:13" x14ac:dyDescent="0.25">
      <c r="A948" t="s">
        <v>991</v>
      </c>
      <c r="B948" s="3">
        <v>45639.713194444441</v>
      </c>
      <c r="C948" s="2" t="s">
        <v>47</v>
      </c>
      <c r="D948" s="2" t="s">
        <v>25</v>
      </c>
      <c r="E948" t="s">
        <v>28</v>
      </c>
      <c r="F948">
        <v>3091.43</v>
      </c>
      <c r="G948" s="2" t="s">
        <v>22</v>
      </c>
      <c r="H948"/>
      <c r="I948">
        <v>2.9</v>
      </c>
      <c r="J948">
        <v>1</v>
      </c>
      <c r="K948">
        <v>89.65</v>
      </c>
      <c r="L948">
        <v>3001.78</v>
      </c>
      <c r="M948">
        <v>3091.4300000000003</v>
      </c>
    </row>
    <row r="949" spans="1:13" x14ac:dyDescent="0.25">
      <c r="A949" t="s">
        <v>992</v>
      </c>
      <c r="B949" s="3">
        <v>45639.900694444441</v>
      </c>
      <c r="C949" s="2" t="s">
        <v>43</v>
      </c>
      <c r="D949" s="2" t="s">
        <v>25</v>
      </c>
      <c r="E949" t="s">
        <v>33</v>
      </c>
      <c r="F949">
        <v>236.63</v>
      </c>
      <c r="G949" s="2" t="s">
        <v>34</v>
      </c>
      <c r="H949" t="s">
        <v>100</v>
      </c>
      <c r="I949">
        <v>1.9</v>
      </c>
      <c r="J949">
        <v>1</v>
      </c>
      <c r="K949">
        <v>0</v>
      </c>
      <c r="L949">
        <v>0</v>
      </c>
      <c r="M949">
        <v>0</v>
      </c>
    </row>
    <row r="950" spans="1:13" x14ac:dyDescent="0.25">
      <c r="A950" t="s">
        <v>993</v>
      </c>
      <c r="B950" s="3">
        <v>45640.293055555558</v>
      </c>
      <c r="C950" s="2" t="s">
        <v>19</v>
      </c>
      <c r="D950" s="2" t="s">
        <v>20</v>
      </c>
      <c r="E950" t="s">
        <v>28</v>
      </c>
      <c r="F950">
        <v>104.5</v>
      </c>
      <c r="G950" s="2" t="s">
        <v>22</v>
      </c>
      <c r="H950"/>
      <c r="I950">
        <v>2.9</v>
      </c>
      <c r="J950">
        <v>8.7999999999999995E-2</v>
      </c>
      <c r="K950">
        <v>0.26663999999999999</v>
      </c>
      <c r="L950">
        <v>8.9293599999999991</v>
      </c>
      <c r="M950">
        <v>9.1959999999999997</v>
      </c>
    </row>
    <row r="951" spans="1:13" x14ac:dyDescent="0.25">
      <c r="A951" t="s">
        <v>994</v>
      </c>
      <c r="B951" s="3">
        <v>45640.533333333333</v>
      </c>
      <c r="C951" s="2" t="s">
        <v>24</v>
      </c>
      <c r="D951" s="2" t="s">
        <v>25</v>
      </c>
      <c r="E951" t="s">
        <v>15</v>
      </c>
      <c r="F951">
        <v>3921.1</v>
      </c>
      <c r="G951" s="2" t="s">
        <v>34</v>
      </c>
      <c r="H951" t="s">
        <v>35</v>
      </c>
      <c r="I951">
        <v>2.5</v>
      </c>
      <c r="J951">
        <v>1</v>
      </c>
      <c r="K951">
        <v>0</v>
      </c>
      <c r="L951">
        <v>0</v>
      </c>
      <c r="M951">
        <v>0</v>
      </c>
    </row>
    <row r="952" spans="1:13" x14ac:dyDescent="0.25">
      <c r="A952" t="s">
        <v>995</v>
      </c>
      <c r="B952" s="3">
        <v>45640.963194444441</v>
      </c>
      <c r="C952" s="2" t="s">
        <v>13</v>
      </c>
      <c r="D952" s="2" t="s">
        <v>14</v>
      </c>
      <c r="E952" t="s">
        <v>39</v>
      </c>
      <c r="F952">
        <v>566.65</v>
      </c>
      <c r="G952" s="2" t="s">
        <v>34</v>
      </c>
      <c r="H952" t="s">
        <v>35</v>
      </c>
      <c r="I952">
        <v>3.2</v>
      </c>
      <c r="J952">
        <v>8.7999999999999995E-2</v>
      </c>
      <c r="K952">
        <v>0</v>
      </c>
      <c r="L952">
        <v>0</v>
      </c>
      <c r="M952">
        <v>0</v>
      </c>
    </row>
    <row r="953" spans="1:13" x14ac:dyDescent="0.25">
      <c r="A953" t="s">
        <v>996</v>
      </c>
      <c r="B953" s="3">
        <v>45641.271527777775</v>
      </c>
      <c r="C953" s="2" t="s">
        <v>24</v>
      </c>
      <c r="D953" s="2" t="s">
        <v>25</v>
      </c>
      <c r="E953" t="s">
        <v>44</v>
      </c>
      <c r="F953">
        <v>4364.99</v>
      </c>
      <c r="G953" s="2" t="s">
        <v>22</v>
      </c>
      <c r="H953"/>
      <c r="I953">
        <v>2.1</v>
      </c>
      <c r="J953">
        <v>1</v>
      </c>
      <c r="K953">
        <v>91.66</v>
      </c>
      <c r="L953">
        <v>4273.33</v>
      </c>
      <c r="M953">
        <v>4364.99</v>
      </c>
    </row>
    <row r="954" spans="1:13" x14ac:dyDescent="0.25">
      <c r="A954" t="s">
        <v>997</v>
      </c>
      <c r="B954" s="3">
        <v>45641.313194444447</v>
      </c>
      <c r="C954" s="2" t="s">
        <v>19</v>
      </c>
      <c r="D954" s="2" t="s">
        <v>20</v>
      </c>
      <c r="E954" t="s">
        <v>44</v>
      </c>
      <c r="F954">
        <v>2311.14</v>
      </c>
      <c r="G954" s="2" t="s">
        <v>22</v>
      </c>
      <c r="H954"/>
      <c r="I954">
        <v>2.1</v>
      </c>
      <c r="J954">
        <v>8.7999999999999995E-2</v>
      </c>
      <c r="K954">
        <v>4.2706400000000002</v>
      </c>
      <c r="L954">
        <v>199.10968</v>
      </c>
      <c r="M954">
        <v>203.38031999999998</v>
      </c>
    </row>
    <row r="955" spans="1:13" x14ac:dyDescent="0.25">
      <c r="A955" t="s">
        <v>998</v>
      </c>
      <c r="B955" s="3">
        <v>45641.55</v>
      </c>
      <c r="C955" s="2" t="s">
        <v>27</v>
      </c>
      <c r="D955" s="2" t="s">
        <v>25</v>
      </c>
      <c r="E955" t="s">
        <v>33</v>
      </c>
      <c r="F955">
        <v>1605.55</v>
      </c>
      <c r="G955" s="2" t="s">
        <v>22</v>
      </c>
      <c r="H955"/>
      <c r="I955">
        <v>1.9</v>
      </c>
      <c r="J955">
        <v>1</v>
      </c>
      <c r="K955">
        <v>30.51</v>
      </c>
      <c r="L955">
        <v>1575.04</v>
      </c>
      <c r="M955">
        <v>1605.55</v>
      </c>
    </row>
    <row r="956" spans="1:13" x14ac:dyDescent="0.25">
      <c r="A956" t="s">
        <v>999</v>
      </c>
      <c r="B956" s="3">
        <v>45642.11041666667</v>
      </c>
      <c r="C956" s="2" t="s">
        <v>37</v>
      </c>
      <c r="D956" s="2" t="s">
        <v>38</v>
      </c>
      <c r="E956" t="s">
        <v>28</v>
      </c>
      <c r="F956">
        <v>4727.16</v>
      </c>
      <c r="G956" s="2" t="s">
        <v>22</v>
      </c>
      <c r="H956"/>
      <c r="I956">
        <v>2.9</v>
      </c>
      <c r="J956">
        <v>0.23</v>
      </c>
      <c r="K956">
        <v>31.530700000000003</v>
      </c>
      <c r="L956">
        <v>1055.7160999999999</v>
      </c>
      <c r="M956">
        <v>1087.2467999999999</v>
      </c>
    </row>
    <row r="957" spans="1:13" x14ac:dyDescent="0.25">
      <c r="A957" t="s">
        <v>1000</v>
      </c>
      <c r="B957" s="3">
        <v>45642.464583333334</v>
      </c>
      <c r="C957" s="2" t="s">
        <v>31</v>
      </c>
      <c r="D957" s="2" t="s">
        <v>32</v>
      </c>
      <c r="E957" t="s">
        <v>28</v>
      </c>
      <c r="F957">
        <v>1222.81</v>
      </c>
      <c r="G957" s="2" t="s">
        <v>17</v>
      </c>
      <c r="H957"/>
      <c r="I957">
        <v>2.9</v>
      </c>
      <c r="J957">
        <v>1.17</v>
      </c>
      <c r="K957">
        <v>0</v>
      </c>
      <c r="L957">
        <v>0</v>
      </c>
      <c r="M957">
        <v>0</v>
      </c>
    </row>
    <row r="958" spans="1:13" x14ac:dyDescent="0.25">
      <c r="A958" t="s">
        <v>1001</v>
      </c>
      <c r="B958" s="3">
        <v>45642.646527777775</v>
      </c>
      <c r="C958" s="2" t="s">
        <v>27</v>
      </c>
      <c r="D958" s="2" t="s">
        <v>25</v>
      </c>
      <c r="E958" t="s">
        <v>44</v>
      </c>
      <c r="F958">
        <v>279.60000000000002</v>
      </c>
      <c r="G958" s="2" t="s">
        <v>22</v>
      </c>
      <c r="H958"/>
      <c r="I958">
        <v>2.1</v>
      </c>
      <c r="J958">
        <v>1</v>
      </c>
      <c r="K958">
        <v>5.87</v>
      </c>
      <c r="L958">
        <v>273.73</v>
      </c>
      <c r="M958">
        <v>279.60000000000002</v>
      </c>
    </row>
    <row r="959" spans="1:13" x14ac:dyDescent="0.25">
      <c r="A959" t="s">
        <v>1002</v>
      </c>
      <c r="B959" s="3">
        <v>45642.73333333333</v>
      </c>
      <c r="C959" s="2" t="s">
        <v>43</v>
      </c>
      <c r="D959" s="2" t="s">
        <v>25</v>
      </c>
      <c r="E959" t="s">
        <v>15</v>
      </c>
      <c r="F959">
        <v>4273.21</v>
      </c>
      <c r="G959" s="2" t="s">
        <v>17</v>
      </c>
      <c r="H959"/>
      <c r="I959">
        <v>2.5</v>
      </c>
      <c r="J959">
        <v>1</v>
      </c>
      <c r="K959">
        <v>0</v>
      </c>
      <c r="L959">
        <v>0</v>
      </c>
      <c r="M959">
        <v>0</v>
      </c>
    </row>
    <row r="960" spans="1:13" x14ac:dyDescent="0.25">
      <c r="A960" t="s">
        <v>1003</v>
      </c>
      <c r="B960" s="3">
        <v>45642.997916666667</v>
      </c>
      <c r="C960" s="2" t="s">
        <v>27</v>
      </c>
      <c r="D960" s="2" t="s">
        <v>25</v>
      </c>
      <c r="E960" t="s">
        <v>15</v>
      </c>
      <c r="F960">
        <v>573.55999999999995</v>
      </c>
      <c r="G960" s="2" t="s">
        <v>34</v>
      </c>
      <c r="H960" t="s">
        <v>55</v>
      </c>
      <c r="I960">
        <v>2.5</v>
      </c>
      <c r="J960">
        <v>1</v>
      </c>
      <c r="K960">
        <v>0</v>
      </c>
      <c r="L960">
        <v>0</v>
      </c>
      <c r="M960">
        <v>0</v>
      </c>
    </row>
    <row r="961" spans="1:13" x14ac:dyDescent="0.25">
      <c r="A961" t="s">
        <v>1004</v>
      </c>
      <c r="B961" s="3">
        <v>45643.146527777775</v>
      </c>
      <c r="C961" s="2" t="s">
        <v>43</v>
      </c>
      <c r="D961" s="2" t="s">
        <v>25</v>
      </c>
      <c r="E961" t="s">
        <v>28</v>
      </c>
      <c r="F961">
        <v>1617.34</v>
      </c>
      <c r="G961" s="2" t="s">
        <v>22</v>
      </c>
      <c r="H961"/>
      <c r="I961">
        <v>2.9</v>
      </c>
      <c r="J961">
        <v>1</v>
      </c>
      <c r="K961">
        <v>46.9</v>
      </c>
      <c r="L961">
        <v>1570.44</v>
      </c>
      <c r="M961">
        <v>1617.3400000000001</v>
      </c>
    </row>
    <row r="962" spans="1:13" x14ac:dyDescent="0.25">
      <c r="A962" t="s">
        <v>1005</v>
      </c>
      <c r="B962" s="3">
        <v>45643.167361111111</v>
      </c>
      <c r="C962" s="2" t="s">
        <v>43</v>
      </c>
      <c r="D962" s="2" t="s">
        <v>25</v>
      </c>
      <c r="E962" t="s">
        <v>39</v>
      </c>
      <c r="F962">
        <v>446.73</v>
      </c>
      <c r="G962" s="2" t="s">
        <v>22</v>
      </c>
      <c r="H962"/>
      <c r="I962">
        <v>3.2</v>
      </c>
      <c r="J962">
        <v>1</v>
      </c>
      <c r="K962">
        <v>14.3</v>
      </c>
      <c r="L962">
        <v>432.43</v>
      </c>
      <c r="M962">
        <v>446.73</v>
      </c>
    </row>
    <row r="963" spans="1:13" x14ac:dyDescent="0.25">
      <c r="A963" t="s">
        <v>1006</v>
      </c>
      <c r="B963" s="3">
        <v>45643.28125</v>
      </c>
      <c r="C963" s="2" t="s">
        <v>58</v>
      </c>
      <c r="D963" s="2" t="s">
        <v>25</v>
      </c>
      <c r="E963" t="s">
        <v>15</v>
      </c>
      <c r="F963">
        <v>1288.57</v>
      </c>
      <c r="G963" s="2" t="s">
        <v>22</v>
      </c>
      <c r="H963"/>
      <c r="I963">
        <v>2.5</v>
      </c>
      <c r="J963">
        <v>1</v>
      </c>
      <c r="K963">
        <v>32.21</v>
      </c>
      <c r="L963">
        <v>1256.3599999999999</v>
      </c>
      <c r="M963">
        <v>1288.57</v>
      </c>
    </row>
    <row r="964" spans="1:13" x14ac:dyDescent="0.25">
      <c r="A964" t="s">
        <v>1007</v>
      </c>
      <c r="B964" s="3">
        <v>45643.736111111109</v>
      </c>
      <c r="C964" s="2" t="s">
        <v>43</v>
      </c>
      <c r="D964" s="2" t="s">
        <v>25</v>
      </c>
      <c r="E964" t="s">
        <v>39</v>
      </c>
      <c r="F964">
        <v>1507.97</v>
      </c>
      <c r="G964" s="2" t="s">
        <v>22</v>
      </c>
      <c r="H964"/>
      <c r="I964">
        <v>3.2</v>
      </c>
      <c r="J964">
        <v>1</v>
      </c>
      <c r="K964">
        <v>48.26</v>
      </c>
      <c r="L964">
        <v>1459.71</v>
      </c>
      <c r="M964">
        <v>1507.97</v>
      </c>
    </row>
    <row r="965" spans="1:13" x14ac:dyDescent="0.25">
      <c r="A965" t="s">
        <v>1008</v>
      </c>
      <c r="B965" s="3">
        <v>45643.829861111109</v>
      </c>
      <c r="C965" s="2" t="s">
        <v>31</v>
      </c>
      <c r="D965" s="2" t="s">
        <v>32</v>
      </c>
      <c r="E965" t="s">
        <v>39</v>
      </c>
      <c r="F965">
        <v>4447.04</v>
      </c>
      <c r="G965" s="2" t="s">
        <v>22</v>
      </c>
      <c r="H965"/>
      <c r="I965">
        <v>3.2</v>
      </c>
      <c r="J965">
        <v>1.17</v>
      </c>
      <c r="K965">
        <v>166.5027</v>
      </c>
      <c r="L965">
        <v>5036.5340999999989</v>
      </c>
      <c r="M965">
        <v>5203.0367999999989</v>
      </c>
    </row>
    <row r="966" spans="1:13" x14ac:dyDescent="0.25">
      <c r="A966" t="s">
        <v>1009</v>
      </c>
      <c r="B966" s="3">
        <v>45645.037499999999</v>
      </c>
      <c r="C966" s="2" t="s">
        <v>47</v>
      </c>
      <c r="D966" s="2" t="s">
        <v>25</v>
      </c>
      <c r="E966" t="s">
        <v>44</v>
      </c>
      <c r="F966">
        <v>3038.57</v>
      </c>
      <c r="G966" s="2" t="s">
        <v>22</v>
      </c>
      <c r="H966"/>
      <c r="I966">
        <v>2.1</v>
      </c>
      <c r="J966">
        <v>1</v>
      </c>
      <c r="K966">
        <v>63.81</v>
      </c>
      <c r="L966">
        <v>2974.76</v>
      </c>
      <c r="M966">
        <v>3038.57</v>
      </c>
    </row>
    <row r="967" spans="1:13" x14ac:dyDescent="0.25">
      <c r="A967" t="s">
        <v>1010</v>
      </c>
      <c r="B967" s="3">
        <v>45645.439583333333</v>
      </c>
      <c r="C967" s="2" t="s">
        <v>60</v>
      </c>
      <c r="D967" s="2" t="s">
        <v>25</v>
      </c>
      <c r="E967" t="s">
        <v>39</v>
      </c>
      <c r="F967">
        <v>3766.91</v>
      </c>
      <c r="G967" s="2" t="s">
        <v>17</v>
      </c>
      <c r="H967"/>
      <c r="I967">
        <v>3.2</v>
      </c>
      <c r="J967">
        <v>1</v>
      </c>
      <c r="K967">
        <v>0</v>
      </c>
      <c r="L967">
        <v>0</v>
      </c>
      <c r="M967">
        <v>0</v>
      </c>
    </row>
    <row r="968" spans="1:13" x14ac:dyDescent="0.25">
      <c r="A968" t="s">
        <v>1011</v>
      </c>
      <c r="B968" s="3">
        <v>45645.467361111114</v>
      </c>
      <c r="C968" s="2" t="s">
        <v>43</v>
      </c>
      <c r="D968" s="2" t="s">
        <v>25</v>
      </c>
      <c r="E968" t="s">
        <v>15</v>
      </c>
      <c r="F968">
        <v>4278.7</v>
      </c>
      <c r="G968" s="2" t="s">
        <v>22</v>
      </c>
      <c r="H968"/>
      <c r="I968">
        <v>2.5</v>
      </c>
      <c r="J968">
        <v>1</v>
      </c>
      <c r="K968">
        <v>106.97</v>
      </c>
      <c r="L968">
        <v>4171.7299999999996</v>
      </c>
      <c r="M968">
        <v>4278.7</v>
      </c>
    </row>
    <row r="969" spans="1:13" x14ac:dyDescent="0.25">
      <c r="A969" t="s">
        <v>1012</v>
      </c>
      <c r="B969" s="3">
        <v>45645.706250000003</v>
      </c>
      <c r="C969" s="2" t="s">
        <v>27</v>
      </c>
      <c r="D969" s="2" t="s">
        <v>25</v>
      </c>
      <c r="E969" t="s">
        <v>15</v>
      </c>
      <c r="F969">
        <v>461.3</v>
      </c>
      <c r="G969" s="2" t="s">
        <v>17</v>
      </c>
      <c r="H969"/>
      <c r="I969">
        <v>2.5</v>
      </c>
      <c r="J969">
        <v>1</v>
      </c>
      <c r="K969">
        <v>0</v>
      </c>
      <c r="L969">
        <v>0</v>
      </c>
      <c r="M969">
        <v>0</v>
      </c>
    </row>
    <row r="970" spans="1:13" x14ac:dyDescent="0.25">
      <c r="A970" t="s">
        <v>1013</v>
      </c>
      <c r="B970" s="3">
        <v>45645.905555555553</v>
      </c>
      <c r="C970" s="2" t="s">
        <v>58</v>
      </c>
      <c r="D970" s="2" t="s">
        <v>25</v>
      </c>
      <c r="E970" t="s">
        <v>39</v>
      </c>
      <c r="F970">
        <v>634.20000000000005</v>
      </c>
      <c r="G970" s="2" t="s">
        <v>22</v>
      </c>
      <c r="H970"/>
      <c r="I970">
        <v>3.2</v>
      </c>
      <c r="J970">
        <v>1</v>
      </c>
      <c r="K970">
        <v>20.29</v>
      </c>
      <c r="L970">
        <v>613.91</v>
      </c>
      <c r="M970">
        <v>634.19999999999993</v>
      </c>
    </row>
    <row r="971" spans="1:13" x14ac:dyDescent="0.25">
      <c r="A971" t="s">
        <v>1014</v>
      </c>
      <c r="B971" s="3">
        <v>45646.82708333333</v>
      </c>
      <c r="C971" s="2" t="s">
        <v>27</v>
      </c>
      <c r="D971" s="2" t="s">
        <v>25</v>
      </c>
      <c r="E971" t="s">
        <v>15</v>
      </c>
      <c r="F971">
        <v>2060.1799999999998</v>
      </c>
      <c r="G971" s="2" t="s">
        <v>22</v>
      </c>
      <c r="H971"/>
      <c r="I971">
        <v>2.5</v>
      </c>
      <c r="J971">
        <v>1</v>
      </c>
      <c r="K971">
        <v>51.5</v>
      </c>
      <c r="L971">
        <v>2008.68</v>
      </c>
      <c r="M971">
        <v>2060.1800000000003</v>
      </c>
    </row>
    <row r="972" spans="1:13" x14ac:dyDescent="0.25">
      <c r="A972" t="s">
        <v>1015</v>
      </c>
      <c r="B972" s="3">
        <v>45647.347916666666</v>
      </c>
      <c r="C972" s="2" t="s">
        <v>13</v>
      </c>
      <c r="D972" s="2" t="s">
        <v>14</v>
      </c>
      <c r="E972" t="s">
        <v>15</v>
      </c>
      <c r="F972">
        <v>1057.1300000000001</v>
      </c>
      <c r="G972" s="2" t="s">
        <v>22</v>
      </c>
      <c r="H972"/>
      <c r="I972">
        <v>2.5</v>
      </c>
      <c r="J972">
        <v>8.7999999999999995E-2</v>
      </c>
      <c r="K972">
        <v>2.3258399999999999</v>
      </c>
      <c r="L972">
        <v>90.701599999999999</v>
      </c>
      <c r="M972">
        <v>93.027439999999999</v>
      </c>
    </row>
    <row r="973" spans="1:13" x14ac:dyDescent="0.25">
      <c r="A973" t="s">
        <v>1016</v>
      </c>
      <c r="B973" s="3">
        <v>45647.756249999999</v>
      </c>
      <c r="C973" s="2" t="s">
        <v>19</v>
      </c>
      <c r="D973" s="2" t="s">
        <v>20</v>
      </c>
      <c r="E973" t="s">
        <v>33</v>
      </c>
      <c r="F973">
        <v>4040.42</v>
      </c>
      <c r="G973" s="2" t="s">
        <v>34</v>
      </c>
      <c r="H973" t="s">
        <v>35</v>
      </c>
      <c r="I973">
        <v>1.9</v>
      </c>
      <c r="J973">
        <v>8.7999999999999995E-2</v>
      </c>
      <c r="K973">
        <v>0</v>
      </c>
      <c r="L973">
        <v>0</v>
      </c>
      <c r="M973">
        <v>0</v>
      </c>
    </row>
    <row r="974" spans="1:13" x14ac:dyDescent="0.25">
      <c r="A974" t="s">
        <v>1017</v>
      </c>
      <c r="B974" s="3">
        <v>45647.945833333331</v>
      </c>
      <c r="C974" s="2" t="s">
        <v>60</v>
      </c>
      <c r="D974" s="2" t="s">
        <v>25</v>
      </c>
      <c r="E974" t="s">
        <v>15</v>
      </c>
      <c r="F974">
        <v>4531.1400000000003</v>
      </c>
      <c r="G974" s="2" t="s">
        <v>17</v>
      </c>
      <c r="H974"/>
      <c r="I974">
        <v>2.5</v>
      </c>
      <c r="J974">
        <v>1</v>
      </c>
      <c r="K974">
        <v>0</v>
      </c>
      <c r="L974">
        <v>0</v>
      </c>
      <c r="M974">
        <v>0</v>
      </c>
    </row>
    <row r="975" spans="1:13" x14ac:dyDescent="0.25">
      <c r="A975" t="s">
        <v>1018</v>
      </c>
      <c r="B975" s="3">
        <v>45648.2</v>
      </c>
      <c r="C975" s="2" t="s">
        <v>43</v>
      </c>
      <c r="D975" s="2" t="s">
        <v>25</v>
      </c>
      <c r="E975" t="s">
        <v>15</v>
      </c>
      <c r="F975">
        <v>36.200000000000003</v>
      </c>
      <c r="G975" s="2" t="s">
        <v>22</v>
      </c>
      <c r="H975"/>
      <c r="I975">
        <v>2.5</v>
      </c>
      <c r="J975">
        <v>1</v>
      </c>
      <c r="K975">
        <v>0.91</v>
      </c>
      <c r="L975">
        <v>35.29</v>
      </c>
      <c r="M975">
        <v>36.199999999999996</v>
      </c>
    </row>
    <row r="976" spans="1:13" x14ac:dyDescent="0.25">
      <c r="A976" t="s">
        <v>1019</v>
      </c>
      <c r="B976" s="3">
        <v>45648.399305555555</v>
      </c>
      <c r="C976" s="2" t="s">
        <v>27</v>
      </c>
      <c r="D976" s="2" t="s">
        <v>25</v>
      </c>
      <c r="E976" t="s">
        <v>44</v>
      </c>
      <c r="F976">
        <v>3328</v>
      </c>
      <c r="G976" s="2" t="s">
        <v>34</v>
      </c>
      <c r="H976" t="s">
        <v>35</v>
      </c>
      <c r="I976">
        <v>2.1</v>
      </c>
      <c r="J976">
        <v>1</v>
      </c>
      <c r="K976">
        <v>0</v>
      </c>
      <c r="L976">
        <v>0</v>
      </c>
      <c r="M976">
        <v>0</v>
      </c>
    </row>
    <row r="977" spans="1:13" x14ac:dyDescent="0.25">
      <c r="A977" t="s">
        <v>1020</v>
      </c>
      <c r="B977" s="3">
        <v>45648.412499999999</v>
      </c>
      <c r="C977" s="2" t="s">
        <v>19</v>
      </c>
      <c r="D977" s="2" t="s">
        <v>20</v>
      </c>
      <c r="E977" t="s">
        <v>28</v>
      </c>
      <c r="F977">
        <v>3915.35</v>
      </c>
      <c r="G977" s="2" t="s">
        <v>22</v>
      </c>
      <c r="H977"/>
      <c r="I977">
        <v>2.9</v>
      </c>
      <c r="J977">
        <v>8.7999999999999995E-2</v>
      </c>
      <c r="K977">
        <v>9.9923999999999999</v>
      </c>
      <c r="L977">
        <v>334.55840000000001</v>
      </c>
      <c r="M977">
        <v>344.55079999999998</v>
      </c>
    </row>
    <row r="978" spans="1:13" x14ac:dyDescent="0.25">
      <c r="A978" t="s">
        <v>1021</v>
      </c>
      <c r="B978" s="3">
        <v>45648.832638888889</v>
      </c>
      <c r="C978" s="2" t="s">
        <v>58</v>
      </c>
      <c r="D978" s="2" t="s">
        <v>25</v>
      </c>
      <c r="E978" t="s">
        <v>33</v>
      </c>
      <c r="F978">
        <v>2277.4299999999998</v>
      </c>
      <c r="G978" s="2" t="s">
        <v>34</v>
      </c>
      <c r="H978" t="s">
        <v>100</v>
      </c>
      <c r="I978">
        <v>1.9</v>
      </c>
      <c r="J978">
        <v>1</v>
      </c>
      <c r="K978">
        <v>0</v>
      </c>
      <c r="L978">
        <v>0</v>
      </c>
      <c r="M978">
        <v>0</v>
      </c>
    </row>
    <row r="979" spans="1:13" x14ac:dyDescent="0.25">
      <c r="A979" t="s">
        <v>1022</v>
      </c>
      <c r="B979" s="3">
        <v>45649.194444444445</v>
      </c>
      <c r="C979" s="2" t="s">
        <v>43</v>
      </c>
      <c r="D979" s="2" t="s">
        <v>25</v>
      </c>
      <c r="E979" t="s">
        <v>28</v>
      </c>
      <c r="F979">
        <v>2874.58</v>
      </c>
      <c r="G979" s="2" t="s">
        <v>34</v>
      </c>
      <c r="H979" t="s">
        <v>55</v>
      </c>
      <c r="I979">
        <v>2.9</v>
      </c>
      <c r="J979">
        <v>1</v>
      </c>
      <c r="K979">
        <v>0</v>
      </c>
      <c r="L979">
        <v>0</v>
      </c>
      <c r="M979">
        <v>0</v>
      </c>
    </row>
    <row r="980" spans="1:13" x14ac:dyDescent="0.25">
      <c r="A980" t="s">
        <v>1023</v>
      </c>
      <c r="B980" s="3">
        <v>45649.49722222222</v>
      </c>
      <c r="C980" s="2" t="s">
        <v>58</v>
      </c>
      <c r="D980" s="2" t="s">
        <v>25</v>
      </c>
      <c r="E980" t="s">
        <v>44</v>
      </c>
      <c r="F980">
        <v>430.56</v>
      </c>
      <c r="G980" s="2" t="s">
        <v>17</v>
      </c>
      <c r="H980"/>
      <c r="I980">
        <v>2.1</v>
      </c>
      <c r="J980">
        <v>1</v>
      </c>
      <c r="K980">
        <v>0</v>
      </c>
      <c r="L980">
        <v>0</v>
      </c>
      <c r="M980">
        <v>0</v>
      </c>
    </row>
    <row r="981" spans="1:13" x14ac:dyDescent="0.25">
      <c r="A981" t="s">
        <v>1024</v>
      </c>
      <c r="B981" s="3">
        <v>45649.757638888892</v>
      </c>
      <c r="C981" s="2" t="s">
        <v>43</v>
      </c>
      <c r="D981" s="2" t="s">
        <v>25</v>
      </c>
      <c r="E981" t="s">
        <v>28</v>
      </c>
      <c r="F981">
        <v>4175.3599999999997</v>
      </c>
      <c r="G981" s="2" t="s">
        <v>34</v>
      </c>
      <c r="H981" t="s">
        <v>55</v>
      </c>
      <c r="I981">
        <v>2.9</v>
      </c>
      <c r="J981">
        <v>1</v>
      </c>
      <c r="K981">
        <v>0</v>
      </c>
      <c r="L981">
        <v>0</v>
      </c>
      <c r="M981">
        <v>0</v>
      </c>
    </row>
    <row r="982" spans="1:13" x14ac:dyDescent="0.25">
      <c r="A982" t="s">
        <v>1025</v>
      </c>
      <c r="B982" s="3">
        <v>45650.34375</v>
      </c>
      <c r="C982" s="2" t="s">
        <v>47</v>
      </c>
      <c r="D982" s="2" t="s">
        <v>25</v>
      </c>
      <c r="E982" t="s">
        <v>28</v>
      </c>
      <c r="F982">
        <v>3371.75</v>
      </c>
      <c r="G982" s="2" t="s">
        <v>22</v>
      </c>
      <c r="H982"/>
      <c r="I982">
        <v>2.9</v>
      </c>
      <c r="J982">
        <v>1</v>
      </c>
      <c r="K982">
        <v>97.78</v>
      </c>
      <c r="L982">
        <v>3273.97</v>
      </c>
      <c r="M982">
        <v>3371.75</v>
      </c>
    </row>
    <row r="983" spans="1:13" x14ac:dyDescent="0.25">
      <c r="A983" t="s">
        <v>1026</v>
      </c>
      <c r="B983" s="3">
        <v>45651.90347222222</v>
      </c>
      <c r="C983" s="2" t="s">
        <v>31</v>
      </c>
      <c r="D983" s="2" t="s">
        <v>32</v>
      </c>
      <c r="E983" t="s">
        <v>33</v>
      </c>
      <c r="F983">
        <v>2675.36</v>
      </c>
      <c r="G983" s="2" t="s">
        <v>22</v>
      </c>
      <c r="H983"/>
      <c r="I983">
        <v>1.9</v>
      </c>
      <c r="J983">
        <v>1.17</v>
      </c>
      <c r="K983">
        <v>59.471099999999993</v>
      </c>
      <c r="L983">
        <v>3070.7001</v>
      </c>
      <c r="M983">
        <v>3130.1712000000002</v>
      </c>
    </row>
    <row r="984" spans="1:13" x14ac:dyDescent="0.25">
      <c r="A984" t="s">
        <v>1027</v>
      </c>
      <c r="B984" s="3">
        <v>45652.280555555553</v>
      </c>
      <c r="C984" s="2" t="s">
        <v>43</v>
      </c>
      <c r="D984" s="2" t="s">
        <v>25</v>
      </c>
      <c r="E984" t="s">
        <v>39</v>
      </c>
      <c r="F984">
        <v>1750.53</v>
      </c>
      <c r="G984" s="2" t="s">
        <v>22</v>
      </c>
      <c r="H984"/>
      <c r="I984">
        <v>3.2</v>
      </c>
      <c r="J984">
        <v>1</v>
      </c>
      <c r="K984">
        <v>56.02</v>
      </c>
      <c r="L984">
        <v>1694.51</v>
      </c>
      <c r="M984">
        <v>1750.53</v>
      </c>
    </row>
    <row r="985" spans="1:13" x14ac:dyDescent="0.25">
      <c r="A985" t="s">
        <v>1028</v>
      </c>
      <c r="B985" s="3">
        <v>45652.387499999997</v>
      </c>
      <c r="C985" s="2" t="s">
        <v>19</v>
      </c>
      <c r="D985" s="2" t="s">
        <v>20</v>
      </c>
      <c r="E985" t="s">
        <v>39</v>
      </c>
      <c r="F985">
        <v>4927.59</v>
      </c>
      <c r="G985" s="2" t="s">
        <v>22</v>
      </c>
      <c r="H985"/>
      <c r="I985">
        <v>3.2</v>
      </c>
      <c r="J985">
        <v>8.7999999999999995E-2</v>
      </c>
      <c r="K985">
        <v>13.87584</v>
      </c>
      <c r="L985">
        <v>419.75207999999998</v>
      </c>
      <c r="M985">
        <v>433.62791999999996</v>
      </c>
    </row>
    <row r="986" spans="1:13" x14ac:dyDescent="0.25">
      <c r="A986" t="s">
        <v>1029</v>
      </c>
      <c r="B986" s="3">
        <v>45652.507638888892</v>
      </c>
      <c r="C986" s="2" t="s">
        <v>37</v>
      </c>
      <c r="D986" s="2" t="s">
        <v>38</v>
      </c>
      <c r="E986" t="s">
        <v>15</v>
      </c>
      <c r="F986">
        <v>4303.3100000000004</v>
      </c>
      <c r="G986" s="2" t="s">
        <v>22</v>
      </c>
      <c r="H986"/>
      <c r="I986">
        <v>2.5</v>
      </c>
      <c r="J986">
        <v>0.23</v>
      </c>
      <c r="K986">
        <v>24.743400000000001</v>
      </c>
      <c r="L986">
        <v>965.01789999999994</v>
      </c>
      <c r="M986">
        <v>989.76129999999989</v>
      </c>
    </row>
    <row r="987" spans="1:13" x14ac:dyDescent="0.25">
      <c r="A987" t="s">
        <v>1030</v>
      </c>
      <c r="B987" s="3">
        <v>45652.620833333334</v>
      </c>
      <c r="C987" s="2" t="s">
        <v>19</v>
      </c>
      <c r="D987" s="2" t="s">
        <v>20</v>
      </c>
      <c r="E987" t="s">
        <v>33</v>
      </c>
      <c r="F987">
        <v>4882.34</v>
      </c>
      <c r="G987" s="2" t="s">
        <v>34</v>
      </c>
      <c r="H987" t="s">
        <v>35</v>
      </c>
      <c r="I987">
        <v>1.9</v>
      </c>
      <c r="J987">
        <v>8.7999999999999995E-2</v>
      </c>
      <c r="K987">
        <v>0</v>
      </c>
      <c r="L987">
        <v>0</v>
      </c>
      <c r="M987">
        <v>0</v>
      </c>
    </row>
    <row r="988" spans="1:13" x14ac:dyDescent="0.25">
      <c r="A988" t="s">
        <v>1031</v>
      </c>
      <c r="B988" s="3">
        <v>45653.189583333333</v>
      </c>
      <c r="C988" s="2" t="s">
        <v>24</v>
      </c>
      <c r="D988" s="2" t="s">
        <v>25</v>
      </c>
      <c r="E988" t="s">
        <v>33</v>
      </c>
      <c r="F988">
        <v>4990.63</v>
      </c>
      <c r="G988" s="2" t="s">
        <v>34</v>
      </c>
      <c r="H988" t="s">
        <v>100</v>
      </c>
      <c r="I988">
        <v>1.9</v>
      </c>
      <c r="J988">
        <v>1</v>
      </c>
      <c r="K988">
        <v>0</v>
      </c>
      <c r="L988">
        <v>0</v>
      </c>
      <c r="M988">
        <v>0</v>
      </c>
    </row>
    <row r="989" spans="1:13" x14ac:dyDescent="0.25">
      <c r="A989" t="s">
        <v>1032</v>
      </c>
      <c r="B989" s="3">
        <v>45653.405555555553</v>
      </c>
      <c r="C989" s="2" t="s">
        <v>43</v>
      </c>
      <c r="D989" s="2" t="s">
        <v>25</v>
      </c>
      <c r="E989" t="s">
        <v>28</v>
      </c>
      <c r="F989">
        <v>4620.32</v>
      </c>
      <c r="G989" s="2" t="s">
        <v>17</v>
      </c>
      <c r="H989"/>
      <c r="I989">
        <v>2.9</v>
      </c>
      <c r="J989">
        <v>1</v>
      </c>
      <c r="K989">
        <v>0</v>
      </c>
      <c r="L989">
        <v>0</v>
      </c>
      <c r="M989">
        <v>0</v>
      </c>
    </row>
    <row r="990" spans="1:13" x14ac:dyDescent="0.25">
      <c r="A990" t="s">
        <v>1033</v>
      </c>
      <c r="B990" s="3">
        <v>45653.602083333331</v>
      </c>
      <c r="C990" s="2" t="s">
        <v>31</v>
      </c>
      <c r="D990" s="2" t="s">
        <v>32</v>
      </c>
      <c r="E990" t="s">
        <v>15</v>
      </c>
      <c r="F990">
        <v>2213.1799999999998</v>
      </c>
      <c r="G990" s="2" t="s">
        <v>17</v>
      </c>
      <c r="H990"/>
      <c r="I990">
        <v>2.5</v>
      </c>
      <c r="J990">
        <v>1.17</v>
      </c>
      <c r="K990">
        <v>0</v>
      </c>
      <c r="L990">
        <v>0</v>
      </c>
      <c r="M990">
        <v>0</v>
      </c>
    </row>
    <row r="991" spans="1:13" x14ac:dyDescent="0.25">
      <c r="A991" t="s">
        <v>1034</v>
      </c>
      <c r="B991" s="3">
        <v>45654.128472222219</v>
      </c>
      <c r="C991" s="2" t="s">
        <v>19</v>
      </c>
      <c r="D991" s="2" t="s">
        <v>20</v>
      </c>
      <c r="E991" t="s">
        <v>44</v>
      </c>
      <c r="F991">
        <v>3285.41</v>
      </c>
      <c r="G991" s="2" t="s">
        <v>17</v>
      </c>
      <c r="H991"/>
      <c r="I991">
        <v>2.1</v>
      </c>
      <c r="J991">
        <v>8.7999999999999995E-2</v>
      </c>
      <c r="K991">
        <v>0</v>
      </c>
      <c r="L991">
        <v>0</v>
      </c>
      <c r="M991">
        <v>0</v>
      </c>
    </row>
    <row r="992" spans="1:13" x14ac:dyDescent="0.25">
      <c r="A992" t="s">
        <v>1035</v>
      </c>
      <c r="B992" s="3">
        <v>45654.166666666664</v>
      </c>
      <c r="C992" s="2" t="s">
        <v>24</v>
      </c>
      <c r="D992" s="2" t="s">
        <v>25</v>
      </c>
      <c r="E992" t="s">
        <v>33</v>
      </c>
      <c r="F992">
        <v>1872.27</v>
      </c>
      <c r="G992" s="2" t="s">
        <v>17</v>
      </c>
      <c r="H992"/>
      <c r="I992">
        <v>1.9</v>
      </c>
      <c r="J992">
        <v>1</v>
      </c>
      <c r="K992">
        <v>0</v>
      </c>
      <c r="L992">
        <v>0</v>
      </c>
      <c r="M992">
        <v>0</v>
      </c>
    </row>
    <row r="993" spans="1:13" x14ac:dyDescent="0.25">
      <c r="A993" t="s">
        <v>1036</v>
      </c>
      <c r="B993" s="3">
        <v>45654.383333333331</v>
      </c>
      <c r="C993" s="2" t="s">
        <v>60</v>
      </c>
      <c r="D993" s="2" t="s">
        <v>25</v>
      </c>
      <c r="E993" t="s">
        <v>28</v>
      </c>
      <c r="F993">
        <v>2329.7800000000002</v>
      </c>
      <c r="G993" s="2" t="s">
        <v>22</v>
      </c>
      <c r="H993"/>
      <c r="I993">
        <v>2.9</v>
      </c>
      <c r="J993">
        <v>1</v>
      </c>
      <c r="K993">
        <v>67.56</v>
      </c>
      <c r="L993">
        <v>2262.2199999999998</v>
      </c>
      <c r="M993">
        <v>2329.7799999999997</v>
      </c>
    </row>
    <row r="994" spans="1:13" x14ac:dyDescent="0.25">
      <c r="A994" t="s">
        <v>1037</v>
      </c>
      <c r="B994" s="3">
        <v>45654.763194444444</v>
      </c>
      <c r="C994" s="2" t="s">
        <v>43</v>
      </c>
      <c r="D994" s="2" t="s">
        <v>25</v>
      </c>
      <c r="E994" t="s">
        <v>28</v>
      </c>
      <c r="F994">
        <v>1662.89</v>
      </c>
      <c r="G994" s="2" t="s">
        <v>22</v>
      </c>
      <c r="H994"/>
      <c r="I994">
        <v>2.9</v>
      </c>
      <c r="J994">
        <v>1</v>
      </c>
      <c r="K994">
        <v>48.22</v>
      </c>
      <c r="L994">
        <v>1614.67</v>
      </c>
      <c r="M994">
        <v>1662.89</v>
      </c>
    </row>
    <row r="995" spans="1:13" x14ac:dyDescent="0.25">
      <c r="A995" t="s">
        <v>1038</v>
      </c>
      <c r="B995" s="3">
        <v>45654.902777777781</v>
      </c>
      <c r="C995" s="2" t="s">
        <v>37</v>
      </c>
      <c r="D995" s="2" t="s">
        <v>38</v>
      </c>
      <c r="E995" t="s">
        <v>15</v>
      </c>
      <c r="F995">
        <v>1333.41</v>
      </c>
      <c r="G995" s="2" t="s">
        <v>22</v>
      </c>
      <c r="H995"/>
      <c r="I995">
        <v>2.5</v>
      </c>
      <c r="J995">
        <v>0.23</v>
      </c>
      <c r="K995">
        <v>7.6682000000000015</v>
      </c>
      <c r="L995">
        <v>299.01609999999999</v>
      </c>
      <c r="M995">
        <v>306.68430000000001</v>
      </c>
    </row>
    <row r="996" spans="1:13" x14ac:dyDescent="0.25">
      <c r="A996" t="s">
        <v>1039</v>
      </c>
      <c r="B996" s="3">
        <v>45655.053472222222</v>
      </c>
      <c r="C996" s="2" t="s">
        <v>58</v>
      </c>
      <c r="D996" s="2" t="s">
        <v>25</v>
      </c>
      <c r="E996" t="s">
        <v>28</v>
      </c>
      <c r="F996">
        <v>4386.47</v>
      </c>
      <c r="G996" s="2" t="s">
        <v>22</v>
      </c>
      <c r="H996"/>
      <c r="I996">
        <v>2.9</v>
      </c>
      <c r="J996">
        <v>1</v>
      </c>
      <c r="K996">
        <v>127.21</v>
      </c>
      <c r="L996">
        <v>4259.26</v>
      </c>
      <c r="M996">
        <v>4386.47</v>
      </c>
    </row>
    <row r="997" spans="1:13" x14ac:dyDescent="0.25">
      <c r="A997" t="s">
        <v>1040</v>
      </c>
      <c r="B997" s="3">
        <v>45655.375694444447</v>
      </c>
      <c r="C997" s="2" t="s">
        <v>31</v>
      </c>
      <c r="D997" s="2" t="s">
        <v>32</v>
      </c>
      <c r="E997" t="s">
        <v>44</v>
      </c>
      <c r="F997">
        <v>4285.51</v>
      </c>
      <c r="G997" s="2" t="s">
        <v>22</v>
      </c>
      <c r="H997"/>
      <c r="I997">
        <v>2.1</v>
      </c>
      <c r="J997">
        <v>1.17</v>
      </c>
      <c r="K997">
        <v>105.3</v>
      </c>
      <c r="L997">
        <v>4908.7466999999997</v>
      </c>
      <c r="M997">
        <v>5014.0466999999999</v>
      </c>
    </row>
    <row r="998" spans="1:13" x14ac:dyDescent="0.25">
      <c r="A998" t="s">
        <v>1041</v>
      </c>
      <c r="B998" s="3">
        <v>45656.540972222225</v>
      </c>
      <c r="C998" s="2" t="s">
        <v>31</v>
      </c>
      <c r="D998" s="2" t="s">
        <v>32</v>
      </c>
      <c r="E998" t="s">
        <v>39</v>
      </c>
      <c r="F998">
        <v>2824.15</v>
      </c>
      <c r="G998" s="2" t="s">
        <v>17</v>
      </c>
      <c r="H998"/>
      <c r="I998">
        <v>3.2</v>
      </c>
      <c r="J998">
        <v>1.17</v>
      </c>
      <c r="K998">
        <v>0</v>
      </c>
      <c r="L998">
        <v>0</v>
      </c>
      <c r="M998">
        <v>0</v>
      </c>
    </row>
    <row r="999" spans="1:13" x14ac:dyDescent="0.25">
      <c r="A999" t="s">
        <v>1042</v>
      </c>
      <c r="B999" s="3">
        <v>45656.588888888888</v>
      </c>
      <c r="C999" s="2" t="s">
        <v>13</v>
      </c>
      <c r="D999" s="2" t="s">
        <v>14</v>
      </c>
      <c r="E999" t="s">
        <v>33</v>
      </c>
      <c r="F999">
        <v>3475.41</v>
      </c>
      <c r="G999" s="2" t="s">
        <v>34</v>
      </c>
      <c r="H999" t="s">
        <v>55</v>
      </c>
      <c r="I999">
        <v>1.9</v>
      </c>
      <c r="J999">
        <v>8.7999999999999995E-2</v>
      </c>
      <c r="K999">
        <v>0</v>
      </c>
      <c r="L999">
        <v>0</v>
      </c>
      <c r="M999">
        <v>0</v>
      </c>
    </row>
    <row r="1000" spans="1:13" x14ac:dyDescent="0.25">
      <c r="A1000" t="s">
        <v>1043</v>
      </c>
      <c r="B1000" s="3">
        <v>45656.720833333333</v>
      </c>
      <c r="C1000" s="2" t="s">
        <v>27</v>
      </c>
      <c r="D1000" s="2" t="s">
        <v>25</v>
      </c>
      <c r="E1000" t="s">
        <v>44</v>
      </c>
      <c r="F1000">
        <v>814.66</v>
      </c>
      <c r="G1000" s="2" t="s">
        <v>22</v>
      </c>
      <c r="H1000"/>
      <c r="I1000">
        <v>2.1</v>
      </c>
      <c r="J1000">
        <v>1</v>
      </c>
      <c r="K1000">
        <v>17.11</v>
      </c>
      <c r="L1000">
        <v>797.55</v>
      </c>
      <c r="M1000">
        <v>814.66</v>
      </c>
    </row>
    <row r="1001" spans="1:13" x14ac:dyDescent="0.25">
      <c r="A1001" t="s">
        <v>1044</v>
      </c>
      <c r="B1001" s="3">
        <v>45656.999305555553</v>
      </c>
      <c r="C1001" s="2" t="s">
        <v>13</v>
      </c>
      <c r="D1001" s="2" t="s">
        <v>14</v>
      </c>
      <c r="E1001" t="s">
        <v>44</v>
      </c>
      <c r="F1001">
        <v>1056.47</v>
      </c>
      <c r="G1001" s="2" t="s">
        <v>22</v>
      </c>
      <c r="H1001"/>
      <c r="I1001">
        <v>2.1</v>
      </c>
      <c r="J1001">
        <v>8.7999999999999995E-2</v>
      </c>
      <c r="K1001">
        <v>1.95272</v>
      </c>
      <c r="L1001">
        <v>91.016639999999995</v>
      </c>
      <c r="M1001">
        <v>92.969359999999995</v>
      </c>
    </row>
  </sheetData>
  <phoneticPr fontId="5" type="noConversion"/>
  <pageMargins left="0.7" right="0.7" top="0.75" bottom="0.75" header="0.3" footer="0.3"/>
  <pageSetup paperSize="9" scale="37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B2:G71"/>
  <sheetViews>
    <sheetView workbookViewId="0">
      <selection activeCell="G37" sqref="G37"/>
    </sheetView>
  </sheetViews>
  <sheetFormatPr defaultRowHeight="15" x14ac:dyDescent="0.25"/>
  <cols>
    <col min="1" max="2" width="9.140625" style="5"/>
    <col min="3" max="3" width="17" style="5" bestFit="1" customWidth="1"/>
    <col min="4" max="4" width="22.42578125" style="5" bestFit="1" customWidth="1"/>
    <col min="5" max="5" width="19" style="5" customWidth="1"/>
    <col min="6" max="6" width="37.140625" style="5" bestFit="1" customWidth="1"/>
    <col min="7" max="7" width="34.85546875" style="5" bestFit="1" customWidth="1"/>
    <col min="8" max="16384" width="9.140625" style="5"/>
  </cols>
  <sheetData>
    <row r="2" spans="2:6" x14ac:dyDescent="0.25">
      <c r="B2" s="4" t="s">
        <v>1048</v>
      </c>
      <c r="C2" s="4"/>
      <c r="D2" s="4"/>
    </row>
    <row r="3" spans="2:6" x14ac:dyDescent="0.25">
      <c r="B3" s="4"/>
      <c r="C3" s="4"/>
      <c r="D3" s="4"/>
    </row>
    <row r="4" spans="2:6" x14ac:dyDescent="0.25">
      <c r="B4" s="10" t="s">
        <v>1045</v>
      </c>
      <c r="C4" s="11" t="s">
        <v>4</v>
      </c>
      <c r="D4" s="10" t="s">
        <v>1046</v>
      </c>
      <c r="E4" s="10" t="s">
        <v>1047</v>
      </c>
      <c r="F4" s="10" t="s">
        <v>1051</v>
      </c>
    </row>
    <row r="5" spans="2:6" x14ac:dyDescent="0.25">
      <c r="B5" s="8">
        <v>1</v>
      </c>
      <c r="C5" s="9" t="str" cm="1">
        <f t="array" ref="C5:C9">_xlfn.UNIQUE('Raw_Data_Combined'!$E$2:$E$1001)</f>
        <v>Worldpay</v>
      </c>
      <c r="D5" s="8">
        <f>COUNTIFS(Raw_Data_Combined[PSP Provider],$C5,Raw_Data_Combined[Status],"Success")</f>
        <v>105</v>
      </c>
      <c r="E5" s="8">
        <f>COUNTIF(Raw_Data_Combined[PSP Provider],Tasks!$C5)</f>
        <v>194</v>
      </c>
      <c r="F5" s="86">
        <f>D5/E5</f>
        <v>0.54123711340206182</v>
      </c>
    </row>
    <row r="6" spans="2:6" x14ac:dyDescent="0.25">
      <c r="B6" s="8">
        <v>2</v>
      </c>
      <c r="C6" s="9" t="str">
        <v>Stripe</v>
      </c>
      <c r="D6" s="8">
        <f>COUNTIFS(Raw_Data_Combined[PSP Provider],$C6,Raw_Data_Combined[Status],"Success")</f>
        <v>101</v>
      </c>
      <c r="E6" s="8">
        <f>COUNTIF(Raw_Data_Combined[PSP Provider],Tasks!$C6)</f>
        <v>186</v>
      </c>
      <c r="F6" s="86">
        <f>D6/E6</f>
        <v>0.543010752688172</v>
      </c>
    </row>
    <row r="7" spans="2:6" x14ac:dyDescent="0.25">
      <c r="B7" s="8">
        <v>3</v>
      </c>
      <c r="C7" s="9" t="str">
        <v>Checkout.com</v>
      </c>
      <c r="D7" s="8">
        <f>COUNTIFS(Raw_Data_Combined[PSP Provider],$C7,Raw_Data_Combined[Status],"Success")</f>
        <v>130</v>
      </c>
      <c r="E7" s="8">
        <f>COUNTIF(Raw_Data_Combined[PSP Provider],Tasks!$C7)</f>
        <v>221</v>
      </c>
      <c r="F7" s="86">
        <f>D7/E7</f>
        <v>0.58823529411764708</v>
      </c>
    </row>
    <row r="8" spans="2:6" x14ac:dyDescent="0.25">
      <c r="B8" s="8">
        <v>4</v>
      </c>
      <c r="C8" s="9" t="str">
        <v>PaySafe</v>
      </c>
      <c r="D8" s="8">
        <f>COUNTIFS(Raw_Data_Combined[PSP Provider],$C8,Raw_Data_Combined[Status],"Success")</f>
        <v>120</v>
      </c>
      <c r="E8" s="8">
        <f>COUNTIF(Raw_Data_Combined[PSP Provider],Tasks!$C8)</f>
        <v>210</v>
      </c>
      <c r="F8" s="86">
        <f>D8/E8</f>
        <v>0.5714285714285714</v>
      </c>
    </row>
    <row r="9" spans="2:6" x14ac:dyDescent="0.25">
      <c r="B9" s="8">
        <v>5</v>
      </c>
      <c r="C9" s="9" t="str">
        <v>Adyen</v>
      </c>
      <c r="D9" s="8">
        <f>COUNTIFS(Raw_Data_Combined[PSP Provider],$C9,Raw_Data_Combined[Status],"Success")</f>
        <v>98</v>
      </c>
      <c r="E9" s="8">
        <f>COUNTIF(Raw_Data_Combined[PSP Provider],Tasks!$C9)</f>
        <v>189</v>
      </c>
      <c r="F9" s="86">
        <f>D9/E9</f>
        <v>0.51851851851851849</v>
      </c>
    </row>
    <row r="13" spans="2:6" x14ac:dyDescent="0.25">
      <c r="B13" s="4" t="s">
        <v>1049</v>
      </c>
    </row>
    <row r="15" spans="2:6" x14ac:dyDescent="0.25">
      <c r="B15" s="13" t="s">
        <v>1045</v>
      </c>
      <c r="C15" s="14" t="s">
        <v>4</v>
      </c>
      <c r="D15" s="13" t="s">
        <v>1112</v>
      </c>
      <c r="E15" s="13" t="s">
        <v>1113</v>
      </c>
      <c r="F15" s="13" t="s">
        <v>1047</v>
      </c>
    </row>
    <row r="16" spans="2:6" x14ac:dyDescent="0.25">
      <c r="B16" s="8">
        <v>1</v>
      </c>
      <c r="C16" s="9" t="str" cm="1">
        <f t="array" ref="C16:C20">_xlfn.UNIQUE('Raw_Data_Combined'!$E$2:$E$1001)</f>
        <v>Worldpay</v>
      </c>
      <c r="D16" s="12">
        <f>SUMIFS(Raw_Data_Combined[Net Amount EUR],Raw_Data_Combined[PSP Provider],$C16)</f>
        <v>173179.52418000007</v>
      </c>
      <c r="E16" s="12">
        <f>SUMIFS(Raw_Data_Combined[Fee Amount EUR],Raw_Data_Combined[PSP Provider],$C16)</f>
        <v>4440.4714200000026</v>
      </c>
      <c r="F16" s="8">
        <f>_xlfn.XLOOKUP($C16,$C$5:$C$9,$E$5:$E$9)</f>
        <v>194</v>
      </c>
    </row>
    <row r="17" spans="2:7" x14ac:dyDescent="0.25">
      <c r="B17" s="8">
        <v>2</v>
      </c>
      <c r="C17" s="9" t="str">
        <v>Stripe</v>
      </c>
      <c r="D17" s="12">
        <f>SUMIFS(Raw_Data_Combined[Net Amount EUR],Raw_Data_Combined[PSP Provider],$C17)</f>
        <v>192360.85080000004</v>
      </c>
      <c r="E17" s="12">
        <f>SUMIFS(Raw_Data_Combined[Fee Amount EUR],Raw_Data_Combined[PSP Provider],$C17)</f>
        <v>5745.036360000001</v>
      </c>
      <c r="F17" s="8">
        <f>_xlfn.XLOOKUP($C17,$C$5:$C$9,$E$5:$E$9)</f>
        <v>186</v>
      </c>
    </row>
    <row r="18" spans="2:7" x14ac:dyDescent="0.25">
      <c r="B18" s="8">
        <v>3</v>
      </c>
      <c r="C18" s="9" t="str">
        <v>Checkout.com</v>
      </c>
      <c r="D18" s="12">
        <f>SUMIFS(Raw_Data_Combined[Net Amount EUR],Raw_Data_Combined[PSP Provider],$C18)</f>
        <v>249008.98317999998</v>
      </c>
      <c r="E18" s="12">
        <f>SUMIFS(Raw_Data_Combined[Fee Amount EUR],Raw_Data_Combined[PSP Provider],$C18)</f>
        <v>4822.7699800000028</v>
      </c>
      <c r="F18" s="8">
        <f>_xlfn.XLOOKUP($C18,$C$5:$C$9,$E$5:$E$9)</f>
        <v>221</v>
      </c>
    </row>
    <row r="19" spans="2:7" x14ac:dyDescent="0.25">
      <c r="B19" s="8">
        <v>4</v>
      </c>
      <c r="C19" s="9" t="str">
        <v>PaySafe</v>
      </c>
      <c r="D19" s="12">
        <f>SUMIFS(Raw_Data_Combined[Net Amount EUR],Raw_Data_Combined[PSP Provider],$C19)</f>
        <v>215469.05807999999</v>
      </c>
      <c r="E19" s="12">
        <f>SUMIFS(Raw_Data_Combined[Fee Amount EUR],Raw_Data_Combined[PSP Provider],$C19)</f>
        <v>7122.9515199999987</v>
      </c>
      <c r="F19" s="8">
        <f>_xlfn.XLOOKUP($C19,$C$5:$C$9,$E$5:$E$9)</f>
        <v>210</v>
      </c>
    </row>
    <row r="20" spans="2:7" x14ac:dyDescent="0.25">
      <c r="B20" s="8">
        <v>5</v>
      </c>
      <c r="C20" s="9" t="str">
        <v>Adyen</v>
      </c>
      <c r="D20" s="12">
        <f>SUMIFS(Raw_Data_Combined[Net Amount EUR],Raw_Data_Combined[PSP Provider],$C20)</f>
        <v>192887.60814000003</v>
      </c>
      <c r="E20" s="12">
        <f>SUMIFS(Raw_Data_Combined[Fee Amount EUR],Raw_Data_Combined[PSP Provider],$C20)</f>
        <v>4137.5568399999993</v>
      </c>
      <c r="F20" s="8">
        <f>_xlfn.XLOOKUP($C20,$C$5:$C$9,$E$5:$E$9)</f>
        <v>189</v>
      </c>
    </row>
    <row r="24" spans="2:7" x14ac:dyDescent="0.25">
      <c r="B24" s="4" t="s">
        <v>1050</v>
      </c>
    </row>
    <row r="26" spans="2:7" x14ac:dyDescent="0.25">
      <c r="B26" s="16" t="s">
        <v>1045</v>
      </c>
      <c r="C26" s="17" t="s">
        <v>2</v>
      </c>
      <c r="D26" s="16" t="s">
        <v>1047</v>
      </c>
      <c r="E26" s="16" t="s">
        <v>1051</v>
      </c>
      <c r="F26" s="16" t="s">
        <v>1114</v>
      </c>
      <c r="G26" s="16" t="s">
        <v>1115</v>
      </c>
    </row>
    <row r="27" spans="2:7" x14ac:dyDescent="0.25">
      <c r="B27" s="8">
        <v>1</v>
      </c>
      <c r="C27" s="9" t="str" cm="1">
        <f t="array" ref="C27:C36">_xlfn.UNIQUE('Raw_Data_Combined'!$C$2:$C$1001)</f>
        <v>SE</v>
      </c>
      <c r="D27" s="8">
        <f>COUNTIF(Raw_Data_Combined[GEO],$C27)</f>
        <v>100</v>
      </c>
      <c r="E27" s="15">
        <f>COUNTIFS(Raw_Data_Combined[GEO],$C27,Raw_Data_Combined[Status],"Success")/$D27</f>
        <v>0.49</v>
      </c>
      <c r="F27" s="12">
        <f>AVERAGEIF(Raw_Data_Combined[GEO],Tasks!C27,Raw_Data_Combined[Gross Amount EUR])</f>
        <v>95.476743999999982</v>
      </c>
      <c r="G27" s="12">
        <f>AVERAGEIFS(Raw_Data_Combined[Gross Amount EUR],Raw_Data_Combined[GEO],Tasks!$C27,Raw_Data_Combined[Status],"Success")</f>
        <v>194.85049795918363</v>
      </c>
    </row>
    <row r="28" spans="2:7" x14ac:dyDescent="0.25">
      <c r="B28" s="8">
        <v>2</v>
      </c>
      <c r="C28" s="9" t="str">
        <v>NO</v>
      </c>
      <c r="D28" s="8">
        <f>COUNTIF(Raw_Data_Combined[GEO],$C28)</f>
        <v>98</v>
      </c>
      <c r="E28" s="15">
        <f>COUNTIFS(Raw_Data_Combined[GEO],$C28,Raw_Data_Combined[Status],"Success")/$D28</f>
        <v>0.58163265306122447</v>
      </c>
      <c r="F28" s="12">
        <f>AVERAGEIF(Raw_Data_Combined[GEO],Tasks!C28,Raw_Data_Combined[Gross Amount EUR])</f>
        <v>119.06498775510202</v>
      </c>
      <c r="G28" s="12">
        <f>AVERAGEIFS(Raw_Data_Combined[Gross Amount EUR],Raw_Data_Combined[GEO],Tasks!$C28,Raw_Data_Combined[Status],"Success")</f>
        <v>204.70822456140348</v>
      </c>
    </row>
    <row r="29" spans="2:7" x14ac:dyDescent="0.25">
      <c r="B29" s="8">
        <v>3</v>
      </c>
      <c r="C29" s="9" t="str">
        <v>ES</v>
      </c>
      <c r="D29" s="8">
        <f>COUNTIF(Raw_Data_Combined[GEO],$C29)</f>
        <v>80</v>
      </c>
      <c r="E29" s="15">
        <f>COUNTIFS(Raw_Data_Combined[GEO],$C29,Raw_Data_Combined[Status],"Success")/$D29</f>
        <v>0.51249999999999996</v>
      </c>
      <c r="F29" s="12">
        <f>AVERAGEIF(Raw_Data_Combined[GEO],Tasks!C29,Raw_Data_Combined[Gross Amount EUR])</f>
        <v>1418.3262500000001</v>
      </c>
      <c r="G29" s="12">
        <f>AVERAGEIFS(Raw_Data_Combined[Gross Amount EUR],Raw_Data_Combined[GEO],Tasks!$C29,Raw_Data_Combined[Status],"Success")</f>
        <v>2767.4658536585366</v>
      </c>
    </row>
    <row r="30" spans="2:7" x14ac:dyDescent="0.25">
      <c r="B30" s="8">
        <v>4</v>
      </c>
      <c r="C30" s="9" t="str">
        <v>FR</v>
      </c>
      <c r="D30" s="8">
        <f>COUNTIF(Raw_Data_Combined[GEO],$C30)</f>
        <v>101</v>
      </c>
      <c r="E30" s="15">
        <f>COUNTIFS(Raw_Data_Combined[GEO],$C30,Raw_Data_Combined[Status],"Success")/$D30</f>
        <v>0.63366336633663367</v>
      </c>
      <c r="F30" s="12">
        <f>AVERAGEIF(Raw_Data_Combined[GEO],Tasks!C30,Raw_Data_Combined[Gross Amount EUR])</f>
        <v>1773.3711881188117</v>
      </c>
      <c r="G30" s="12">
        <f>AVERAGEIFS(Raw_Data_Combined[Gross Amount EUR],Raw_Data_Combined[GEO],Tasks!$C30,Raw_Data_Combined[Status],"Success")</f>
        <v>2798.6014062499999</v>
      </c>
    </row>
    <row r="31" spans="2:7" x14ac:dyDescent="0.25">
      <c r="B31" s="8">
        <v>5</v>
      </c>
      <c r="C31" s="9" t="str">
        <v>GB</v>
      </c>
      <c r="D31" s="8">
        <f>COUNTIF(Raw_Data_Combined[GEO],$C31)</f>
        <v>113</v>
      </c>
      <c r="E31" s="15">
        <f>COUNTIFS(Raw_Data_Combined[GEO],$C31,Raw_Data_Combined[Status],"Success")/$D31</f>
        <v>0.51327433628318586</v>
      </c>
      <c r="F31" s="12">
        <f>AVERAGEIF(Raw_Data_Combined[GEO],Tasks!C31,Raw_Data_Combined[Gross Amount EUR])</f>
        <v>1454.6003256637171</v>
      </c>
      <c r="G31" s="12">
        <f>AVERAGEIFS(Raw_Data_Combined[Gross Amount EUR],Raw_Data_Combined[GEO],Tasks!$C31,Raw_Data_Combined[Status],"Success")</f>
        <v>2833.962703448276</v>
      </c>
    </row>
    <row r="32" spans="2:7" x14ac:dyDescent="0.25">
      <c r="B32" s="8">
        <v>6</v>
      </c>
      <c r="C32" s="9" t="str">
        <v>PL</v>
      </c>
      <c r="D32" s="8">
        <f>COUNTIF(Raw_Data_Combined[GEO],$C32)</f>
        <v>97</v>
      </c>
      <c r="E32" s="15">
        <f>COUNTIFS(Raw_Data_Combined[GEO],$C32,Raw_Data_Combined[Status],"Success")/$D32</f>
        <v>0.57731958762886593</v>
      </c>
      <c r="F32" s="12">
        <f>AVERAGEIF(Raw_Data_Combined[GEO],Tasks!C32,Raw_Data_Combined[Gross Amount EUR])</f>
        <v>369.58474742268049</v>
      </c>
      <c r="G32" s="12">
        <f>AVERAGEIFS(Raw_Data_Combined[Gross Amount EUR],Raw_Data_Combined[GEO],Tasks!$C32,Raw_Data_Combined[Status],"Success")</f>
        <v>640.17358035714301</v>
      </c>
    </row>
    <row r="33" spans="2:7" x14ac:dyDescent="0.25">
      <c r="B33" s="8">
        <v>7</v>
      </c>
      <c r="C33" s="9" t="str">
        <v>NL</v>
      </c>
      <c r="D33" s="8">
        <f>COUNTIF(Raw_Data_Combined[GEO],$C33)</f>
        <v>125</v>
      </c>
      <c r="E33" s="15">
        <f>COUNTIFS(Raw_Data_Combined[GEO],$C33,Raw_Data_Combined[Status],"Success")/$D33</f>
        <v>0.56000000000000005</v>
      </c>
      <c r="F33" s="12">
        <f>AVERAGEIF(Raw_Data_Combined[GEO],Tasks!C33,Raw_Data_Combined[Gross Amount EUR])</f>
        <v>1287.8440800000003</v>
      </c>
      <c r="G33" s="12">
        <f>AVERAGEIFS(Raw_Data_Combined[Gross Amount EUR],Raw_Data_Combined[GEO],Tasks!$C33,Raw_Data_Combined[Status],"Success")</f>
        <v>2299.7215714285721</v>
      </c>
    </row>
    <row r="34" spans="2:7" x14ac:dyDescent="0.25">
      <c r="B34" s="8">
        <v>8</v>
      </c>
      <c r="C34" s="9" t="str">
        <v>IT</v>
      </c>
      <c r="D34" s="8">
        <f>COUNTIF(Raw_Data_Combined[GEO],$C34)</f>
        <v>91</v>
      </c>
      <c r="E34" s="15">
        <f>COUNTIFS(Raw_Data_Combined[GEO],$C34,Raw_Data_Combined[Status],"Success")/$D34</f>
        <v>0.60439560439560436</v>
      </c>
      <c r="F34" s="12">
        <f>AVERAGEIF(Raw_Data_Combined[GEO],Tasks!C34,Raw_Data_Combined[Gross Amount EUR])</f>
        <v>1358.908461538462</v>
      </c>
      <c r="G34" s="12">
        <f>AVERAGEIFS(Raw_Data_Combined[Gross Amount EUR],Raw_Data_Combined[GEO],Tasks!$C34,Raw_Data_Combined[Status],"Success")</f>
        <v>2248.3758181818189</v>
      </c>
    </row>
    <row r="35" spans="2:7" x14ac:dyDescent="0.25">
      <c r="B35" s="8">
        <v>9</v>
      </c>
      <c r="C35" s="9" t="str">
        <v>CY</v>
      </c>
      <c r="D35" s="8">
        <f>COUNTIF(Raw_Data_Combined[GEO],$C35)</f>
        <v>108</v>
      </c>
      <c r="E35" s="15">
        <f>COUNTIFS(Raw_Data_Combined[GEO],$C35,Raw_Data_Combined[Status],"Success")/$D35</f>
        <v>0.56481481481481477</v>
      </c>
      <c r="F35" s="12">
        <f>AVERAGEIF(Raw_Data_Combined[GEO],Tasks!C35,Raw_Data_Combined[Gross Amount EUR])</f>
        <v>1416.9216666666669</v>
      </c>
      <c r="G35" s="12">
        <f>AVERAGEIFS(Raw_Data_Combined[Gross Amount EUR],Raw_Data_Combined[GEO],Tasks!$C35,Raw_Data_Combined[Status],"Success")</f>
        <v>2508.6481967213117</v>
      </c>
    </row>
    <row r="36" spans="2:7" x14ac:dyDescent="0.25">
      <c r="B36" s="8">
        <v>10</v>
      </c>
      <c r="C36" s="9" t="str">
        <v>DE</v>
      </c>
      <c r="D36" s="8">
        <f>COUNTIF(Raw_Data_Combined[GEO],$C36)</f>
        <v>87</v>
      </c>
      <c r="E36" s="15">
        <f>COUNTIFS(Raw_Data_Combined[GEO],$C36,Raw_Data_Combined[Status],"Success")/$D36</f>
        <v>0.4942528735632184</v>
      </c>
      <c r="F36" s="12">
        <f>AVERAGEIF(Raw_Data_Combined[GEO],Tasks!C36,Raw_Data_Combined[Gross Amount EUR])</f>
        <v>1120.6195402298854</v>
      </c>
      <c r="G36" s="12">
        <f>AVERAGEIFS(Raw_Data_Combined[Gross Amount EUR],Raw_Data_Combined[GEO],Tasks!$C36,Raw_Data_Combined[Status],"Success")</f>
        <v>2267.3000000000011</v>
      </c>
    </row>
    <row r="37" spans="2:7" x14ac:dyDescent="0.25">
      <c r="F37" s="91"/>
      <c r="G37" s="91"/>
    </row>
    <row r="40" spans="2:7" x14ac:dyDescent="0.25">
      <c r="B40" s="4" t="s">
        <v>1052</v>
      </c>
    </row>
    <row r="42" spans="2:7" x14ac:dyDescent="0.25">
      <c r="B42" s="18" t="s">
        <v>1045</v>
      </c>
      <c r="C42" s="19" t="s">
        <v>8</v>
      </c>
      <c r="D42" s="20" t="s">
        <v>1053</v>
      </c>
      <c r="E42" s="21" t="s">
        <v>1054</v>
      </c>
    </row>
    <row r="43" spans="2:7" x14ac:dyDescent="0.25">
      <c r="B43" s="8">
        <v>1</v>
      </c>
      <c r="C43" s="9" t="str" cm="1">
        <f t="array" ref="C43:C47">_xlfn.UNIQUE(_xlfn._xlws.FILTER(Raw_Data_Combined[Decline Reason], Raw_Data_Combined[Decline Reason]&lt;&gt;""))</f>
        <v>Card Declined</v>
      </c>
      <c r="D43" s="8">
        <f>COUNTIF(Raw_Data_Combined[Decline Reason],$C43)</f>
        <v>49</v>
      </c>
      <c r="E43" s="86">
        <f>$D43/SUM($D$43:$D$47)</f>
        <v>0.22477064220183487</v>
      </c>
    </row>
    <row r="44" spans="2:7" x14ac:dyDescent="0.25">
      <c r="B44" s="8">
        <v>2</v>
      </c>
      <c r="C44" s="9" t="str">
        <v>Technical Error</v>
      </c>
      <c r="D44" s="8">
        <f>COUNTIF(Raw_Data_Combined[Decline Reason],$C44)</f>
        <v>44</v>
      </c>
      <c r="E44" s="86">
        <f>$D44/SUM($D$43:$D$47)</f>
        <v>0.20183486238532111</v>
      </c>
    </row>
    <row r="45" spans="2:7" x14ac:dyDescent="0.25">
      <c r="B45" s="8">
        <v>3</v>
      </c>
      <c r="C45" s="9" t="str">
        <v>Fraud Suspected</v>
      </c>
      <c r="D45" s="8">
        <f>COUNTIF(Raw_Data_Combined[Decline Reason],$C45)</f>
        <v>51</v>
      </c>
      <c r="E45" s="86">
        <f>$D45/SUM($D$43:$D$47)</f>
        <v>0.23394495412844038</v>
      </c>
    </row>
    <row r="46" spans="2:7" x14ac:dyDescent="0.25">
      <c r="B46" s="8">
        <v>4</v>
      </c>
      <c r="C46" s="9" t="str">
        <v>Insufficient Funds</v>
      </c>
      <c r="D46" s="8">
        <f>COUNTIF(Raw_Data_Combined[Decline Reason],$C46)</f>
        <v>33</v>
      </c>
      <c r="E46" s="86">
        <f>$D46/SUM($D$43:$D$47)</f>
        <v>0.15137614678899083</v>
      </c>
    </row>
    <row r="47" spans="2:7" x14ac:dyDescent="0.25">
      <c r="B47" s="8">
        <v>5</v>
      </c>
      <c r="C47" s="9" t="str">
        <v>Expired Card</v>
      </c>
      <c r="D47" s="8">
        <f>COUNTIF(Raw_Data_Combined[Decline Reason],$C47)</f>
        <v>41</v>
      </c>
      <c r="E47" s="86">
        <f>$D47/SUM($D$43:$D$47)</f>
        <v>0.18807339449541285</v>
      </c>
    </row>
    <row r="51" spans="2:6" x14ac:dyDescent="0.25">
      <c r="B51" s="4" t="s">
        <v>1057</v>
      </c>
    </row>
    <row r="52" spans="2:6" x14ac:dyDescent="0.25">
      <c r="B52" s="4"/>
    </row>
    <row r="53" spans="2:6" x14ac:dyDescent="0.25">
      <c r="B53" s="4" t="s">
        <v>1055</v>
      </c>
    </row>
    <row r="54" spans="2:6" x14ac:dyDescent="0.25">
      <c r="B54" s="22" t="s">
        <v>1045</v>
      </c>
      <c r="C54" s="23" t="s">
        <v>1055</v>
      </c>
      <c r="D54" s="6"/>
    </row>
    <row r="55" spans="2:6" x14ac:dyDescent="0.25">
      <c r="B55" s="8">
        <v>1</v>
      </c>
      <c r="C55" s="9" t="str" cm="1">
        <f t="array" ref="C55:C57">_xlfn.TAKE(_xlfn._xlws.SORT(C27:D36,2,-1),3,1)</f>
        <v>NL</v>
      </c>
    </row>
    <row r="56" spans="2:6" x14ac:dyDescent="0.25">
      <c r="B56" s="8">
        <v>2</v>
      </c>
      <c r="C56" s="9" t="str">
        <v>GB</v>
      </c>
    </row>
    <row r="57" spans="2:6" x14ac:dyDescent="0.25">
      <c r="B57" s="8">
        <v>3</v>
      </c>
      <c r="C57" s="9" t="str">
        <v>CY</v>
      </c>
    </row>
    <row r="59" spans="2:6" x14ac:dyDescent="0.25">
      <c r="B59" s="4" t="s">
        <v>1108</v>
      </c>
    </row>
    <row r="60" spans="2:6" x14ac:dyDescent="0.25">
      <c r="B60" s="24" t="s">
        <v>1045</v>
      </c>
      <c r="C60" s="25" t="s">
        <v>4</v>
      </c>
      <c r="D60" s="24" t="str">
        <f>C55</f>
        <v>NL</v>
      </c>
      <c r="E60" s="24" t="str">
        <f>C56</f>
        <v>GB</v>
      </c>
      <c r="F60" s="24" t="str">
        <f>C57</f>
        <v>CY</v>
      </c>
    </row>
    <row r="61" spans="2:6" x14ac:dyDescent="0.25">
      <c r="B61" s="8">
        <v>1</v>
      </c>
      <c r="C61" s="9" t="str" cm="1">
        <f t="array" ref="C61:C65">_xlfn.UNIQUE('Raw_Data_Combined'!$E$2:$E$1001)</f>
        <v>Worldpay</v>
      </c>
      <c r="D61" s="86">
        <f>COUNTIFS(Raw_Data_Combined[GEO],D$60,Raw_Data_Combined[Status],"Success",Raw_Data_Combined[PSP Provider],Tasks!$C16)/COUNTIFS(Raw_Data_Combined[GEO],D$60,Raw_Data_Combined[PSP Provider],Tasks!$C16)</f>
        <v>0.44444444444444442</v>
      </c>
      <c r="E61" s="86">
        <f>COUNTIFS(Raw_Data_Combined[GEO],E$60,Raw_Data_Combined[Status],"Success",Raw_Data_Combined[PSP Provider],Tasks!$C16)/COUNTIFS(Raw_Data_Combined[GEO],E$60,Raw_Data_Combined[PSP Provider],Tasks!$C16)</f>
        <v>0.5</v>
      </c>
      <c r="F61" s="86">
        <f>COUNTIFS(Raw_Data_Combined[GEO],F$60,Raw_Data_Combined[Status],"Success",Raw_Data_Combined[PSP Provider],Tasks!$C16)/COUNTIFS(Raw_Data_Combined[GEO],F$60,Raw_Data_Combined[PSP Provider],Tasks!$C16)</f>
        <v>0.47058823529411764</v>
      </c>
    </row>
    <row r="62" spans="2:6" x14ac:dyDescent="0.25">
      <c r="B62" s="8">
        <v>2</v>
      </c>
      <c r="C62" s="9" t="str">
        <v>Stripe</v>
      </c>
      <c r="D62" s="86">
        <f>COUNTIFS(Raw_Data_Combined[GEO],D$60,Raw_Data_Combined[Status],"Success",Raw_Data_Combined[PSP Provider],Tasks!$C17)/COUNTIFS(Raw_Data_Combined[GEO],D$60,Raw_Data_Combined[PSP Provider],Tasks!$C17)</f>
        <v>0.5357142857142857</v>
      </c>
      <c r="E62" s="86">
        <f>COUNTIFS(Raw_Data_Combined[GEO],E$60,Raw_Data_Combined[Status],"Success",Raw_Data_Combined[PSP Provider],Tasks!$C17)/COUNTIFS(Raw_Data_Combined[GEO],E$60,Raw_Data_Combined[PSP Provider],Tasks!$C17)</f>
        <v>0.47368421052631576</v>
      </c>
      <c r="F62" s="86">
        <f>COUNTIFS(Raw_Data_Combined[GEO],F$60,Raw_Data_Combined[Status],"Success",Raw_Data_Combined[PSP Provider],Tasks!$C17)/COUNTIFS(Raw_Data_Combined[GEO],F$60,Raw_Data_Combined[PSP Provider],Tasks!$C17)</f>
        <v>0.57692307692307687</v>
      </c>
    </row>
    <row r="63" spans="2:6" x14ac:dyDescent="0.25">
      <c r="B63" s="8">
        <v>3</v>
      </c>
      <c r="C63" s="9" t="str">
        <v>Checkout.com</v>
      </c>
      <c r="D63" s="86">
        <f>COUNTIFS(Raw_Data_Combined[GEO],D$60,Raw_Data_Combined[Status],"Success",Raw_Data_Combined[PSP Provider],Tasks!$C18)/COUNTIFS(Raw_Data_Combined[GEO],D$60,Raw_Data_Combined[PSP Provider],Tasks!$C18)</f>
        <v>0.54545454545454541</v>
      </c>
      <c r="E63" s="86">
        <f>COUNTIFS(Raw_Data_Combined[GEO],E$60,Raw_Data_Combined[Status],"Success",Raw_Data_Combined[PSP Provider],Tasks!$C18)/COUNTIFS(Raw_Data_Combined[GEO],E$60,Raw_Data_Combined[PSP Provider],Tasks!$C18)</f>
        <v>0.65384615384615385</v>
      </c>
      <c r="F63" s="86">
        <f>COUNTIFS(Raw_Data_Combined[GEO],F$60,Raw_Data_Combined[Status],"Success",Raw_Data_Combined[PSP Provider],Tasks!$C18)/COUNTIFS(Raw_Data_Combined[GEO],F$60,Raw_Data_Combined[PSP Provider],Tasks!$C18)</f>
        <v>0.5714285714285714</v>
      </c>
    </row>
    <row r="64" spans="2:6" x14ac:dyDescent="0.25">
      <c r="B64" s="8">
        <v>4</v>
      </c>
      <c r="C64" s="9" t="str">
        <v>PaySafe</v>
      </c>
      <c r="D64" s="86">
        <f>COUNTIFS(Raw_Data_Combined[GEO],D$60,Raw_Data_Combined[Status],"Success",Raw_Data_Combined[PSP Provider],Tasks!$C19)/COUNTIFS(Raw_Data_Combined[GEO],D$60,Raw_Data_Combined[PSP Provider],Tasks!$C19)</f>
        <v>0.62962962962962965</v>
      </c>
      <c r="E64" s="86">
        <f>COUNTIFS(Raw_Data_Combined[GEO],E$60,Raw_Data_Combined[Status],"Success",Raw_Data_Combined[PSP Provider],Tasks!$C19)/COUNTIFS(Raw_Data_Combined[GEO],E$60,Raw_Data_Combined[PSP Provider],Tasks!$C19)</f>
        <v>0.43478260869565216</v>
      </c>
      <c r="F64" s="86">
        <f>COUNTIFS(Raw_Data_Combined[GEO],F$60,Raw_Data_Combined[Status],"Success",Raw_Data_Combined[PSP Provider],Tasks!$C19)/COUNTIFS(Raw_Data_Combined[GEO],F$60,Raw_Data_Combined[PSP Provider],Tasks!$C19)</f>
        <v>0.7</v>
      </c>
    </row>
    <row r="65" spans="2:6" x14ac:dyDescent="0.25">
      <c r="B65" s="8">
        <v>5</v>
      </c>
      <c r="C65" s="9" t="str">
        <v>Adyen</v>
      </c>
      <c r="D65" s="86">
        <f>COUNTIFS(Raw_Data_Combined[GEO],D$60,Raw_Data_Combined[Status],"Success",Raw_Data_Combined[PSP Provider],Tasks!$C20)/COUNTIFS(Raw_Data_Combined[GEO],D$60,Raw_Data_Combined[PSP Provider],Tasks!$C20)</f>
        <v>0.63157894736842102</v>
      </c>
      <c r="E65" s="86">
        <f>COUNTIFS(Raw_Data_Combined[GEO],E$60,Raw_Data_Combined[Status],"Success",Raw_Data_Combined[PSP Provider],Tasks!$C20)/COUNTIFS(Raw_Data_Combined[GEO],E$60,Raw_Data_Combined[PSP Provider],Tasks!$C20)</f>
        <v>0.47368421052631576</v>
      </c>
      <c r="F65" s="86">
        <f>COUNTIFS(Raw_Data_Combined[GEO],F$60,Raw_Data_Combined[Status],"Success",Raw_Data_Combined[PSP Provider],Tasks!$C20)/COUNTIFS(Raw_Data_Combined[GEO],F$60,Raw_Data_Combined[PSP Provider],Tasks!$C20)</f>
        <v>0.5</v>
      </c>
    </row>
    <row r="66" spans="2:6" x14ac:dyDescent="0.25">
      <c r="E66" s="7"/>
      <c r="F66" s="7"/>
    </row>
    <row r="67" spans="2:6" x14ac:dyDescent="0.25">
      <c r="B67" s="4" t="s">
        <v>1058</v>
      </c>
    </row>
    <row r="68" spans="2:6" x14ac:dyDescent="0.25">
      <c r="B68" s="22" t="s">
        <v>1045</v>
      </c>
      <c r="C68" s="23" t="s">
        <v>1055</v>
      </c>
      <c r="D68" s="24" t="s">
        <v>1056</v>
      </c>
    </row>
    <row r="69" spans="2:6" x14ac:dyDescent="0.25">
      <c r="B69" s="8">
        <v>1</v>
      </c>
      <c r="C69" s="9" t="str" cm="1">
        <f t="array" ref="C69:C71">_xlfn.TAKE(_xlfn._xlws.SORT(C27:D36,2,-1),3,1)</f>
        <v>NL</v>
      </c>
      <c r="D69" s="8" t="str">
        <f>INDEX($C$61:$C$65, MATCH(MAX($D$61:$D$65), $D$61:$D$65, 0))</f>
        <v>Adyen</v>
      </c>
    </row>
    <row r="70" spans="2:6" x14ac:dyDescent="0.25">
      <c r="B70" s="8">
        <v>2</v>
      </c>
      <c r="C70" s="9" t="str">
        <v>GB</v>
      </c>
      <c r="D70" s="8" t="str">
        <f>INDEX($C$61:$C$65, MATCH(MAX($E$61:$E$65), $E$61:$E$65, 0))</f>
        <v>Checkout.com</v>
      </c>
    </row>
    <row r="71" spans="2:6" x14ac:dyDescent="0.25">
      <c r="B71" s="8">
        <v>3</v>
      </c>
      <c r="C71" s="9" t="str">
        <v>CY</v>
      </c>
      <c r="D71" s="8" t="str">
        <f>INDEX($C$61:$C$65, MATCH(MAX($F$61:$F$65), $F$61:$F$65, 0))</f>
        <v>PaySafe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0E2C-7217-470A-97B3-B026296335C1}">
  <sheetPr>
    <tabColor rgb="FF1B2A4A"/>
  </sheetPr>
  <dimension ref="A1:AA59"/>
  <sheetViews>
    <sheetView view="pageBreakPreview" zoomScale="60" zoomScaleNormal="115" workbookViewId="0">
      <selection activeCell="I7" sqref="I7"/>
    </sheetView>
  </sheetViews>
  <sheetFormatPr defaultRowHeight="15" x14ac:dyDescent="0.25"/>
  <cols>
    <col min="1" max="1" width="2.85546875" customWidth="1"/>
    <col min="2" max="2" width="16.7109375" customWidth="1"/>
    <col min="3" max="3" width="17.7109375" customWidth="1"/>
    <col min="4" max="4" width="17.42578125" customWidth="1"/>
    <col min="5" max="5" width="22.85546875" customWidth="1"/>
    <col min="6" max="6" width="22.7109375" customWidth="1"/>
    <col min="7" max="7" width="18.42578125" customWidth="1"/>
    <col min="8" max="8" width="20.7109375" customWidth="1"/>
    <col min="9" max="9" width="19.140625" customWidth="1"/>
    <col min="10" max="10" width="24.85546875" bestFit="1" customWidth="1"/>
    <col min="11" max="11" width="3" customWidth="1"/>
    <col min="12" max="12" width="18" customWidth="1"/>
    <col min="13" max="13" width="11.5703125" customWidth="1"/>
    <col min="14" max="14" width="10.85546875" customWidth="1"/>
    <col min="15" max="16" width="9.140625" customWidth="1"/>
    <col min="17" max="17" width="18.7109375" customWidth="1"/>
    <col min="18" max="18" width="24.140625" customWidth="1"/>
    <col min="19" max="19" width="21.28515625" customWidth="1"/>
  </cols>
  <sheetData>
    <row r="1" spans="1:27" ht="9.9499999999999993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45" customHeight="1" x14ac:dyDescent="0.4">
      <c r="A2" s="26"/>
      <c r="B2" s="27" t="s">
        <v>1064</v>
      </c>
      <c r="C2" s="28" t="s">
        <v>1065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9.9499999999999993" customHeight="1" thickBot="1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18" customHeight="1" thickTop="1" x14ac:dyDescent="0.25">
      <c r="A4" s="29"/>
      <c r="B4" s="33" t="s">
        <v>1066</v>
      </c>
      <c r="C4" s="29"/>
      <c r="D4" s="34" t="s">
        <v>1067</v>
      </c>
      <c r="E4" s="29"/>
      <c r="F4" s="35" t="s">
        <v>1068</v>
      </c>
      <c r="G4" s="29"/>
      <c r="H4" s="36" t="s">
        <v>1069</v>
      </c>
      <c r="I4" s="29"/>
      <c r="J4" s="90" t="s">
        <v>1103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ht="35.1" customHeight="1" x14ac:dyDescent="0.45">
      <c r="A5" s="29"/>
      <c r="B5" s="30">
        <f>COUNTA(Raw_Data_Combined[Transaction ID])</f>
        <v>1000</v>
      </c>
      <c r="C5" s="29"/>
      <c r="D5" s="32">
        <f>COUNTIF(Raw_Data_Combined[Status],"Success")/B5</f>
        <v>0.55400000000000005</v>
      </c>
      <c r="E5" s="29"/>
      <c r="F5" s="87">
        <f>SUM(Raw_Data_Combined[Net Amount EUR])</f>
        <v>1022906.0243800005</v>
      </c>
      <c r="G5" s="29"/>
      <c r="H5" s="88">
        <f>AVERAGE(Raw_Data_Combined[Net Amount EUR])</f>
        <v>1022.9060243800005</v>
      </c>
      <c r="I5" s="29"/>
      <c r="J5" s="89">
        <f>AVERAGEIFS(Raw_Data_Combined[Net Amount EUR],Raw_Data_Combined[Status],"Success")</f>
        <v>1846.4007660288819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5" customHeight="1" x14ac:dyDescent="0.25">
      <c r="A6" s="29"/>
      <c r="B6" s="31" t="s">
        <v>1070</v>
      </c>
      <c r="C6" s="29"/>
      <c r="D6" s="31" t="s">
        <v>1071</v>
      </c>
      <c r="E6" s="29"/>
      <c r="F6" s="31" t="s">
        <v>1072</v>
      </c>
      <c r="G6" s="29"/>
      <c r="H6" s="31" t="s">
        <v>1073</v>
      </c>
      <c r="I6" s="29"/>
      <c r="J6" s="31" t="s">
        <v>1104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ht="15" customHeigh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ht="27.95" customHeight="1" x14ac:dyDescent="0.3">
      <c r="A8" s="29"/>
      <c r="B8" s="81" t="s">
        <v>1074</v>
      </c>
      <c r="C8" s="29"/>
      <c r="D8" s="29"/>
      <c r="E8" s="29"/>
      <c r="F8" s="29"/>
      <c r="G8" s="81" t="s">
        <v>1075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21.95" customHeight="1" x14ac:dyDescent="0.25">
      <c r="A9" s="29"/>
      <c r="B9" s="40" t="s">
        <v>7</v>
      </c>
      <c r="C9" s="40" t="s">
        <v>1053</v>
      </c>
      <c r="D9" s="49" t="s">
        <v>1076</v>
      </c>
      <c r="E9" s="76" t="s">
        <v>1077</v>
      </c>
      <c r="F9" s="29"/>
      <c r="G9" s="63" t="s">
        <v>8</v>
      </c>
      <c r="H9" s="60" t="s">
        <v>1053</v>
      </c>
      <c r="I9" s="60" t="s">
        <v>1081</v>
      </c>
      <c r="J9" s="67" t="s">
        <v>1082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21.95" customHeight="1" x14ac:dyDescent="0.25">
      <c r="A10" s="29"/>
      <c r="B10" s="53" t="s">
        <v>1078</v>
      </c>
      <c r="C10" s="45">
        <f>COUNTIF(Raw_Data_Combined[Status],"Success")</f>
        <v>554</v>
      </c>
      <c r="D10" s="46">
        <f>C10/SUM($C$10:$C$12)</f>
        <v>0.55400000000000005</v>
      </c>
      <c r="E10" s="101" t="str">
        <f>REPT("█",ROUND(D10*30,0))</f>
        <v>█████████████████</v>
      </c>
      <c r="F10" s="29"/>
      <c r="G10" s="64" t="str" cm="1">
        <f t="array" ref="G10:G14">_xlfn.TAKE(_xlfn._xlws.SORT(Tasks!C43:E47,3,-1),,1)</f>
        <v>Fraud Suspected</v>
      </c>
      <c r="H10" s="56">
        <f>VLOOKUP(G10,Tasks!$C$43:$E$47,2,FALSE)</f>
        <v>51</v>
      </c>
      <c r="I10" s="57">
        <f>H10/SUM($H$10:$H$14)</f>
        <v>0.23394495412844038</v>
      </c>
      <c r="J10" s="68" t="s">
        <v>1083</v>
      </c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21.95" customHeight="1" x14ac:dyDescent="0.25">
      <c r="A11" s="29"/>
      <c r="B11" s="54" t="s">
        <v>1079</v>
      </c>
      <c r="C11" s="47">
        <f>COUNTIF(Raw_Data_Combined[Status],"Pending")</f>
        <v>228</v>
      </c>
      <c r="D11" s="48">
        <f>C11/SUM($C$10:$C$12)</f>
        <v>0.22800000000000001</v>
      </c>
      <c r="E11" s="102" t="str">
        <f>REPT("█",ROUND(D11*30,0))</f>
        <v>███████</v>
      </c>
      <c r="F11" s="29"/>
      <c r="G11" s="65" t="str">
        <v>Card Declined</v>
      </c>
      <c r="H11" s="58">
        <f>VLOOKUP(G11,Tasks!$C$43:$E$47,2,FALSE)</f>
        <v>49</v>
      </c>
      <c r="I11" s="59">
        <f>H11/SUM($H$10:$H$14)</f>
        <v>0.22477064220183487</v>
      </c>
      <c r="J11" s="69" t="s">
        <v>1084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ht="21.95" customHeight="1" x14ac:dyDescent="0.25">
      <c r="A12" s="29"/>
      <c r="B12" s="55" t="s">
        <v>1080</v>
      </c>
      <c r="C12" s="50">
        <f>COUNTIF(Raw_Data_Combined[Status],"Failed")</f>
        <v>218</v>
      </c>
      <c r="D12" s="51">
        <f>C12/SUM($C$10:$C$12)</f>
        <v>0.218</v>
      </c>
      <c r="E12" s="103" t="str">
        <f>REPT("█",ROUND(D12*30,0))</f>
        <v>███████</v>
      </c>
      <c r="F12" s="82"/>
      <c r="G12" s="64" t="str">
        <v>Technical Error</v>
      </c>
      <c r="H12" s="56">
        <f>VLOOKUP(G12,Tasks!$C$43:$E$47,2,FALSE)</f>
        <v>44</v>
      </c>
      <c r="I12" s="57">
        <f>H12/SUM($H$10:$H$14)</f>
        <v>0.20183486238532111</v>
      </c>
      <c r="J12" s="69" t="s">
        <v>1084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ht="21.95" customHeight="1" x14ac:dyDescent="0.25">
      <c r="A13" s="29"/>
      <c r="B13" s="29"/>
      <c r="C13" s="29"/>
      <c r="D13" s="29"/>
      <c r="E13" s="29"/>
      <c r="F13" s="29"/>
      <c r="G13" s="65" t="str">
        <v>Expired Card</v>
      </c>
      <c r="H13" s="58">
        <f>VLOOKUP(G13,Tasks!$C$43:$E$47,2,FALSE)</f>
        <v>41</v>
      </c>
      <c r="I13" s="59">
        <f>H13/SUM($H$10:$H$14)</f>
        <v>0.18807339449541285</v>
      </c>
      <c r="J13" s="70" t="s">
        <v>1085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ht="21.95" customHeight="1" x14ac:dyDescent="0.25">
      <c r="A14" s="29"/>
      <c r="B14" s="29"/>
      <c r="C14" s="29"/>
      <c r="D14" s="29"/>
      <c r="E14" s="29"/>
      <c r="F14" s="29"/>
      <c r="G14" s="66" t="str">
        <v>Insufficient Funds</v>
      </c>
      <c r="H14" s="61">
        <f>VLOOKUP(G14,Tasks!$C$43:$E$47,2,FALSE)</f>
        <v>33</v>
      </c>
      <c r="I14" s="62">
        <f>H14/SUM($H$10:$H$14)</f>
        <v>0.15137614678899083</v>
      </c>
      <c r="J14" s="71" t="s">
        <v>1085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ht="27.95" customHeight="1" x14ac:dyDescent="0.3">
      <c r="A15" s="29"/>
      <c r="B15" s="81" t="s">
        <v>1086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21.95" customHeight="1" x14ac:dyDescent="0.25">
      <c r="A16" s="29"/>
      <c r="B16" s="40" t="s">
        <v>1062</v>
      </c>
      <c r="C16" s="40" t="s">
        <v>1060</v>
      </c>
      <c r="D16" s="60" t="s">
        <v>1087</v>
      </c>
      <c r="E16" s="49" t="s">
        <v>1063</v>
      </c>
      <c r="F16" s="49" t="s">
        <v>1088</v>
      </c>
      <c r="G16" s="49" t="s">
        <v>9</v>
      </c>
      <c r="H16" s="49" t="s">
        <v>1089</v>
      </c>
      <c r="I16" s="76" t="s">
        <v>1105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ht="21.95" customHeight="1" x14ac:dyDescent="0.25">
      <c r="A17" s="29"/>
      <c r="B17" s="72" t="str" cm="1">
        <f t="array" ref="B17:B21">_xlfn.TAKE(_xlfn._xlws.SORT(Tasks!C5:E9,3,-1),,1)</f>
        <v>Checkout.com</v>
      </c>
      <c r="C17" s="41">
        <f>VLOOKUP(Dashboards!B17,Tasks!$C$16:$F$20,4,FALSE)</f>
        <v>221</v>
      </c>
      <c r="D17" s="57">
        <f>VLOOKUP(Dashboards!B17,Tasks!$C$5:$F$9,4,FALSE)</f>
        <v>0.58823529411764708</v>
      </c>
      <c r="E17" s="83">
        <f>VLOOKUP(Dashboards!B17,Tasks!$C$16:$E$20,2,FALSE)</f>
        <v>249008.98317999998</v>
      </c>
      <c r="F17" s="83">
        <f>VLOOKUP(Dashboards!B17,Tasks!$C$16:$E$20,3,FALSE)</f>
        <v>4822.7699800000028</v>
      </c>
      <c r="G17" s="43">
        <f t="shared" ref="G17:G22" si="0">F17/(E17+F17)</f>
        <v>1.8999868692393358E-2</v>
      </c>
      <c r="H17" s="83">
        <f t="shared" ref="H17:H22" si="1">E17/C17</f>
        <v>1126.7374804524886</v>
      </c>
      <c r="I17" s="98">
        <f>AVERAGEIFS(Raw_Data_Combined[Net Amount EUR],Raw_Data_Combined[PSP Provider],$B17,Raw_Data_Combined[Status],"Success")</f>
        <v>1915.4537167692306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ht="21.95" customHeight="1" x14ac:dyDescent="0.25">
      <c r="A18" s="29"/>
      <c r="B18" s="73" t="str">
        <v>PaySafe</v>
      </c>
      <c r="C18" s="77">
        <f>VLOOKUP(Dashboards!B18,Tasks!$C$16:$F$20,4,FALSE)</f>
        <v>210</v>
      </c>
      <c r="D18" s="96">
        <f>VLOOKUP(Dashboards!B18,Tasks!$C$5:$F$9,4,FALSE)</f>
        <v>0.5714285714285714</v>
      </c>
      <c r="E18" s="84">
        <f>VLOOKUP(B18,Tasks!$C$16:$E$20,2,FALSE)</f>
        <v>215469.05807999999</v>
      </c>
      <c r="F18" s="84">
        <f>VLOOKUP(Dashboards!B18,Tasks!$C$16:$E$20,3,FALSE)</f>
        <v>7122.9515199999987</v>
      </c>
      <c r="G18" s="44">
        <f t="shared" si="0"/>
        <v>3.2000032403678873E-2</v>
      </c>
      <c r="H18" s="84">
        <f t="shared" si="1"/>
        <v>1026.0431337142857</v>
      </c>
      <c r="I18" s="112">
        <f>AVERAGEIFS(Raw_Data_Combined[Net Amount EUR],Raw_Data_Combined[PSP Provider],$B18,Raw_Data_Combined[Status],"Success")</f>
        <v>1795.575484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ht="21.95" customHeight="1" x14ac:dyDescent="0.25">
      <c r="A19" s="29"/>
      <c r="B19" s="72" t="str">
        <v>Worldpay</v>
      </c>
      <c r="C19" s="56">
        <f>VLOOKUP(Dashboards!B19,Tasks!$C$16:$F$20,4,FALSE)</f>
        <v>194</v>
      </c>
      <c r="D19" s="57">
        <f>VLOOKUP(Dashboards!B19,Tasks!$C$5:$F$9,4,FALSE)</f>
        <v>0.54123711340206182</v>
      </c>
      <c r="E19" s="83">
        <f>VLOOKUP(B19,Tasks!$C$16:$E$20,2,FALSE)</f>
        <v>173179.52418000007</v>
      </c>
      <c r="F19" s="83">
        <f>VLOOKUP(Dashboards!B19,Tasks!$C$16:$E$20,3,FALSE)</f>
        <v>4440.4714200000026</v>
      </c>
      <c r="G19" s="43">
        <f t="shared" si="0"/>
        <v>2.4999839713992205E-2</v>
      </c>
      <c r="H19" s="83">
        <f t="shared" si="1"/>
        <v>892.67795969072199</v>
      </c>
      <c r="I19" s="98">
        <f>AVERAGEIFS(Raw_Data_Combined[Net Amount EUR],Raw_Data_Combined[PSP Provider],$B19,Raw_Data_Combined[Status],"Success")</f>
        <v>1649.3288017142863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ht="21.95" customHeight="1" x14ac:dyDescent="0.25">
      <c r="A20" s="29"/>
      <c r="B20" s="73" t="str">
        <v>Adyen</v>
      </c>
      <c r="C20" s="93">
        <f>VLOOKUP(Dashboards!B20,Tasks!$C$16:$F$20,4,FALSE)</f>
        <v>189</v>
      </c>
      <c r="D20" s="97">
        <f>VLOOKUP(Dashboards!B20,Tasks!$C$5:$F$9,4,FALSE)</f>
        <v>0.51851851851851849</v>
      </c>
      <c r="E20" s="84">
        <f>VLOOKUP(B20,Tasks!$C$16:$E$20,2,FALSE)</f>
        <v>192887.60814000003</v>
      </c>
      <c r="F20" s="84">
        <f>VLOOKUP(Dashboards!B20,Tasks!$C$16:$E$20,3,FALSE)</f>
        <v>4137.5568399999993</v>
      </c>
      <c r="G20" s="44">
        <f t="shared" si="0"/>
        <v>2.1000144019267801E-2</v>
      </c>
      <c r="H20" s="84">
        <f t="shared" si="1"/>
        <v>1020.5693552380953</v>
      </c>
      <c r="I20" s="112">
        <f>AVERAGEIFS(Raw_Data_Combined[Net Amount EUR],Raw_Data_Combined[PSP Provider],$B20,Raw_Data_Combined[Status],"Success")</f>
        <v>1968.2408993877555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21.95" customHeight="1" x14ac:dyDescent="0.25">
      <c r="A21" s="29"/>
      <c r="B21" s="74" t="str">
        <v>Stripe</v>
      </c>
      <c r="C21" s="92">
        <f>VLOOKUP(Dashboards!B21,Tasks!$C$16:$F$20,4,FALSE)</f>
        <v>186</v>
      </c>
      <c r="D21" s="57">
        <f>VLOOKUP(Dashboards!B21,Tasks!$C$5:$F$9,4,FALSE)</f>
        <v>0.543010752688172</v>
      </c>
      <c r="E21" s="94">
        <f>VLOOKUP(B21,Tasks!$C$16:$E$20,2,FALSE)</f>
        <v>192360.85080000004</v>
      </c>
      <c r="F21" s="83">
        <f>VLOOKUP(Dashboards!B21,Tasks!$C$16:$E$20,3,FALSE)</f>
        <v>5745.036360000001</v>
      </c>
      <c r="G21" s="75">
        <f t="shared" si="0"/>
        <v>2.8999826518835491E-2</v>
      </c>
      <c r="H21" s="94">
        <f t="shared" si="1"/>
        <v>1034.1981225806453</v>
      </c>
      <c r="I21" s="98">
        <f>AVERAGEIFS(Raw_Data_Combined[Net Amount EUR],Raw_Data_Combined[PSP Provider],$B21,Raw_Data_Combined[Status],"Success")</f>
        <v>1904.5628792079212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ht="21.95" customHeight="1" x14ac:dyDescent="0.25">
      <c r="A22" s="29"/>
      <c r="B22" s="37" t="s">
        <v>1090</v>
      </c>
      <c r="C22" s="38">
        <f>SUM(C17:C21)</f>
        <v>1000</v>
      </c>
      <c r="D22" s="39">
        <f>COUNTIF(Raw_Data_Combined[Status],"Success")/C22</f>
        <v>0.55400000000000005</v>
      </c>
      <c r="E22" s="95">
        <f>SUM(E17:E21)</f>
        <v>1022906.0243800001</v>
      </c>
      <c r="F22" s="95">
        <f>SUM(F17:F21)</f>
        <v>26268.786120000008</v>
      </c>
      <c r="G22" s="39">
        <f t="shared" si="0"/>
        <v>2.5037568436742416E-2</v>
      </c>
      <c r="H22" s="95">
        <f t="shared" si="1"/>
        <v>1022.9060243800001</v>
      </c>
      <c r="I22" s="95">
        <f>J5</f>
        <v>1846.4007660288819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ht="27.95" customHeight="1" x14ac:dyDescent="0.3">
      <c r="A25" s="29"/>
      <c r="B25" s="81" t="s">
        <v>1091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ht="21.95" customHeight="1" x14ac:dyDescent="0.25">
      <c r="A26" s="29"/>
      <c r="B26" s="52" t="s">
        <v>1061</v>
      </c>
      <c r="C26" s="40" t="s">
        <v>1060</v>
      </c>
      <c r="D26" s="49" t="s">
        <v>1063</v>
      </c>
      <c r="E26" s="76" t="s">
        <v>1087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ht="20.100000000000001" customHeight="1" x14ac:dyDescent="0.25">
      <c r="A27" s="29"/>
      <c r="B27" s="78" t="s">
        <v>1092</v>
      </c>
      <c r="C27" s="41">
        <f>COUNTIFS(Raw_Data_Combined[Date &amp; Time],"&gt;="&amp;DATE(2024,1,1),Raw_Data_Combined[Date &amp; Time],"&lt;"&amp;DATE(2024,2,1))</f>
        <v>73</v>
      </c>
      <c r="D27" s="83">
        <f>SUMIFS(Raw_Data_Combined[Net Amount EUR],Raw_Data_Combined[Date &amp; Time],"&gt;="&amp;DATE(2024,1,1),Raw_Data_Combined[Date &amp; Time],"&lt;"&amp;DATE(2024,2,1))</f>
        <v>65625.861780000007</v>
      </c>
      <c r="E27" s="104">
        <f>COUNTIFS(Raw_Data_Combined[Date &amp; Time],"&gt;="&amp;DATE(2024,1,1),Raw_Data_Combined[Date &amp; Time],"&lt;"&amp;DATE(2024,2,1),Raw_Data_Combined[Status],"Success")/C27</f>
        <v>0.47945205479452052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20.100000000000001" customHeight="1" x14ac:dyDescent="0.25">
      <c r="A28" s="29"/>
      <c r="B28" s="79" t="s">
        <v>1093</v>
      </c>
      <c r="C28" s="42">
        <f>COUNTIFS(Raw_Data_Combined[Date &amp; Time],"&gt;="&amp;DATE(2024,2,1),Raw_Data_Combined[Date &amp; Time],"&lt;"&amp;DATE(2024,3,1))</f>
        <v>81</v>
      </c>
      <c r="D28" s="84">
        <f>SUMIFS(Raw_Data_Combined[Net Amount EUR],Raw_Data_Combined[Date &amp; Time],"&gt;="&amp;DATE(2024,2,1),Raw_Data_Combined[Date &amp; Time],"&lt;"&amp;DATE(2024,3,1))</f>
        <v>102377.69885999999</v>
      </c>
      <c r="E28" s="105">
        <f>COUNTIFS(Raw_Data_Combined[Date &amp; Time],"&gt;="&amp;DATE(2024,2,1),Raw_Data_Combined[Date &amp; Time],"&lt;"&amp;DATE(2024,3,1),Raw_Data_Combined[Status],"Success")/C28</f>
        <v>0.54320987654320985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20.100000000000001" customHeight="1" x14ac:dyDescent="0.25">
      <c r="A29" s="29"/>
      <c r="B29" s="78" t="s">
        <v>1094</v>
      </c>
      <c r="C29" s="41">
        <f>COUNTIFS(Raw_Data_Combined[Date &amp; Time],"&gt;="&amp;DATE(2024,3,1),Raw_Data_Combined[Date &amp; Time],"&lt;"&amp;DATE(2024,4,1))</f>
        <v>101</v>
      </c>
      <c r="D29" s="83">
        <f>SUMIFS(Raw_Data_Combined[Net Amount EUR],Raw_Data_Combined[Date &amp; Time],"&gt;="&amp;DATE(2024,3,1),Raw_Data_Combined[Date &amp; Time],"&lt;"&amp;DATE(2024,4,1))</f>
        <v>70618.214140000011</v>
      </c>
      <c r="E29" s="104">
        <f>COUNTIFS(Raw_Data_Combined[Date &amp; Time],"&gt;="&amp;DATE(2024,3,1),Raw_Data_Combined[Date &amp; Time],"&lt;"&amp;DATE(2024,4,1),Raw_Data_Combined[Status],"Success")/C29</f>
        <v>0.48514851485148514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ht="20.100000000000001" customHeight="1" x14ac:dyDescent="0.25">
      <c r="A30" s="29"/>
      <c r="B30" s="79" t="s">
        <v>1095</v>
      </c>
      <c r="C30" s="42">
        <f>COUNTIFS(Raw_Data_Combined[Date &amp; Time],"&gt;="&amp;DATE(2024,4,1),Raw_Data_Combined[Date &amp; Time],"&lt;"&amp;DATE(2024,5,1))</f>
        <v>75</v>
      </c>
      <c r="D30" s="84">
        <f>SUMIFS(Raw_Data_Combined[Net Amount EUR],Raw_Data_Combined[Date &amp; Time],"&gt;="&amp;DATE(2024,4,1),Raw_Data_Combined[Date &amp; Time],"&lt;"&amp;DATE(2024,5,1))</f>
        <v>59725.270579999997</v>
      </c>
      <c r="E30" s="105">
        <f>COUNTIFS(Raw_Data_Combined[Date &amp; Time],"&gt;="&amp;DATE(2024,4,1),Raw_Data_Combined[Date &amp; Time],"&lt;"&amp;DATE(2024,5,1),Raw_Data_Combined[Status],"Success")/C30</f>
        <v>0.57333333333333336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20.100000000000001" customHeight="1" x14ac:dyDescent="0.25">
      <c r="A31" s="29"/>
      <c r="B31" s="78" t="s">
        <v>1059</v>
      </c>
      <c r="C31" s="41">
        <f>COUNTIFS(Raw_Data_Combined[Date &amp; Time],"&gt;="&amp;DATE(2024,5,1),Raw_Data_Combined[Date &amp; Time],"&lt;"&amp;DATE(2024,6,1))</f>
        <v>84</v>
      </c>
      <c r="D31" s="83">
        <f>SUMIFS(Raw_Data_Combined[Net Amount EUR],Raw_Data_Combined[Date &amp; Time],"&gt;="&amp;DATE(2024,5,1),Raw_Data_Combined[Date &amp; Time],"&lt;"&amp;DATE(2024,6,1))</f>
        <v>89632.367779999986</v>
      </c>
      <c r="E31" s="104">
        <f>COUNTIFS(Raw_Data_Combined[Date &amp; Time],"&gt;="&amp;DATE(2024,5,1),Raw_Data_Combined[Date &amp; Time],"&lt;"&amp;DATE(2024,6,1),Raw_Data_Combined[Status],"Success")/C31</f>
        <v>0.54761904761904767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ht="20.100000000000001" customHeight="1" x14ac:dyDescent="0.25">
      <c r="A32" s="29"/>
      <c r="B32" s="79" t="s">
        <v>1096</v>
      </c>
      <c r="C32" s="42">
        <f>COUNTIFS(Raw_Data_Combined[Date &amp; Time],"&gt;="&amp;DATE(2024,6,1),Raw_Data_Combined[Date &amp; Time],"&lt;"&amp;DATE(2024,7,1))</f>
        <v>71</v>
      </c>
      <c r="D32" s="84">
        <f>SUMIFS(Raw_Data_Combined[Net Amount EUR],Raw_Data_Combined[Date &amp; Time],"&gt;="&amp;DATE(2024,6,1),Raw_Data_Combined[Date &amp; Time],"&lt;"&amp;DATE(2024,7,1))</f>
        <v>79628.898740000004</v>
      </c>
      <c r="E32" s="105">
        <f>COUNTIFS(Raw_Data_Combined[Date &amp; Time],"&gt;="&amp;DATE(2024,6,1),Raw_Data_Combined[Date &amp; Time],"&lt;"&amp;DATE(2024,7,1),Raw_Data_Combined[Status],"Success")/C32</f>
        <v>0.56338028169014087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7" ht="20.100000000000001" customHeight="1" x14ac:dyDescent="0.25">
      <c r="A33" s="29"/>
      <c r="B33" s="78" t="s">
        <v>1097</v>
      </c>
      <c r="C33" s="41">
        <f>COUNTIFS(Raw_Data_Combined[Date &amp; Time],"&gt;="&amp;DATE(2024,7,1),Raw_Data_Combined[Date &amp; Time],"&lt;"&amp;DATE(2024,8,1))</f>
        <v>72</v>
      </c>
      <c r="D33" s="83">
        <f>SUMIFS(Raw_Data_Combined[Net Amount EUR],Raw_Data_Combined[Date &amp; Time],"&gt;="&amp;DATE(2024,7,1),Raw_Data_Combined[Date &amp; Time],"&lt;"&amp;DATE(2024,8,1))</f>
        <v>66794.899340000004</v>
      </c>
      <c r="E33" s="104">
        <f>COUNTIFS(Raw_Data_Combined[Date &amp; Time],"&gt;="&amp;DATE(2024,7,1),Raw_Data_Combined[Date &amp; Time],"&lt;"&amp;DATE(2024,8,1),Raw_Data_Combined[Status],"Success")/C33</f>
        <v>0.47222222222222221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27" ht="20.100000000000001" customHeight="1" x14ac:dyDescent="0.25">
      <c r="A34" s="29"/>
      <c r="B34" s="79" t="s">
        <v>1098</v>
      </c>
      <c r="C34" s="42">
        <f>COUNTIFS(Raw_Data_Combined[Date &amp; Time],"&gt;="&amp;DATE(2024,8,1),Raw_Data_Combined[Date &amp; Time],"&lt;"&amp;DATE(2024,9,1))</f>
        <v>97</v>
      </c>
      <c r="D34" s="84">
        <f>SUMIFS(Raw_Data_Combined[Net Amount EUR],Raw_Data_Combined[Date &amp; Time],"&gt;="&amp;DATE(2024,8,1),Raw_Data_Combined[Date &amp; Time],"&lt;"&amp;DATE(2024,9,1))</f>
        <v>99141.274460000015</v>
      </c>
      <c r="E34" s="105">
        <f>COUNTIFS(Raw_Data_Combined[Date &amp; Time],"&gt;="&amp;DATE(2024,8,1),Raw_Data_Combined[Date &amp; Time],"&lt;"&amp;DATE(2024,9,1),Raw_Data_Combined[Status],"Success")/C34</f>
        <v>0.62886597938144329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1:27" ht="20.100000000000001" customHeight="1" x14ac:dyDescent="0.25">
      <c r="A35" s="29"/>
      <c r="B35" s="78" t="s">
        <v>1099</v>
      </c>
      <c r="C35" s="41">
        <f>COUNTIFS(Raw_Data_Combined[Date &amp; Time],"&gt;="&amp;DATE(2024,9,1),Raw_Data_Combined[Date &amp; Time],"&lt;"&amp;DATE(2024,10,1))</f>
        <v>74</v>
      </c>
      <c r="D35" s="83">
        <f>SUMIFS(Raw_Data_Combined[Net Amount EUR],Raw_Data_Combined[Date &amp; Time],"&gt;="&amp;DATE(2024,9,1),Raw_Data_Combined[Date &amp; Time],"&lt;"&amp;DATE(2024,10,1))</f>
        <v>86038.682720000012</v>
      </c>
      <c r="E35" s="104">
        <f>COUNTIFS(Raw_Data_Combined[Date &amp; Time],"&gt;="&amp;DATE(2024,9,1),Raw_Data_Combined[Date &amp; Time],"&lt;"&amp;DATE(2024,10,1),Raw_Data_Combined[Status],"Success")/C35</f>
        <v>0.60810810810810811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1:27" ht="20.100000000000001" customHeight="1" x14ac:dyDescent="0.25">
      <c r="A36" s="29"/>
      <c r="B36" s="79" t="s">
        <v>1100</v>
      </c>
      <c r="C36" s="42">
        <f>COUNTIFS(Raw_Data_Combined[Date &amp; Time],"&gt;="&amp;DATE(2024,10,1),Raw_Data_Combined[Date &amp; Time],"&lt;"&amp;DATE(2024,11,1))</f>
        <v>96</v>
      </c>
      <c r="D36" s="84">
        <f>SUMIFS(Raw_Data_Combined[Net Amount EUR],Raw_Data_Combined[Date &amp; Time],"&gt;="&amp;DATE(2024,10,1),Raw_Data_Combined[Date &amp; Time],"&lt;"&amp;DATE(2024,11,1))</f>
        <v>121825.00264000002</v>
      </c>
      <c r="E36" s="105">
        <f>COUNTIFS(Raw_Data_Combined[Date &amp; Time],"&gt;="&amp;DATE(2024,10,1),Raw_Data_Combined[Date &amp; Time],"&lt;"&amp;DATE(2024,11,1),Raw_Data_Combined[Status],"Success")/C36</f>
        <v>0.61458333333333337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1:27" ht="20.100000000000001" customHeight="1" x14ac:dyDescent="0.25">
      <c r="A37" s="29"/>
      <c r="B37" s="78" t="s">
        <v>1101</v>
      </c>
      <c r="C37" s="41">
        <f>COUNTIFS(Raw_Data_Combined[Date &amp; Time],"&gt;="&amp;DATE(2024,11,1),Raw_Data_Combined[Date &amp; Time],"&lt;"&amp;DATE(2024,12,1))</f>
        <v>76</v>
      </c>
      <c r="D37" s="83">
        <f>SUMIFS(Raw_Data_Combined[Net Amount EUR],Raw_Data_Combined[Date &amp; Time],"&gt;="&amp;DATE(2024,11,1),Raw_Data_Combined[Date &amp; Time],"&lt;"&amp;DATE(2024,12,1))</f>
        <v>81662.193220000001</v>
      </c>
      <c r="E37" s="104">
        <f>COUNTIFS(Raw_Data_Combined[Date &amp; Time],"&gt;="&amp;DATE(2024,11,1),Raw_Data_Combined[Date &amp; Time],"&lt;"&amp;DATE(2024,12,1),Raw_Data_Combined[Status],"Success")/C37</f>
        <v>0.53947368421052633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1:27" ht="20.100000000000001" customHeight="1" x14ac:dyDescent="0.25">
      <c r="A38" s="29"/>
      <c r="B38" s="80" t="s">
        <v>1102</v>
      </c>
      <c r="C38" s="77">
        <f>COUNTIFS(Raw_Data_Combined[Date &amp; Time],"&gt;="&amp;DATE(2024,12,1),Raw_Data_Combined[Date &amp; Time],"&lt;"&amp;DATE(2025,1,1))</f>
        <v>100</v>
      </c>
      <c r="D38" s="85">
        <f>SUMIFS(Raw_Data_Combined[Net Amount EUR],Raw_Data_Combined[Date &amp; Time],"&gt;="&amp;DATE(2024,12,1),Raw_Data_Combined[Date &amp; Time],"&lt;"&amp;DATE(2025,1,1))</f>
        <v>99835.660119999971</v>
      </c>
      <c r="E38" s="106">
        <f>COUNTIFS(Raw_Data_Combined[Date &amp; Time],"&gt;="&amp;DATE(2024,12,1),Raw_Data_Combined[Date &amp; Time],"&lt;"&amp;DATE(2025,1,1),Raw_Data_Combined[Status],"Success")/C38</f>
        <v>0.56999999999999995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1:27" ht="12.75" customHeight="1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1:27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ht="27" customHeight="1" x14ac:dyDescent="0.3">
      <c r="A41" s="29"/>
      <c r="B41" s="81" t="s">
        <v>1106</v>
      </c>
      <c r="C41" s="29"/>
      <c r="D41" s="29"/>
      <c r="E41" s="29"/>
      <c r="F41" s="29"/>
      <c r="G41" s="81" t="s">
        <v>1109</v>
      </c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1:27" x14ac:dyDescent="0.25">
      <c r="A42" s="29"/>
      <c r="B42" s="52" t="s">
        <v>2</v>
      </c>
      <c r="C42" s="40" t="s">
        <v>1060</v>
      </c>
      <c r="D42" s="49" t="s">
        <v>1063</v>
      </c>
      <c r="E42" s="76" t="s">
        <v>1087</v>
      </c>
      <c r="F42" s="29"/>
      <c r="G42" s="113" t="s">
        <v>4</v>
      </c>
      <c r="H42" s="115" t="s">
        <v>1107</v>
      </c>
      <c r="I42" s="115"/>
      <c r="J42" s="116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1:27" x14ac:dyDescent="0.25">
      <c r="A43" s="29"/>
      <c r="B43" s="78" t="str" cm="1">
        <f t="array" ref="B43:C52">_xlfn._xlws.SORT(Tasks!C27:D36,2,-1)</f>
        <v>NL</v>
      </c>
      <c r="C43" s="41">
        <v>125</v>
      </c>
      <c r="D43" s="83">
        <f>SUMIFS(Raw_Data_Combined[Net Amount EUR],Raw_Data_Combined[GEO], Dashboards!B43)</f>
        <v>157032.23000000004</v>
      </c>
      <c r="E43" s="104">
        <f>VLOOKUP(B43,Tasks!$C$27:$E$36,3,FALSE)</f>
        <v>0.56000000000000005</v>
      </c>
      <c r="F43" s="29"/>
      <c r="G43" s="114"/>
      <c r="H43" s="40" t="s">
        <v>43</v>
      </c>
      <c r="I43" s="40" t="s">
        <v>31</v>
      </c>
      <c r="J43" s="107" t="s">
        <v>58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x14ac:dyDescent="0.25">
      <c r="A44" s="29"/>
      <c r="B44" s="79" t="str">
        <v>GB</v>
      </c>
      <c r="C44" s="42">
        <v>113</v>
      </c>
      <c r="D44" s="84">
        <f>SUMIFS(Raw_Data_Combined[Net Amount EUR],Raw_Data_Combined[GEO], Dashboards!B44)</f>
        <v>160337.73599999995</v>
      </c>
      <c r="E44" s="105">
        <f>VLOOKUP(B44,Tasks!$C$27:$E$36,3,FALSE)</f>
        <v>0.51327433628318586</v>
      </c>
      <c r="F44" s="29"/>
      <c r="G44" s="78" t="str">
        <f>Tasks!C61</f>
        <v>Worldpay</v>
      </c>
      <c r="H44" s="99">
        <f>Tasks!D61</f>
        <v>0.44444444444444442</v>
      </c>
      <c r="I44" s="99">
        <f>Tasks!E61</f>
        <v>0.5</v>
      </c>
      <c r="J44" s="108">
        <f>Tasks!F61</f>
        <v>0.47058823529411764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1:27" x14ac:dyDescent="0.25">
      <c r="A45" s="29"/>
      <c r="B45" s="78" t="str">
        <v>CY</v>
      </c>
      <c r="C45" s="41">
        <v>108</v>
      </c>
      <c r="D45" s="83">
        <f>SUMIFS(Raw_Data_Combined[Net Amount EUR],Raw_Data_Combined[GEO], Dashboards!B45)</f>
        <v>149085.69999999992</v>
      </c>
      <c r="E45" s="104">
        <f>VLOOKUP(B45,Tasks!$C$27:$E$36,3,FALSE)</f>
        <v>0.56481481481481477</v>
      </c>
      <c r="F45" s="29"/>
      <c r="G45" s="79" t="str">
        <f>Tasks!C62</f>
        <v>Stripe</v>
      </c>
      <c r="H45" s="100">
        <f>Tasks!D62</f>
        <v>0.5357142857142857</v>
      </c>
      <c r="I45" s="100">
        <f>Tasks!E62</f>
        <v>0.47368421052631576</v>
      </c>
      <c r="J45" s="109">
        <f>Tasks!F62</f>
        <v>0.57692307692307687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1:27" x14ac:dyDescent="0.25">
      <c r="A46" s="29"/>
      <c r="B46" s="79" t="str">
        <v>FR</v>
      </c>
      <c r="C46" s="42">
        <v>101</v>
      </c>
      <c r="D46" s="84">
        <f>SUMIFS(Raw_Data_Combined[Net Amount EUR],Raw_Data_Combined[GEO], Dashboards!B46)</f>
        <v>174641.67</v>
      </c>
      <c r="E46" s="105">
        <f>VLOOKUP(B46,Tasks!$C$27:$E$36,3,FALSE)</f>
        <v>0.63366336633663367</v>
      </c>
      <c r="F46" s="29"/>
      <c r="G46" s="78" t="str">
        <f>Tasks!C63</f>
        <v>Checkout.com</v>
      </c>
      <c r="H46" s="99">
        <f>Tasks!D63</f>
        <v>0.54545454545454541</v>
      </c>
      <c r="I46" s="99">
        <f>Tasks!E63</f>
        <v>0.65384615384615385</v>
      </c>
      <c r="J46" s="108">
        <f>Tasks!F63</f>
        <v>0.5714285714285714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1:27" x14ac:dyDescent="0.25">
      <c r="A47" s="29"/>
      <c r="B47" s="78" t="str">
        <v>SE</v>
      </c>
      <c r="C47" s="41">
        <v>100</v>
      </c>
      <c r="D47" s="83">
        <f>SUMIFS(Raw_Data_Combined[Net Amount EUR],Raw_Data_Combined[GEO], Dashboards!B47)</f>
        <v>9304.0666400000009</v>
      </c>
      <c r="E47" s="104">
        <f>VLOOKUP(B47,Tasks!$C$27:$E$36,3,FALSE)</f>
        <v>0.49</v>
      </c>
      <c r="F47" s="29"/>
      <c r="G47" s="79" t="str">
        <f>Tasks!C64</f>
        <v>PaySafe</v>
      </c>
      <c r="H47" s="100">
        <f>Tasks!D64</f>
        <v>0.62962962962962965</v>
      </c>
      <c r="I47" s="100">
        <f>Tasks!E64</f>
        <v>0.43478260869565216</v>
      </c>
      <c r="J47" s="109">
        <f>Tasks!F64</f>
        <v>0.7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27" x14ac:dyDescent="0.25">
      <c r="A48" s="29"/>
      <c r="B48" s="79" t="str">
        <v>NO</v>
      </c>
      <c r="C48" s="42">
        <v>98</v>
      </c>
      <c r="D48" s="84">
        <f>SUMIFS(Raw_Data_Combined[Net Amount EUR],Raw_Data_Combined[GEO], Dashboards!B48)</f>
        <v>11387.154239999998</v>
      </c>
      <c r="E48" s="105">
        <f>VLOOKUP(B48,Tasks!$C$27:$E$36,3,FALSE)</f>
        <v>0.58163265306122447</v>
      </c>
      <c r="F48" s="29"/>
      <c r="G48" s="78" t="str">
        <f>Tasks!C65</f>
        <v>Adyen</v>
      </c>
      <c r="H48" s="99">
        <f>Tasks!D65</f>
        <v>0.63157894736842102</v>
      </c>
      <c r="I48" s="99">
        <f>Tasks!E65</f>
        <v>0.47368421052631576</v>
      </c>
      <c r="J48" s="108">
        <f>Tasks!F65</f>
        <v>0.5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1:27" x14ac:dyDescent="0.25">
      <c r="A49" s="29"/>
      <c r="B49" s="78" t="str">
        <v>PL</v>
      </c>
      <c r="C49" s="41">
        <v>97</v>
      </c>
      <c r="D49" s="83">
        <f>SUMIFS(Raw_Data_Combined[Net Amount EUR],Raw_Data_Combined[GEO], Dashboards!B49)</f>
        <v>34899.107499999998</v>
      </c>
      <c r="E49" s="104">
        <f>VLOOKUP(B49,Tasks!$C$27:$E$36,3,FALSE)</f>
        <v>0.57731958762886593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1:27" ht="17.25" x14ac:dyDescent="0.3">
      <c r="A50" s="29"/>
      <c r="B50" s="79" t="str">
        <v>IT</v>
      </c>
      <c r="C50" s="42">
        <v>91</v>
      </c>
      <c r="D50" s="84">
        <f>SUMIFS(Raw_Data_Combined[Net Amount EUR],Raw_Data_Combined[GEO], Dashboards!B50)</f>
        <v>120668.87000000002</v>
      </c>
      <c r="E50" s="105">
        <f>VLOOKUP(B50,Tasks!$C$27:$E$36,3,FALSE)</f>
        <v>0.60439560439560436</v>
      </c>
      <c r="F50" s="29"/>
      <c r="G50" s="81" t="s">
        <v>1058</v>
      </c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x14ac:dyDescent="0.25">
      <c r="A51" s="29"/>
      <c r="B51" s="78" t="str">
        <v>DE</v>
      </c>
      <c r="C51" s="41">
        <v>87</v>
      </c>
      <c r="D51" s="83">
        <f>SUMIFS(Raw_Data_Combined[Net Amount EUR],Raw_Data_Combined[GEO], Dashboards!B51)</f>
        <v>95077.999999999985</v>
      </c>
      <c r="E51" s="104">
        <f>VLOOKUP(B51,Tasks!$C$27:$E$36,3,FALSE)</f>
        <v>0.4942528735632184</v>
      </c>
      <c r="F51" s="29"/>
      <c r="G51" s="110" t="s">
        <v>1055</v>
      </c>
      <c r="H51" s="111" t="s">
        <v>1110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1:27" x14ac:dyDescent="0.25">
      <c r="A52" s="29"/>
      <c r="B52" s="79" t="str">
        <v>ES</v>
      </c>
      <c r="C52" s="42">
        <v>80</v>
      </c>
      <c r="D52" s="84">
        <f>SUMIFS(Raw_Data_Combined[Net Amount EUR],Raw_Data_Combined[GEO], Dashboards!B52)</f>
        <v>110471.49000000003</v>
      </c>
      <c r="E52" s="105">
        <f>VLOOKUP(B52,Tasks!$C$27:$E$36,3,FALSE)</f>
        <v>0.51249999999999996</v>
      </c>
      <c r="F52" s="29"/>
      <c r="G52" s="78" t="str">
        <f>Tasks!C69</f>
        <v>NL</v>
      </c>
      <c r="H52" s="78" t="str">
        <f>Tasks!D69</f>
        <v>Adyen</v>
      </c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1:27" x14ac:dyDescent="0.25">
      <c r="A53" s="29"/>
      <c r="B53" s="29"/>
      <c r="C53" s="29"/>
      <c r="D53" s="29"/>
      <c r="E53" s="29"/>
      <c r="F53" s="29"/>
      <c r="G53" s="79" t="str">
        <f>Tasks!C70</f>
        <v>GB</v>
      </c>
      <c r="H53" s="79" t="str">
        <f>Tasks!D70</f>
        <v>Checkout.com</v>
      </c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1:27" x14ac:dyDescent="0.25">
      <c r="A54" s="29"/>
      <c r="B54" s="29"/>
      <c r="C54" s="29"/>
      <c r="D54" s="29"/>
      <c r="E54" s="29"/>
      <c r="F54" s="29"/>
      <c r="G54" s="78" t="str">
        <f>Tasks!C71</f>
        <v>CY</v>
      </c>
      <c r="H54" s="78" t="str">
        <f>Tasks!D71</f>
        <v>PaySafe</v>
      </c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1:27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1:27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1:27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1:27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</sheetData>
  <mergeCells count="2">
    <mergeCell ref="G42:G43"/>
    <mergeCell ref="H42:J42"/>
  </mergeCells>
  <phoneticPr fontId="5" type="noConversion"/>
  <conditionalFormatting sqref="C17:C21">
    <cfRule type="dataBar" priority="26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{8A4D6C1C-9368-42F6-9818-D9634544CC4C}</x14:id>
        </ext>
      </extLst>
    </cfRule>
    <cfRule type="dataBar" priority="27">
      <dataBar>
        <cfvo type="min"/>
        <cfvo type="max"/>
        <color rgb="FFFFFF99"/>
      </dataBar>
      <extLst>
        <ext xmlns:x14="http://schemas.microsoft.com/office/spreadsheetml/2009/9/main" uri="{B025F937-C7B1-47D3-B67F-A62EFF666E3E}">
          <x14:id>{A6650A86-7306-44EB-9841-587A984F83D8}</x14:id>
        </ext>
      </extLst>
    </cfRule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{172672C8-4005-4EA2-B3D0-840B8BB91545}</x14:id>
        </ext>
      </extLst>
    </cfRule>
  </conditionalFormatting>
  <conditionalFormatting sqref="C27:C38">
    <cfRule type="dataBar" priority="30">
      <dataBar>
        <cfvo type="min"/>
        <cfvo type="max"/>
        <color rgb="FF2E86AB"/>
      </dataBar>
      <extLst>
        <ext xmlns:x14="http://schemas.microsoft.com/office/spreadsheetml/2009/9/main" uri="{B025F937-C7B1-47D3-B67F-A62EFF666E3E}">
          <x14:id>{7E8B2E35-2226-4DD4-9B70-90F68E8E00D5}</x14:id>
        </ext>
      </extLst>
    </cfRule>
  </conditionalFormatting>
  <conditionalFormatting sqref="C43:C52">
    <cfRule type="dataBar" priority="23">
      <dataBar>
        <cfvo type="min"/>
        <cfvo type="max"/>
        <color rgb="FF2E86AB"/>
      </dataBar>
      <extLst>
        <ext xmlns:x14="http://schemas.microsoft.com/office/spreadsheetml/2009/9/main" uri="{B025F937-C7B1-47D3-B67F-A62EFF666E3E}">
          <x14:id>{F205EB8D-E0F5-44CE-8557-F80F555DAAAF}</x14:id>
        </ext>
      </extLst>
    </cfRule>
  </conditionalFormatting>
  <conditionalFormatting sqref="D17:D21">
    <cfRule type="dataBar" priority="34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{D0D118AA-0E51-4841-A874-24C5CB8114EB}</x14:id>
        </ext>
      </extLst>
    </cfRule>
  </conditionalFormatting>
  <conditionalFormatting sqref="D27:D38">
    <cfRule type="dataBar" priority="31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{68A2CB71-2CEA-404D-8AB3-860048D3C08A}</x14:id>
        </ext>
      </extLst>
    </cfRule>
  </conditionalFormatting>
  <conditionalFormatting sqref="D43:D52">
    <cfRule type="dataBar" priority="24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{DC1802F6-7C4F-4ADB-A32A-5AE170FBDA29}</x14:id>
        </ext>
      </extLst>
    </cfRule>
  </conditionalFormatting>
  <conditionalFormatting sqref="E17:E21">
    <cfRule type="dataBar" priority="33">
      <dataBar>
        <cfvo type="min"/>
        <cfvo type="max"/>
        <color rgb="FF2E86AB"/>
      </dataBar>
      <extLst>
        <ext xmlns:x14="http://schemas.microsoft.com/office/spreadsheetml/2009/9/main" uri="{B025F937-C7B1-47D3-B67F-A62EFF666E3E}">
          <x14:id>{502CB723-FA06-496C-B62E-52F50EB47DA6}</x14:id>
        </ext>
      </extLst>
    </cfRule>
  </conditionalFormatting>
  <conditionalFormatting sqref="E27:E38">
    <cfRule type="dataBar" priority="17">
      <dataBar>
        <cfvo type="min"/>
        <cfvo type="max"/>
        <color rgb="FFCC66FF"/>
      </dataBar>
      <extLst>
        <ext xmlns:x14="http://schemas.microsoft.com/office/spreadsheetml/2009/9/main" uri="{B025F937-C7B1-47D3-B67F-A62EFF666E3E}">
          <x14:id>{6AB61B91-3492-48A5-B894-69028CD84BEC}</x14:id>
        </ext>
      </extLst>
    </cfRule>
    <cfRule type="dataBar" priority="18">
      <dataBar>
        <cfvo type="min"/>
        <cfvo type="max"/>
        <color rgb="FFCC66FF"/>
      </dataBar>
      <extLst>
        <ext xmlns:x14="http://schemas.microsoft.com/office/spreadsheetml/2009/9/main" uri="{B025F937-C7B1-47D3-B67F-A62EFF666E3E}">
          <x14:id>{58F711C6-6387-4C91-99F8-818A13EEA715}</x14:id>
        </ext>
      </extLst>
    </cfRule>
    <cfRule type="dataBar" priority="19">
      <dataBar>
        <cfvo type="min"/>
        <cfvo type="max"/>
        <color rgb="FF7030A0"/>
      </dataBar>
      <extLst>
        <ext xmlns:x14="http://schemas.microsoft.com/office/spreadsheetml/2009/9/main" uri="{B025F937-C7B1-47D3-B67F-A62EFF666E3E}">
          <x14:id>{37B97A40-78B1-408B-9D5E-65F9205788F4}</x14:id>
        </ext>
      </extLst>
    </cfRule>
    <cfRule type="dataBar" priority="20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{F61E671F-CB8D-4632-9DA5-C36A2A73B2F0}</x14:id>
        </ext>
      </extLst>
    </cfRule>
  </conditionalFormatting>
  <conditionalFormatting sqref="E43:E52">
    <cfRule type="dataBar" priority="13">
      <dataBar>
        <cfvo type="min"/>
        <cfvo type="max"/>
        <color rgb="FFCC66FF"/>
      </dataBar>
      <extLst>
        <ext xmlns:x14="http://schemas.microsoft.com/office/spreadsheetml/2009/9/main" uri="{B025F937-C7B1-47D3-B67F-A62EFF666E3E}">
          <x14:id>{96CF1871-2126-4341-A883-FB67204FE61F}</x14:id>
        </ext>
      </extLst>
    </cfRule>
    <cfRule type="dataBar" priority="14">
      <dataBar>
        <cfvo type="min"/>
        <cfvo type="max"/>
        <color rgb="FFCC66FF"/>
      </dataBar>
      <extLst>
        <ext xmlns:x14="http://schemas.microsoft.com/office/spreadsheetml/2009/9/main" uri="{B025F937-C7B1-47D3-B67F-A62EFF666E3E}">
          <x14:id>{66EF2B79-7530-4B12-AD3A-B47385329CB2}</x14:id>
        </ext>
      </extLst>
    </cfRule>
    <cfRule type="dataBar" priority="15">
      <dataBar>
        <cfvo type="min"/>
        <cfvo type="max"/>
        <color rgb="FF7030A0"/>
      </dataBar>
      <extLst>
        <ext xmlns:x14="http://schemas.microsoft.com/office/spreadsheetml/2009/9/main" uri="{B025F937-C7B1-47D3-B67F-A62EFF666E3E}">
          <x14:id>{EA20338C-D546-4E65-8344-EE2B7CCA7A54}</x14:id>
        </ext>
      </extLst>
    </cfRule>
    <cfRule type="dataBar" priority="16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{85B8D700-72C2-4E04-8E44-2AD1934A56F6}</x14:id>
        </ext>
      </extLst>
    </cfRule>
  </conditionalFormatting>
  <conditionalFormatting sqref="F17:F21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{CC6172E2-1EB4-4CC5-A1E3-9CED6CD396A6}</x14:id>
        </ext>
      </extLst>
    </cfRule>
  </conditionalFormatting>
  <conditionalFormatting sqref="H10:H14">
    <cfRule type="dataBar" priority="35">
      <dataBar>
        <cfvo type="min"/>
        <cfvo type="max"/>
        <color rgb="FFEF4444"/>
      </dataBar>
      <extLst>
        <ext xmlns:x14="http://schemas.microsoft.com/office/spreadsheetml/2009/9/main" uri="{B025F937-C7B1-47D3-B67F-A62EFF666E3E}">
          <x14:id>{0BD69044-E739-480D-B5CE-A3B6D0677D51}</x14:id>
        </ext>
      </extLst>
    </cfRule>
  </conditionalFormatting>
  <conditionalFormatting sqref="H44:H48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{31CEA553-F0BE-4957-9BE9-790AC599EFD4}</x14:id>
        </ext>
      </extLst>
    </cfRule>
  </conditionalFormatting>
  <conditionalFormatting sqref="I44:I48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{2764A8AD-7111-437F-8828-772413436AC3}</x14:id>
        </ext>
      </extLst>
    </cfRule>
  </conditionalFormatting>
  <conditionalFormatting sqref="J44:J4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{771BC478-DBD7-4DC7-96EC-276FC551E19A}</x14:id>
        </ext>
      </extLst>
    </cfRule>
  </conditionalFormatting>
  <pageMargins left="0.7" right="0.7" top="0.75" bottom="0.75" header="0.3" footer="0.3"/>
  <pageSetup paperSize="9" scale="2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4D6C1C-9368-42F6-9818-D9634544CC4C}">
            <x14:dataBar minLength="0" maxLength="100" border="1">
              <x14:cfvo type="autoMin"/>
              <x14:cfvo type="autoMax"/>
              <x14:borderColor rgb="FFFFC000"/>
              <x14:negativeFillColor rgb="FFFF0000"/>
              <x14:axisColor rgb="FF000000"/>
            </x14:dataBar>
          </x14:cfRule>
          <x14:cfRule type="dataBar" id="{A6650A86-7306-44EB-9841-587A984F83D8}">
            <x14:dataBar minLength="0" maxLength="100" border="1">
              <x14:cfvo type="autoMin"/>
              <x14:cfvo type="autoMax"/>
              <x14:borderColor rgb="FFFFFF99"/>
              <x14:negativeFillColor rgb="FFFF0000"/>
              <x14:axisColor rgb="FF000000"/>
            </x14:dataBar>
          </x14:cfRule>
          <x14:cfRule type="dataBar" id="{172672C8-4005-4EA2-B3D0-840B8BB9154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C17:C21</xm:sqref>
        </x14:conditionalFormatting>
        <x14:conditionalFormatting xmlns:xm="http://schemas.microsoft.com/office/excel/2006/main">
          <x14:cfRule type="dataBar" id="{7E8B2E35-2226-4DD4-9B70-90F68E8E00D5}">
            <x14:dataBar minLength="0" maxLength="100" border="1" direction="leftToRight" negativeBarColorSameAsPositive="1" axisPosition="none">
              <x14:cfvo type="min"/>
              <x14:cfvo type="max"/>
              <x14:borderColor rgb="FF2E86AB"/>
            </x14:dataBar>
          </x14:cfRule>
          <xm:sqref>C27:C38</xm:sqref>
        </x14:conditionalFormatting>
        <x14:conditionalFormatting xmlns:xm="http://schemas.microsoft.com/office/excel/2006/main">
          <x14:cfRule type="dataBar" id="{F205EB8D-E0F5-44CE-8557-F80F555DAAAF}">
            <x14:dataBar minLength="0" maxLength="100" border="1" direction="leftToRight" negativeBarColorSameAsPositive="1" axisPosition="none">
              <x14:cfvo type="min"/>
              <x14:cfvo type="max"/>
              <x14:borderColor rgb="FF2E86AB"/>
            </x14:dataBar>
          </x14:cfRule>
          <xm:sqref>C43:C52</xm:sqref>
        </x14:conditionalFormatting>
        <x14:conditionalFormatting xmlns:xm="http://schemas.microsoft.com/office/excel/2006/main">
          <x14:cfRule type="dataBar" id="{D0D118AA-0E51-4841-A874-24C5CB8114EB}">
            <x14:dataBar minLength="0" maxLength="100" border="1" direction="leftToRight" negativeBarColorSameAsPositive="1" axisPosition="none">
              <x14:cfvo type="min"/>
              <x14:cfvo type="max"/>
              <x14:borderColor rgb="FF10B981"/>
            </x14:dataBar>
          </x14:cfRule>
          <xm:sqref>D17:D21</xm:sqref>
        </x14:conditionalFormatting>
        <x14:conditionalFormatting xmlns:xm="http://schemas.microsoft.com/office/excel/2006/main">
          <x14:cfRule type="dataBar" id="{68A2CB71-2CEA-404D-8AB3-860048D3C08A}">
            <x14:dataBar minLength="0" maxLength="100" border="1" direction="leftToRight" negativeBarColorSameAsPositive="1" axisPosition="none">
              <x14:cfvo type="min"/>
              <x14:cfvo type="max"/>
              <x14:borderColor rgb="FF10B981"/>
            </x14:dataBar>
          </x14:cfRule>
          <xm:sqref>D27:D38</xm:sqref>
        </x14:conditionalFormatting>
        <x14:conditionalFormatting xmlns:xm="http://schemas.microsoft.com/office/excel/2006/main">
          <x14:cfRule type="dataBar" id="{DC1802F6-7C4F-4ADB-A32A-5AE170FBDA29}">
            <x14:dataBar minLength="0" maxLength="100" border="1" direction="leftToRight" negativeBarColorSameAsPositive="1" axisPosition="none">
              <x14:cfvo type="min"/>
              <x14:cfvo type="max"/>
              <x14:borderColor rgb="FF10B981"/>
            </x14:dataBar>
          </x14:cfRule>
          <xm:sqref>D43:D52</xm:sqref>
        </x14:conditionalFormatting>
        <x14:conditionalFormatting xmlns:xm="http://schemas.microsoft.com/office/excel/2006/main">
          <x14:cfRule type="dataBar" id="{502CB723-FA06-496C-B62E-52F50EB47DA6}">
            <x14:dataBar minLength="0" maxLength="100" border="1" direction="leftToRight" negativeBarColorSameAsPositive="1" axisPosition="none">
              <x14:cfvo type="min"/>
              <x14:cfvo type="max"/>
              <x14:borderColor rgb="FF2E86AB"/>
            </x14:dataBar>
          </x14:cfRule>
          <xm:sqref>E17:E21</xm:sqref>
        </x14:conditionalFormatting>
        <x14:conditionalFormatting xmlns:xm="http://schemas.microsoft.com/office/excel/2006/main">
          <x14:cfRule type="dataBar" id="{6AB61B91-3492-48A5-B894-69028CD84BEC}">
            <x14:dataBar minLength="0" maxLength="100" border="1">
              <x14:cfvo type="autoMin"/>
              <x14:cfvo type="autoMax"/>
              <x14:borderColor rgb="FFCC66FF"/>
              <x14:negativeFillColor rgb="FFFF0000"/>
              <x14:axisColor rgb="FF000000"/>
            </x14:dataBar>
          </x14:cfRule>
          <x14:cfRule type="dataBar" id="{58F711C6-6387-4C91-99F8-818A13EEA71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B97A40-78B1-408B-9D5E-65F9205788F4}">
            <x14:dataBar minLength="0" maxLength="100" border="1">
              <x14:cfvo type="autoMin"/>
              <x14:cfvo type="autoMax"/>
              <x14:borderColor rgb="FF7030A0"/>
              <x14:negativeFillColor rgb="FFFF0000"/>
              <x14:axisColor rgb="FF000000"/>
            </x14:dataBar>
          </x14:cfRule>
          <x14:cfRule type="dataBar" id="{F61E671F-CB8D-4632-9DA5-C36A2A73B2F0}">
            <x14:dataBar minLength="0" maxLength="100" border="1" direction="leftToRight" negativeBarColorSameAsPositive="1" axisPosition="none">
              <x14:cfvo type="min"/>
              <x14:cfvo type="max"/>
              <x14:borderColor rgb="FF10B981"/>
            </x14:dataBar>
          </x14:cfRule>
          <xm:sqref>E27:E38</xm:sqref>
        </x14:conditionalFormatting>
        <x14:conditionalFormatting xmlns:xm="http://schemas.microsoft.com/office/excel/2006/main">
          <x14:cfRule type="dataBar" id="{96CF1871-2126-4341-A883-FB67204FE61F}">
            <x14:dataBar minLength="0" maxLength="100" border="1">
              <x14:cfvo type="autoMin"/>
              <x14:cfvo type="autoMax"/>
              <x14:borderColor rgb="FFCC66FF"/>
              <x14:negativeFillColor rgb="FFFF0000"/>
              <x14:axisColor rgb="FF000000"/>
            </x14:dataBar>
          </x14:cfRule>
          <x14:cfRule type="dataBar" id="{66EF2B79-7530-4B12-AD3A-B47385329CB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20338C-D546-4E65-8344-EE2B7CCA7A54}">
            <x14:dataBar minLength="0" maxLength="100" border="1">
              <x14:cfvo type="autoMin"/>
              <x14:cfvo type="autoMax"/>
              <x14:borderColor rgb="FF7030A0"/>
              <x14:negativeFillColor rgb="FFFF0000"/>
              <x14:axisColor rgb="FF000000"/>
            </x14:dataBar>
          </x14:cfRule>
          <x14:cfRule type="dataBar" id="{85B8D700-72C2-4E04-8E44-2AD1934A56F6}">
            <x14:dataBar minLength="0" maxLength="100" border="1" direction="leftToRight" negativeBarColorSameAsPositive="1" axisPosition="none">
              <x14:cfvo type="min"/>
              <x14:cfvo type="max"/>
              <x14:borderColor rgb="FF10B981"/>
            </x14:dataBar>
          </x14:cfRule>
          <xm:sqref>E43:E52</xm:sqref>
        </x14:conditionalFormatting>
        <x14:conditionalFormatting xmlns:xm="http://schemas.microsoft.com/office/excel/2006/main">
          <x14:cfRule type="dataBar" id="{CC6172E2-1EB4-4CC5-A1E3-9CED6CD396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F17:F21</xm:sqref>
        </x14:conditionalFormatting>
        <x14:conditionalFormatting xmlns:xm="http://schemas.microsoft.com/office/excel/2006/main">
          <x14:cfRule type="dataBar" id="{0BD69044-E739-480D-B5CE-A3B6D0677D51}">
            <x14:dataBar minLength="0" maxLength="100" border="1" direction="leftToRight" negativeBarColorSameAsPositive="1" axisPosition="none">
              <x14:cfvo type="min"/>
              <x14:cfvo type="max"/>
              <x14:borderColor rgb="FFEF4444"/>
            </x14:dataBar>
          </x14:cfRule>
          <xm:sqref>H10:H14</xm:sqref>
        </x14:conditionalFormatting>
        <x14:conditionalFormatting xmlns:xm="http://schemas.microsoft.com/office/excel/2006/main">
          <x14:cfRule type="dataBar" id="{31CEA553-F0BE-4957-9BE9-790AC599EF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H44:H48</xm:sqref>
        </x14:conditionalFormatting>
        <x14:conditionalFormatting xmlns:xm="http://schemas.microsoft.com/office/excel/2006/main">
          <x14:cfRule type="dataBar" id="{2764A8AD-7111-437F-8828-772413436AC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I44:I48</xm:sqref>
        </x14:conditionalFormatting>
        <x14:conditionalFormatting xmlns:xm="http://schemas.microsoft.com/office/excel/2006/main">
          <x14:cfRule type="dataBar" id="{771BC478-DBD7-4DC7-96EC-276FC551E1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J44:J48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F3558C-ECAF-4716-869B-2062C5DDF8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Raw Data (Jan-Jun)</vt:lpstr>
      <vt:lpstr>Raw Data (Jul-Dec)</vt:lpstr>
      <vt:lpstr>Raw_Data_Combined</vt:lpstr>
      <vt:lpstr>Tasks</vt:lpstr>
      <vt:lpstr>Dashboards</vt:lpstr>
      <vt:lpstr>Dashboards!Print_Area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andreou</dc:creator>
  <cp:lastModifiedBy>Nikolas Andreou</cp:lastModifiedBy>
  <dcterms:created xsi:type="dcterms:W3CDTF">2015-06-05T18:17:20Z</dcterms:created>
  <dcterms:modified xsi:type="dcterms:W3CDTF">2026-02-21T18:15:11Z</dcterms:modified>
</cp:coreProperties>
</file>