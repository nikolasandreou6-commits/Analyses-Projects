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3.xml" ContentType="application/vnd.openxmlformats-officedocument.spreadsheetml.queryTable+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naand\OneDrive\Υπολογιστής\1. PSP Task 01\"/>
    </mc:Choice>
  </mc:AlternateContent>
  <xr:revisionPtr revIDLastSave="0" documentId="13_ncr:1_{E7BE11BC-47F4-44E3-B46A-09D6B7F817F6}" xr6:coauthVersionLast="47" xr6:coauthVersionMax="47" xr10:uidLastSave="{00000000-0000-0000-0000-000000000000}"/>
  <bookViews>
    <workbookView xWindow="-120" yWindow="-120" windowWidth="51840" windowHeight="21120" activeTab="8" xr2:uid="{EF3DDB83-69BC-404B-8852-E8F18DE23336}"/>
  </bookViews>
  <sheets>
    <sheet name="Documentation" sheetId="12" r:id="rId1"/>
    <sheet name="Raw Data (Jan-Jun)" sheetId="2" r:id="rId2"/>
    <sheet name="Raw Data (Jul-Dec)" sheetId="3" r:id="rId3"/>
    <sheet name="FX Rates" sheetId="11" r:id="rId4"/>
    <sheet name="Raw_Data_Combined" sheetId="4" r:id="rId5"/>
    <sheet name="Tasks" sheetId="1" r:id="rId6"/>
    <sheet name="Dashboards" sheetId="5" r:id="rId7"/>
    <sheet name="Pivot Tables" sheetId="16" r:id="rId8"/>
    <sheet name="Dynamic Dashboard" sheetId="17" r:id="rId9"/>
  </sheets>
  <definedNames>
    <definedName name="_xlchart.v5.0" hidden="1">'Pivot Tables'!$Q$17</definedName>
    <definedName name="_xlchart.v5.1" hidden="1">'Pivot Tables'!$Q$18:$Q$27</definedName>
    <definedName name="_xlchart.v5.2" hidden="1">'Pivot Tables'!$R$17</definedName>
    <definedName name="_xlchart.v5.3" hidden="1">'Pivot Tables'!$R$18:$R$27</definedName>
    <definedName name="_xlcn.WorksheetConnection_PSP_Task_Solution.xlsxRaw_Data_Combined1" hidden="1">Raw_Data_Combined[]</definedName>
    <definedName name="ExternalData_1" localSheetId="1" hidden="1">'Raw Data (Jan-Jun)'!$A$1:$L$486</definedName>
    <definedName name="ExternalData_2" localSheetId="2" hidden="1">'Raw Data (Jul-Dec)'!$A$1:$L$516</definedName>
    <definedName name="ExternalData_3" localSheetId="4" hidden="1">'Raw_Data_Combined'!$A$1:$O$1001</definedName>
    <definedName name="NativeTimeline_Date___Time">#N/A</definedName>
    <definedName name="_xlnm.Print_Area" localSheetId="6">Dashboards!$A$1:$AA$59</definedName>
    <definedName name="_xlnm.Print_Area" localSheetId="8">'Dynamic Dashboard'!$C$7:$AT$58</definedName>
    <definedName name="_xlnm.Print_Area" localSheetId="3">'FX Rates'!$A$1:$C$7</definedName>
    <definedName name="_xlnm.Print_Area" localSheetId="4">Raw_Data_Combined[#All]</definedName>
    <definedName name="_xlnm.Print_Area" localSheetId="5">Tasks!$A$1:$I$105</definedName>
    <definedName name="Slicer_Payment_Method">#N/A</definedName>
    <definedName name="Slicer_PSP_Provide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w_Data_Combined" name="Raw_Data_Combined" connection="WorksheetConnection_PSP_Task_Solution.xlsx!Raw_Data_Combined"/>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1" i="16" l="1"/>
  <c r="R19" i="16"/>
  <c r="R18" i="16"/>
  <c r="R27" i="16"/>
  <c r="R26" i="16"/>
  <c r="R25" i="16"/>
  <c r="R24" i="16"/>
  <c r="R23" i="16"/>
  <c r="R22" i="16"/>
  <c r="R20" i="16"/>
  <c r="E103" i="1"/>
  <c r="D103" i="1"/>
  <c r="E102" i="1"/>
  <c r="D102" i="1"/>
  <c r="E101" i="1"/>
  <c r="D101" i="1"/>
  <c r="E100" i="1"/>
  <c r="D100" i="1"/>
  <c r="E99" i="1"/>
  <c r="D99" i="1"/>
  <c r="K12" i="16"/>
  <c r="K11" i="16"/>
  <c r="K13" i="16"/>
  <c r="L13" i="16"/>
  <c r="L11" i="16"/>
  <c r="L12" i="16"/>
  <c r="F103" i="1" l="1"/>
  <c r="F100" i="1"/>
  <c r="F101" i="1"/>
  <c r="M12" i="16"/>
  <c r="M11" i="16"/>
  <c r="M13" i="16"/>
  <c r="F102" i="1"/>
  <c r="F99" i="1"/>
  <c r="D38" i="5" l="1"/>
  <c r="D37" i="5"/>
  <c r="D36" i="5"/>
  <c r="D35" i="5"/>
  <c r="D34" i="5"/>
  <c r="D33" i="5"/>
  <c r="D32" i="5"/>
  <c r="D31" i="5"/>
  <c r="D30" i="5"/>
  <c r="D29" i="5"/>
  <c r="D28" i="5"/>
  <c r="D27" i="5"/>
  <c r="J5" i="5"/>
  <c r="I22" i="5" s="1"/>
  <c r="H5" i="5"/>
  <c r="F5" i="5"/>
  <c r="C38" i="5"/>
  <c r="E38" i="5" s="1"/>
  <c r="C37" i="5"/>
  <c r="E37" i="5" s="1"/>
  <c r="C36" i="5"/>
  <c r="E36" i="5" s="1"/>
  <c r="C35" i="5"/>
  <c r="E35" i="5" s="1"/>
  <c r="C34" i="5"/>
  <c r="E34" i="5" s="1"/>
  <c r="C33" i="5"/>
  <c r="E33" i="5" s="1"/>
  <c r="C32" i="5"/>
  <c r="E32" i="5" s="1"/>
  <c r="C31" i="5"/>
  <c r="E31" i="5" s="1"/>
  <c r="C30" i="5"/>
  <c r="E30" i="5" s="1"/>
  <c r="C29" i="5"/>
  <c r="E29" i="5" s="1"/>
  <c r="C28" i="5"/>
  <c r="E28" i="5" s="1"/>
  <c r="C27" i="5"/>
  <c r="E27" i="5" s="1"/>
  <c r="C12" i="5"/>
  <c r="C11" i="5"/>
  <c r="C10" i="5"/>
  <c r="B5" i="5"/>
  <c r="D5" i="5" s="1"/>
  <c r="C61" i="1" a="1"/>
  <c r="G47" i="5" s="1"/>
  <c r="C43" i="1" a="1"/>
  <c r="D47" i="1" s="1"/>
  <c r="C27" i="1" a="1"/>
  <c r="C16" i="1" a="1"/>
  <c r="E17" i="1" s="1"/>
  <c r="C5" i="1" a="1"/>
  <c r="E6" i="1" l="1"/>
  <c r="E78" i="1" s="1"/>
  <c r="C80" i="1"/>
  <c r="D80" i="1" s="1"/>
  <c r="C78" i="1"/>
  <c r="D78" i="1" s="1"/>
  <c r="C81" i="1"/>
  <c r="D81" i="1" s="1"/>
  <c r="C79" i="1"/>
  <c r="D79" i="1" s="1"/>
  <c r="G34" i="1"/>
  <c r="C93" i="1"/>
  <c r="D93" i="1" s="1"/>
  <c r="C90" i="1"/>
  <c r="D90" i="1" s="1"/>
  <c r="C87" i="1"/>
  <c r="D87" i="1" s="1"/>
  <c r="C91" i="1"/>
  <c r="D91" i="1" s="1"/>
  <c r="H36" i="1"/>
  <c r="H35" i="1"/>
  <c r="H29" i="1"/>
  <c r="H34" i="1"/>
  <c r="C95" i="1"/>
  <c r="D95" i="1" s="1"/>
  <c r="C92" i="1"/>
  <c r="D92" i="1" s="1"/>
  <c r="C89" i="1"/>
  <c r="D89" i="1" s="1"/>
  <c r="H33" i="1"/>
  <c r="H32" i="1"/>
  <c r="H31" i="1"/>
  <c r="C94" i="1"/>
  <c r="D94" i="1" s="1"/>
  <c r="H30" i="1"/>
  <c r="H28" i="1"/>
  <c r="C88" i="1"/>
  <c r="D88" i="1" s="1"/>
  <c r="F30" i="1"/>
  <c r="F34" i="1"/>
  <c r="G29" i="1"/>
  <c r="D34" i="1"/>
  <c r="F29" i="1"/>
  <c r="G33" i="1"/>
  <c r="G28" i="1"/>
  <c r="F33" i="1"/>
  <c r="F28" i="1"/>
  <c r="D33" i="1"/>
  <c r="G36" i="1"/>
  <c r="G32" i="1"/>
  <c r="F36" i="1"/>
  <c r="F32" i="1"/>
  <c r="D36" i="1"/>
  <c r="D32" i="1"/>
  <c r="G35" i="1"/>
  <c r="G31" i="1"/>
  <c r="F35" i="1"/>
  <c r="F31" i="1"/>
  <c r="D35" i="1"/>
  <c r="G30" i="1"/>
  <c r="D20" i="1"/>
  <c r="D19" i="1"/>
  <c r="D18" i="1"/>
  <c r="D17" i="1"/>
  <c r="E20" i="1"/>
  <c r="E19" i="1"/>
  <c r="E18" i="1"/>
  <c r="C43" i="1"/>
  <c r="D43" i="1" s="1"/>
  <c r="D44" i="1"/>
  <c r="E9" i="1"/>
  <c r="E81" i="1" s="1"/>
  <c r="D6" i="1"/>
  <c r="F6" i="1" s="1"/>
  <c r="D45" i="1"/>
  <c r="C61" i="1"/>
  <c r="G44" i="5" s="1"/>
  <c r="G45" i="5"/>
  <c r="G48" i="5"/>
  <c r="D8" i="1"/>
  <c r="C27" i="1"/>
  <c r="E8" i="1"/>
  <c r="E80" i="1" s="1"/>
  <c r="D30" i="1"/>
  <c r="D46" i="1"/>
  <c r="D7" i="1"/>
  <c r="D29" i="1"/>
  <c r="E7" i="1"/>
  <c r="E79" i="1" s="1"/>
  <c r="C5" i="1"/>
  <c r="C77" i="1" s="1"/>
  <c r="D77" i="1" s="1"/>
  <c r="D9" i="1"/>
  <c r="G46" i="5"/>
  <c r="D28" i="1"/>
  <c r="D31" i="1"/>
  <c r="C16" i="1"/>
  <c r="D11" i="5"/>
  <c r="E11" i="5" s="1"/>
  <c r="D12" i="5"/>
  <c r="E12" i="5" s="1"/>
  <c r="D10" i="5"/>
  <c r="E10" i="5" s="1"/>
  <c r="E33" i="1" l="1"/>
  <c r="E92" i="1"/>
  <c r="F92" i="1" s="1"/>
  <c r="F79" i="1"/>
  <c r="E32" i="1"/>
  <c r="E91" i="1"/>
  <c r="F91" i="1" s="1"/>
  <c r="E34" i="1"/>
  <c r="E93" i="1"/>
  <c r="F93" i="1" s="1"/>
  <c r="F81" i="1"/>
  <c r="E29" i="1"/>
  <c r="E88" i="1"/>
  <c r="F88" i="1" s="1"/>
  <c r="E30" i="1"/>
  <c r="E89" i="1"/>
  <c r="F89" i="1" s="1"/>
  <c r="H27" i="1"/>
  <c r="C86" i="1"/>
  <c r="D86" i="1" s="1"/>
  <c r="E36" i="1"/>
  <c r="E95" i="1"/>
  <c r="F95" i="1" s="1"/>
  <c r="F78" i="1"/>
  <c r="E35" i="1"/>
  <c r="E94" i="1"/>
  <c r="F94" i="1" s="1"/>
  <c r="E31" i="1"/>
  <c r="E90" i="1"/>
  <c r="F90" i="1" s="1"/>
  <c r="F80" i="1"/>
  <c r="E28" i="1"/>
  <c r="E87" i="1"/>
  <c r="F87" i="1" s="1"/>
  <c r="G27" i="1"/>
  <c r="F27" i="1"/>
  <c r="F9" i="1"/>
  <c r="E16" i="1"/>
  <c r="D16" i="1"/>
  <c r="E46" i="1"/>
  <c r="F7" i="1"/>
  <c r="F8" i="1"/>
  <c r="D5" i="1"/>
  <c r="E5" i="1"/>
  <c r="F20" i="1"/>
  <c r="F17" i="1"/>
  <c r="E45" i="1"/>
  <c r="F18" i="1"/>
  <c r="F19" i="1"/>
  <c r="E44" i="1"/>
  <c r="E47" i="1"/>
  <c r="D27" i="1"/>
  <c r="E43" i="1"/>
  <c r="B43" i="5" l="1" a="1"/>
  <c r="D47" i="5" s="1"/>
  <c r="E86" i="1"/>
  <c r="F86" i="1" s="1"/>
  <c r="B17" i="5" a="1"/>
  <c r="F19" i="5" s="1"/>
  <c r="E77" i="1"/>
  <c r="F77" i="1" s="1"/>
  <c r="G10" i="5" a="1"/>
  <c r="H11" i="5" s="1"/>
  <c r="F16" i="1"/>
  <c r="F5" i="1"/>
  <c r="E27" i="1"/>
  <c r="C69" i="1" a="1"/>
  <c r="C55" i="1" a="1"/>
  <c r="E47" i="5" l="1"/>
  <c r="I18" i="5"/>
  <c r="C18" i="5"/>
  <c r="E46" i="5"/>
  <c r="F21" i="5"/>
  <c r="E44" i="5"/>
  <c r="D44" i="5"/>
  <c r="D18" i="5"/>
  <c r="I21" i="5"/>
  <c r="D46" i="5"/>
  <c r="D19" i="5"/>
  <c r="E21" i="5"/>
  <c r="I20" i="5"/>
  <c r="F20" i="5"/>
  <c r="E49" i="5"/>
  <c r="D52" i="5"/>
  <c r="C20" i="5"/>
  <c r="E50" i="5"/>
  <c r="D51" i="5"/>
  <c r="C19" i="5"/>
  <c r="F18" i="5"/>
  <c r="E20" i="5"/>
  <c r="H20" i="5" s="1"/>
  <c r="C21" i="5"/>
  <c r="H21" i="5" s="1"/>
  <c r="E45" i="5"/>
  <c r="D50" i="5"/>
  <c r="D20" i="5"/>
  <c r="B43" i="5"/>
  <c r="D43" i="5" s="1"/>
  <c r="D49" i="5"/>
  <c r="D45" i="5"/>
  <c r="E19" i="5"/>
  <c r="E52" i="5"/>
  <c r="B17" i="5"/>
  <c r="I17" i="5" s="1"/>
  <c r="I19" i="5"/>
  <c r="E18" i="5"/>
  <c r="H18" i="5" s="1"/>
  <c r="D21" i="5"/>
  <c r="E51" i="5"/>
  <c r="D48" i="5"/>
  <c r="E48" i="5"/>
  <c r="H14" i="5"/>
  <c r="H12" i="5"/>
  <c r="G10" i="5"/>
  <c r="H10" i="5" s="1"/>
  <c r="H13" i="5"/>
  <c r="C55" i="1"/>
  <c r="D60" i="1" s="1"/>
  <c r="F60" i="1"/>
  <c r="E60" i="1"/>
  <c r="G53" i="5"/>
  <c r="G54" i="5"/>
  <c r="C69" i="1"/>
  <c r="G52" i="5" s="1"/>
  <c r="F17" i="5"/>
  <c r="C17" i="5"/>
  <c r="C22" i="5" s="1"/>
  <c r="D22" i="5" s="1"/>
  <c r="G19" i="5"/>
  <c r="G21" i="5"/>
  <c r="G20" i="5" l="1"/>
  <c r="E43" i="5"/>
  <c r="D17" i="5"/>
  <c r="H19" i="5"/>
  <c r="E17" i="5"/>
  <c r="H17" i="5" s="1"/>
  <c r="G18" i="5"/>
  <c r="I11" i="5"/>
  <c r="I10" i="5"/>
  <c r="I12" i="5"/>
  <c r="I14" i="5"/>
  <c r="I13" i="5"/>
  <c r="F62" i="1"/>
  <c r="J45" i="5" s="1"/>
  <c r="F65" i="1"/>
  <c r="J48" i="5" s="1"/>
  <c r="F61" i="1"/>
  <c r="F64" i="1"/>
  <c r="J47" i="5" s="1"/>
  <c r="F63" i="1"/>
  <c r="J46" i="5" s="1"/>
  <c r="D63" i="1"/>
  <c r="H46" i="5" s="1"/>
  <c r="D62" i="1"/>
  <c r="H45" i="5" s="1"/>
  <c r="D64" i="1"/>
  <c r="H47" i="5" s="1"/>
  <c r="D65" i="1"/>
  <c r="H48" i="5" s="1"/>
  <c r="D61" i="1"/>
  <c r="E63" i="1"/>
  <c r="I46" i="5" s="1"/>
  <c r="E65" i="1"/>
  <c r="I48" i="5" s="1"/>
  <c r="E61" i="1"/>
  <c r="E64" i="1"/>
  <c r="I47" i="5" s="1"/>
  <c r="E62" i="1"/>
  <c r="I45" i="5" s="1"/>
  <c r="G17" i="5"/>
  <c r="F22" i="5"/>
  <c r="E22" i="5" l="1"/>
  <c r="H22" i="5" s="1"/>
  <c r="H44" i="5"/>
  <c r="D69" i="1"/>
  <c r="H52" i="5" s="1"/>
  <c r="D70" i="1"/>
  <c r="H53" i="5" s="1"/>
  <c r="I44" i="5"/>
  <c r="D71" i="1"/>
  <c r="H54" i="5" s="1"/>
  <c r="J44" i="5"/>
  <c r="G22"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nikolas andreou</author>
  </authors>
  <commentList>
    <comment ref="E15" authorId="0" shapeId="0" xr:uid="{4C8A871E-8A90-44C6-98C4-4B6F0AA2ADAA}">
      <text>
        <r>
          <rPr>
            <b/>
            <sz val="9"/>
            <color indexed="81"/>
            <rFont val="Tahoma"/>
            <family val="2"/>
          </rPr>
          <t>nikolas andreou:</t>
        </r>
        <r>
          <rPr>
            <sz val="9"/>
            <color indexed="81"/>
            <rFont val="Tahoma"/>
            <family val="2"/>
          </rPr>
          <t xml:space="preserve">
Fee calculation uses percentage-based rates only. Fixed per-transaction fees (e.g., €0.20/txn) are not modeled in this project, as the dataset provides rate-based fees only.</t>
        </r>
      </text>
    </comment>
    <comment ref="F26" authorId="0" shapeId="0" xr:uid="{534B87F3-50E3-4BCD-9BDE-E81394B0EF5B}">
      <text>
        <r>
          <rPr>
            <b/>
            <sz val="9"/>
            <color indexed="81"/>
            <rFont val="Tahoma"/>
            <family val="2"/>
          </rPr>
          <t>nikolas andreou:
Includes "0" values, hence the denominator is higher.</t>
        </r>
      </text>
    </comment>
    <comment ref="G26" authorId="0" shapeId="0" xr:uid="{279971D8-CA32-46B7-B9B4-AE99F55E018D}">
      <text>
        <r>
          <rPr>
            <b/>
            <sz val="9"/>
            <color indexed="81"/>
            <rFont val="Tahoma"/>
            <family val="2"/>
          </rPr>
          <t>nikolas andreou:</t>
        </r>
        <r>
          <rPr>
            <sz val="9"/>
            <color indexed="81"/>
            <rFont val="Tahoma"/>
            <family val="2"/>
          </rPr>
          <t xml:space="preserve">
Excludes unsuccessful transactions.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nikolas andreou</author>
  </authors>
  <commentList>
    <comment ref="G16" authorId="0" shapeId="0" xr:uid="{C5093147-812F-4979-B2DA-72F170EEDC8D}">
      <text>
        <r>
          <rPr>
            <b/>
            <sz val="9"/>
            <color indexed="81"/>
            <rFont val="Tahoma"/>
            <family val="2"/>
          </rPr>
          <t>nikolas andreou:</t>
        </r>
        <r>
          <rPr>
            <sz val="9"/>
            <color indexed="81"/>
            <rFont val="Tahoma"/>
            <family val="2"/>
          </rPr>
          <t xml:space="preserve">
Percentage-based rates only. Fixed per-transaction fees (e.g., €0.20/txn) are not modeled in this analysis.</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332D78E-3D8F-4EDE-9497-321713808C3B}" keepAlive="1" name="Query - FX_Rates" description="Connection to the 'FX_Rates' query in the workbook." type="5" refreshedVersion="0" background="1">
    <dbPr connection="Provider=Microsoft.Mashup.OleDb.1;Data Source=$Workbook$;Location=FX_Rates;Extended Properties=&quot;&quot;" command="SELECT * FROM [FX_Rates]"/>
  </connection>
  <connection id="2" xr16:uid="{2144451D-7B93-465D-8020-D306424779ED}" keepAlive="1" name="Query - Raw Data (Jan-Jun)" description="Connection to the 'Raw Data (Jan-Jun)' query in the workbook." type="5" refreshedVersion="8" background="1" saveData="1">
    <dbPr connection="Provider=Microsoft.Mashup.OleDb.1;Data Source=$Workbook$;Location=&quot;Raw Data (Jan-Jun)&quot;;Extended Properties=&quot;&quot;" command="SELECT * FROM [Raw Data (Jan-Jun)]"/>
  </connection>
  <connection id="3" xr16:uid="{91E4ABB7-707C-42D1-A5A7-C82CE5D1B884}" keepAlive="1" name="Query - Raw Data (Jul-Dec)" description="Connection to the 'Raw Data (Jul-Dec)' query in the workbook." type="5" refreshedVersion="8" background="1" saveData="1">
    <dbPr connection="Provider=Microsoft.Mashup.OleDb.1;Data Source=$Workbook$;Location=&quot;Raw Data (Jul-Dec)&quot;;Extended Properties=&quot;&quot;" command="SELECT * FROM [Raw Data (Jul-Dec)]"/>
  </connection>
  <connection id="4" xr16:uid="{2327F6EC-D80F-4BD4-8B9C-659992E7F8B7}" keepAlive="1" name="Query - Raw Data Combined" description="Connection to the 'Raw Data Combined' query in the workbook." type="5" refreshedVersion="8" background="1" saveData="1">
    <dbPr connection="Provider=Microsoft.Mashup.OleDb.1;Data Source=$Workbook$;Location=&quot;Raw Data Combined&quot;;Extended Properties=&quot;&quot;" command="SELECT * FROM [Raw Data Combined]"/>
  </connection>
  <connection id="5" xr16:uid="{175FAB61-EDC1-4F99-B058-84FFC8A3F7C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556E4F93-A04E-401A-B630-15CE772B9365}" name="WorksheetConnection_PSP_Task_Solution.xlsx!Raw_Data_Combined" type="102" refreshedVersion="8" minRefreshableVersion="5">
    <extLst>
      <ext xmlns:x15="http://schemas.microsoft.com/office/spreadsheetml/2010/11/main" uri="{DE250136-89BD-433C-8126-D09CA5730AF9}">
        <x15:connection id="Raw_Data_Combined">
          <x15:rangePr sourceName="_xlcn.WorksheetConnection_PSP_Task_Solution.xlsxRaw_Data_Combined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<sst xmlns="http://schemas.openxmlformats.org/spreadsheetml/2006/main" count="13834" uniqueCount="1256">
  <si>
    <t>Transaction ID</t>
  </si>
  <si>
    <t>Date &amp; Time</t>
  </si>
  <si>
    <t>GEO</t>
  </si>
  <si>
    <t>Currency</t>
  </si>
  <si>
    <t>PSP Provider</t>
  </si>
  <si>
    <t>Payment Method</t>
  </si>
  <si>
    <t>Amount</t>
  </si>
  <si>
    <t>Status</t>
  </si>
  <si>
    <t>Decline Reason</t>
  </si>
  <si>
    <t>Fee %</t>
  </si>
  <si>
    <t>Fee Amount</t>
  </si>
  <si>
    <t>Net Amount</t>
  </si>
  <si>
    <t>TXN00108</t>
  </si>
  <si>
    <t>SE</t>
  </si>
  <si>
    <t>SEK</t>
  </si>
  <si>
    <t>Worldpay</t>
  </si>
  <si>
    <t>Bank Transfer</t>
  </si>
  <si>
    <t>Pending</t>
  </si>
  <si>
    <t>TXN00929</t>
  </si>
  <si>
    <t>NO</t>
  </si>
  <si>
    <t>NOK</t>
  </si>
  <si>
    <t>E-Wallet</t>
  </si>
  <si>
    <t>Success</t>
  </si>
  <si>
    <t>TXN00542</t>
  </si>
  <si>
    <t>ES</t>
  </si>
  <si>
    <t>EUR</t>
  </si>
  <si>
    <t>TXN00520</t>
  </si>
  <si>
    <t>FR</t>
  </si>
  <si>
    <t>Stripe</t>
  </si>
  <si>
    <t>Debit Card</t>
  </si>
  <si>
    <t>TXN00794</t>
  </si>
  <si>
    <t>GB</t>
  </si>
  <si>
    <t>GBP</t>
  </si>
  <si>
    <t>Checkout.com</t>
  </si>
  <si>
    <t>Failed</t>
  </si>
  <si>
    <t>Card Declined</t>
  </si>
  <si>
    <t>TXN00712</t>
  </si>
  <si>
    <t>PL</t>
  </si>
  <si>
    <t>PLN</t>
  </si>
  <si>
    <t>PaySafe</t>
  </si>
  <si>
    <t>TXN00652</t>
  </si>
  <si>
    <t>Credit Card</t>
  </si>
  <si>
    <t>TXN00600</t>
  </si>
  <si>
    <t>NL</t>
  </si>
  <si>
    <t>Adyen</t>
  </si>
  <si>
    <t>Crypto</t>
  </si>
  <si>
    <t>TXN00388</t>
  </si>
  <si>
    <t>IT</t>
  </si>
  <si>
    <t>TXN00617</t>
  </si>
  <si>
    <t>TXN00494</t>
  </si>
  <si>
    <t>TXN00643</t>
  </si>
  <si>
    <t>TXN00630</t>
  </si>
  <si>
    <t>TXN00292</t>
  </si>
  <si>
    <t>TXN00726</t>
  </si>
  <si>
    <t>TXN00265</t>
  </si>
  <si>
    <t>Technical Error</t>
  </si>
  <si>
    <t>TXN00282</t>
  </si>
  <si>
    <t>TXN00860</t>
  </si>
  <si>
    <t>CY</t>
  </si>
  <si>
    <t>TXN00545</t>
  </si>
  <si>
    <t>DE</t>
  </si>
  <si>
    <t>TXN00896</t>
  </si>
  <si>
    <t>Fraud Suspected</t>
  </si>
  <si>
    <t>TXN00920</t>
  </si>
  <si>
    <t>TXN00426</t>
  </si>
  <si>
    <t>TXN00634</t>
  </si>
  <si>
    <t>TXN00280</t>
  </si>
  <si>
    <t>TXN00724</t>
  </si>
  <si>
    <t>TXN00047</t>
  </si>
  <si>
    <t>TXN00526</t>
  </si>
  <si>
    <t>TXN00049</t>
  </si>
  <si>
    <t>TXN00848</t>
  </si>
  <si>
    <t>TXN00404</t>
  </si>
  <si>
    <t>TXN00980</t>
  </si>
  <si>
    <t>TXN00641</t>
  </si>
  <si>
    <t>TXN00011</t>
  </si>
  <si>
    <t>TXN00879</t>
  </si>
  <si>
    <t>TXN00996</t>
  </si>
  <si>
    <t>Insufficient Funds</t>
  </si>
  <si>
    <t>TXN00215</t>
  </si>
  <si>
    <t>TXN00627</t>
  </si>
  <si>
    <t>TXN00612</t>
  </si>
  <si>
    <t>TXN00118</t>
  </si>
  <si>
    <t>TXN00207</t>
  </si>
  <si>
    <t>TXN00330</t>
  </si>
  <si>
    <t>TXN00963</t>
  </si>
  <si>
    <t>TXN00546</t>
  </si>
  <si>
    <t>TXN00385</t>
  </si>
  <si>
    <t>TXN00048</t>
  </si>
  <si>
    <t>TXN00181</t>
  </si>
  <si>
    <t>TXN00550</t>
  </si>
  <si>
    <t>TXN00525</t>
  </si>
  <si>
    <t>TXN00256</t>
  </si>
  <si>
    <t>TXN00403</t>
  </si>
  <si>
    <t>TXN00631</t>
  </si>
  <si>
    <t>TXN00384</t>
  </si>
  <si>
    <t>TXN00811</t>
  </si>
  <si>
    <t>TXN00491</t>
  </si>
  <si>
    <t>TXN00973</t>
  </si>
  <si>
    <t>TXN00230</t>
  </si>
  <si>
    <t>Expired Card</t>
  </si>
  <si>
    <t>TXN00999</t>
  </si>
  <si>
    <t>TXN00072</t>
  </si>
  <si>
    <t>TXN00062</t>
  </si>
  <si>
    <t>TXN00445</t>
  </si>
  <si>
    <t>TXN00962</t>
  </si>
  <si>
    <t>TXN00928</t>
  </si>
  <si>
    <t>TXN00248</t>
  </si>
  <si>
    <t>TXN00934</t>
  </si>
  <si>
    <t>TXN00346</t>
  </si>
  <si>
    <t>TXN00167</t>
  </si>
  <si>
    <t>TXN00903</t>
  </si>
  <si>
    <t>TXN00414</t>
  </si>
  <si>
    <t>TXN00886</t>
  </si>
  <si>
    <t>TXN00942</t>
  </si>
  <si>
    <t>TXN00033</t>
  </si>
  <si>
    <t>TXN00020</t>
  </si>
  <si>
    <t>TXN00275</t>
  </si>
  <si>
    <t>TXN00884</t>
  </si>
  <si>
    <t>TXN00744</t>
  </si>
  <si>
    <t>TXN00964</t>
  </si>
  <si>
    <t>TXN00757</t>
  </si>
  <si>
    <t>TXN00201</t>
  </si>
  <si>
    <t>TXN00790</t>
  </si>
  <si>
    <t>TXN00015</t>
  </si>
  <si>
    <t>TXN00899</t>
  </si>
  <si>
    <t>TXN00402</t>
  </si>
  <si>
    <t>TXN00336</t>
  </si>
  <si>
    <t>TXN00671</t>
  </si>
  <si>
    <t>TXN00162</t>
  </si>
  <si>
    <t>TXN00114</t>
  </si>
  <si>
    <t>TXN00787</t>
  </si>
  <si>
    <t>TXN00606</t>
  </si>
  <si>
    <t>TXN00645</t>
  </si>
  <si>
    <t>TXN00169</t>
  </si>
  <si>
    <t>TXN00025</t>
  </si>
  <si>
    <t>TXN00373</t>
  </si>
  <si>
    <t>TXN00315</t>
  </si>
  <si>
    <t>TXN00224</t>
  </si>
  <si>
    <t>TXN00291</t>
  </si>
  <si>
    <t>TXN00241</t>
  </si>
  <si>
    <t>TXN00427</t>
  </si>
  <si>
    <t>TXN00357</t>
  </si>
  <si>
    <t>TXN00300</t>
  </si>
  <si>
    <t>TXN00188</t>
  </si>
  <si>
    <t>TXN00386</t>
  </si>
  <si>
    <t>TXN00894</t>
  </si>
  <si>
    <t>TXN00211</t>
  </si>
  <si>
    <t>TXN00576</t>
  </si>
  <si>
    <t>TXN00992</t>
  </si>
  <si>
    <t>TXN00625</t>
  </si>
  <si>
    <t>TXN00568</t>
  </si>
  <si>
    <t>TXN00307</t>
  </si>
  <si>
    <t>TXN00978</t>
  </si>
  <si>
    <t>TXN00393</t>
  </si>
  <si>
    <t>TXN00702</t>
  </si>
  <si>
    <t>TXN00369</t>
  </si>
  <si>
    <t>TXN00317</t>
  </si>
  <si>
    <t>TXN00844</t>
  </si>
  <si>
    <t>TXN00318</t>
  </si>
  <si>
    <t>TXN00014</t>
  </si>
  <si>
    <t>TXN00156</t>
  </si>
  <si>
    <t>TXN00694</t>
  </si>
  <si>
    <t>TXN00483</t>
  </si>
  <si>
    <t>TXN00274</t>
  </si>
  <si>
    <t>TXN00498</t>
  </si>
  <si>
    <t>TXN00144</t>
  </si>
  <si>
    <t>TXN00392</t>
  </si>
  <si>
    <t>TXN00030</t>
  </si>
  <si>
    <t>TXN00523</t>
  </si>
  <si>
    <t>TXN00005</t>
  </si>
  <si>
    <t>TXN00306</t>
  </si>
  <si>
    <t>TXN00720</t>
  </si>
  <si>
    <t>TXN00565</t>
  </si>
  <si>
    <t>TXN00653</t>
  </si>
  <si>
    <t>TXN00155</t>
  </si>
  <si>
    <t>TXN00430</t>
  </si>
  <si>
    <t>TXN00803</t>
  </si>
  <si>
    <t>TXN00312</t>
  </si>
  <si>
    <t>TXN00122</t>
  </si>
  <si>
    <t>TXN00361</t>
  </si>
  <si>
    <t>TXN00417</t>
  </si>
  <si>
    <t>TXN00008</t>
  </si>
  <si>
    <t>TXN00391</t>
  </si>
  <si>
    <t>TXN00334</t>
  </si>
  <si>
    <t>TXN00332</t>
  </si>
  <si>
    <t>TXN00316</t>
  </si>
  <si>
    <t>TXN00583</t>
  </si>
  <si>
    <t>TXN00647</t>
  </si>
  <si>
    <t>TXN00706</t>
  </si>
  <si>
    <t>TXN00818</t>
  </si>
  <si>
    <t>TXN00416</t>
  </si>
  <si>
    <t>TXN00773</t>
  </si>
  <si>
    <t>TXN00958</t>
  </si>
  <si>
    <t>TXN00441</t>
  </si>
  <si>
    <t>TXN00887</t>
  </si>
  <si>
    <t>TXN00738</t>
  </si>
  <si>
    <t>TXN00972</t>
  </si>
  <si>
    <t>TXN00485</t>
  </si>
  <si>
    <t>TXN00381</t>
  </si>
  <si>
    <t>TXN00343</t>
  </si>
  <si>
    <t>TXN00112</t>
  </si>
  <si>
    <t>TXN00168</t>
  </si>
  <si>
    <t>TXN00657</t>
  </si>
  <si>
    <t>TXN00997</t>
  </si>
  <si>
    <t>TXN00438</t>
  </si>
  <si>
    <t>TXN00833</t>
  </si>
  <si>
    <t>TXN00875</t>
  </si>
  <si>
    <t>TXN01000</t>
  </si>
  <si>
    <t>TXN00255</t>
  </si>
  <si>
    <t>TXN00535</t>
  </si>
  <si>
    <t>TXN00862</t>
  </si>
  <si>
    <t>TXN00152</t>
  </si>
  <si>
    <t>TXN00633</t>
  </si>
  <si>
    <t>TXN00228</t>
  </si>
  <si>
    <t>TXN00806</t>
  </si>
  <si>
    <t>TXN00506</t>
  </si>
  <si>
    <t>TXN00242</t>
  </si>
  <si>
    <t>TXN00932</t>
  </si>
  <si>
    <t>TXN00021</t>
  </si>
  <si>
    <t>TXN00472</t>
  </si>
  <si>
    <t>TXN00415</t>
  </si>
  <si>
    <t>TXN00708</t>
  </si>
  <si>
    <t>TXN00931</t>
  </si>
  <si>
    <t>TXN00731</t>
  </si>
  <si>
    <t>TXN00682</t>
  </si>
  <si>
    <t>TXN00813</t>
  </si>
  <si>
    <t>TXN00759</t>
  </si>
  <si>
    <t>TXN00455</t>
  </si>
  <si>
    <t>TXN00488</t>
  </si>
  <si>
    <t>TXN00793</t>
  </si>
  <si>
    <t>TXN00508</t>
  </si>
  <si>
    <t>TXN00621</t>
  </si>
  <si>
    <t>TXN00449</t>
  </si>
  <si>
    <t>TXN00066</t>
  </si>
  <si>
    <t>TXN00467</t>
  </si>
  <si>
    <t>TXN00367</t>
  </si>
  <si>
    <t>TXN00784</t>
  </si>
  <si>
    <t>TXN00370</t>
  </si>
  <si>
    <t>TXN00328</t>
  </si>
  <si>
    <t>TXN00299</t>
  </si>
  <si>
    <t>TXN00235</t>
  </si>
  <si>
    <t>TXN00792</t>
  </si>
  <si>
    <t>TXN00854</t>
  </si>
  <si>
    <t>TXN00843</t>
  </si>
  <si>
    <t>TXN00202</t>
  </si>
  <si>
    <t>TXN00909</t>
  </si>
  <si>
    <t>TXN00575</t>
  </si>
  <si>
    <t>TXN00863</t>
  </si>
  <si>
    <t>TXN00146</t>
  </si>
  <si>
    <t>TXN00741</t>
  </si>
  <si>
    <t>TXN00840</t>
  </si>
  <si>
    <t>TXN00922</t>
  </si>
  <si>
    <t>TXN00564</t>
  </si>
  <si>
    <t>TXN00250</t>
  </si>
  <si>
    <t>TXN00779</t>
  </si>
  <si>
    <t>TXN00435</t>
  </si>
  <si>
    <t>TXN00396</t>
  </si>
  <si>
    <t>TXN00032</t>
  </si>
  <si>
    <t>TXN00714</t>
  </si>
  <si>
    <t>TXN00098</t>
  </si>
  <si>
    <t>TXN00801</t>
  </si>
  <si>
    <t>TXN00383</t>
  </si>
  <si>
    <t>TXN00632</t>
  </si>
  <si>
    <t>TXN00164</t>
  </si>
  <si>
    <t>TXN00628</t>
  </si>
  <si>
    <t>TXN00004</t>
  </si>
  <si>
    <t>TXN00537</t>
  </si>
  <si>
    <t>TXN00193</t>
  </si>
  <si>
    <t>TXN00043</t>
  </si>
  <si>
    <t>TXN00851</t>
  </si>
  <si>
    <t>TXN00855</t>
  </si>
  <si>
    <t>TXN00696</t>
  </si>
  <si>
    <t>TXN00245</t>
  </si>
  <si>
    <t>TXN00380</t>
  </si>
  <si>
    <t>TXN00824</t>
  </si>
  <si>
    <t>TXN00101</t>
  </si>
  <si>
    <t>TXN00031</t>
  </si>
  <si>
    <t>TXN00981</t>
  </si>
  <si>
    <t>TXN00502</t>
  </si>
  <si>
    <t>TXN00609</t>
  </si>
  <si>
    <t>TXN00764</t>
  </si>
  <si>
    <t>TXN00076</t>
  </si>
  <si>
    <t>TXN00975</t>
  </si>
  <si>
    <t>TXN00331</t>
  </si>
  <si>
    <t>TXN00562</t>
  </si>
  <si>
    <t>TXN00872</t>
  </si>
  <si>
    <t>TXN00173</t>
  </si>
  <si>
    <t>TXN00320</t>
  </si>
  <si>
    <t>TXN00469</t>
  </si>
  <si>
    <t>TXN00058</t>
  </si>
  <si>
    <t>TXN00937</t>
  </si>
  <si>
    <t>TXN00561</t>
  </si>
  <si>
    <t>TXN00865</t>
  </si>
  <si>
    <t>TXN00171</t>
  </si>
  <si>
    <t>TXN00229</t>
  </si>
  <si>
    <t>TXN00220</t>
  </si>
  <si>
    <t>TXN00713</t>
  </si>
  <si>
    <t>TXN00577</t>
  </si>
  <si>
    <t>TXN00452</t>
  </si>
  <si>
    <t>TXN00693</t>
  </si>
  <si>
    <t>TXN00409</t>
  </si>
  <si>
    <t>TXN00161</t>
  </si>
  <si>
    <t>TXN00761</t>
  </si>
  <si>
    <t>TXN00692</t>
  </si>
  <si>
    <t>TXN00953</t>
  </si>
  <si>
    <t>TXN00638</t>
  </si>
  <si>
    <t>TXN00034</t>
  </si>
  <si>
    <t>TXN00673</t>
  </si>
  <si>
    <t>TXN00434</t>
  </si>
  <si>
    <t>TXN00210</t>
  </si>
  <si>
    <t>TXN00622</t>
  </si>
  <si>
    <t>TXN00618</t>
  </si>
  <si>
    <t>TXN00646</t>
  </si>
  <si>
    <t>TXN00429</t>
  </si>
  <si>
    <t>TXN00639</t>
  </si>
  <si>
    <t>TXN00771</t>
  </si>
  <si>
    <t>TXN00685</t>
  </si>
  <si>
    <t>TXN00253</t>
  </si>
  <si>
    <t>TXN00578</t>
  </si>
  <si>
    <t>TXN00518</t>
  </si>
  <si>
    <t>TXN00838</t>
  </si>
  <si>
    <t>TXN00742</t>
  </si>
  <si>
    <t>TXN00919</t>
  </si>
  <si>
    <t>TXN00629</t>
  </si>
  <si>
    <t>TXN00401</t>
  </si>
  <si>
    <t>TXN00662</t>
  </si>
  <si>
    <t>TXN00539</t>
  </si>
  <si>
    <t>TXN00845</t>
  </si>
  <si>
    <t>TXN00895</t>
  </si>
  <si>
    <t>TXN00776</t>
  </si>
  <si>
    <t>TXN00590</t>
  </si>
  <si>
    <t>TXN00977</t>
  </si>
  <si>
    <t>TXN00257</t>
  </si>
  <si>
    <t>TXN00686</t>
  </si>
  <si>
    <t>TXN00295</t>
  </si>
  <si>
    <t>TXN00353</t>
  </si>
  <si>
    <t>TXN00795</t>
  </si>
  <si>
    <t>TXN00335</t>
  </si>
  <si>
    <t>TXN00722</t>
  </si>
  <si>
    <t>TXN00397</t>
  </si>
  <si>
    <t>TXN00097</t>
  </si>
  <si>
    <t>TXN00800</t>
  </si>
  <si>
    <t>TXN00352</t>
  </si>
  <si>
    <t>TXN00536</t>
  </si>
  <si>
    <t>TXN00084</t>
  </si>
  <si>
    <t>TXN00022</t>
  </si>
  <si>
    <t>TXN00012</t>
  </si>
  <si>
    <t>TXN00475</t>
  </si>
  <si>
    <t>TXN00867</t>
  </si>
  <si>
    <t>TXN00602</t>
  </si>
  <si>
    <t>TXN00398</t>
  </si>
  <si>
    <t>TXN00907</t>
  </si>
  <si>
    <t>TXN00624</t>
  </si>
  <si>
    <t>TXN00699</t>
  </si>
  <si>
    <t>TXN00619</t>
  </si>
  <si>
    <t>TXN00348</t>
  </si>
  <si>
    <t>TXN00197</t>
  </si>
  <si>
    <t>TXN00159</t>
  </si>
  <si>
    <t>TXN00074</t>
  </si>
  <si>
    <t>TXN00676</t>
  </si>
  <si>
    <t>TXN00059</t>
  </si>
  <si>
    <t>TXN00979</t>
  </si>
  <si>
    <t>TXN00436</t>
  </si>
  <si>
    <t>TXN00308</t>
  </si>
  <si>
    <t>TXN00611</t>
  </si>
  <si>
    <t>TXN00297</t>
  </si>
  <si>
    <t>TXN00130</t>
  </si>
  <si>
    <t>TXN00732</t>
  </si>
  <si>
    <t>TXN00654</t>
  </si>
  <si>
    <t>TXN00117</t>
  </si>
  <si>
    <t>TXN00873</t>
  </si>
  <si>
    <t>TXN00390</t>
  </si>
  <si>
    <t>TXN00437</t>
  </si>
  <si>
    <t>TXN00675</t>
  </si>
  <si>
    <t>TXN00200</t>
  </si>
  <si>
    <t>TXN00222</t>
  </si>
  <si>
    <t>TXN00412</t>
  </si>
  <si>
    <t>TXN00751</t>
  </si>
  <si>
    <t>TXN00075</t>
  </si>
  <si>
    <t>TXN00943</t>
  </si>
  <si>
    <t>TXN00304</t>
  </si>
  <si>
    <t>TXN00288</t>
  </si>
  <si>
    <t>TXN00987</t>
  </si>
  <si>
    <t>TXN00558</t>
  </si>
  <si>
    <t>TXN00258</t>
  </si>
  <si>
    <t>TXN00663</t>
  </si>
  <si>
    <t>TXN00026</t>
  </si>
  <si>
    <t>TXN00788</t>
  </si>
  <si>
    <t>TXN00689</t>
  </si>
  <si>
    <t>TXN00700</t>
  </si>
  <si>
    <t>TXN00283</t>
  </si>
  <si>
    <t>TXN00267</t>
  </si>
  <si>
    <t>TXN00450</t>
  </si>
  <si>
    <t>TXN00029</t>
  </si>
  <si>
    <t>TXN00095</t>
  </si>
  <si>
    <t>TXN00028</t>
  </si>
  <si>
    <t>TXN00926</t>
  </si>
  <si>
    <t>TXN00950</t>
  </si>
  <si>
    <t>TXN00042</t>
  </si>
  <si>
    <t>TXN00626</t>
  </si>
  <si>
    <t>TXN00530</t>
  </si>
  <si>
    <t>TXN00670</t>
  </si>
  <si>
    <t>TXN00126</t>
  </si>
  <si>
    <t>TXN00199</t>
  </si>
  <si>
    <t>TXN00850</t>
  </si>
  <si>
    <t>TXN00902</t>
  </si>
  <si>
    <t>TXN00399</t>
  </si>
  <si>
    <t>TXN00036</t>
  </si>
  <si>
    <t>TXN00294</t>
  </si>
  <si>
    <t>TXN00296</t>
  </si>
  <si>
    <t>TXN00465</t>
  </si>
  <si>
    <t>TXN00459</t>
  </si>
  <si>
    <t>TXN00661</t>
  </si>
  <si>
    <t>TXN00375</t>
  </si>
  <si>
    <t>TXN00921</t>
  </si>
  <si>
    <t>TXN00148</t>
  </si>
  <si>
    <t>TXN00513</t>
  </si>
  <si>
    <t>TXN00623</t>
  </si>
  <si>
    <t>TXN00946</t>
  </si>
  <si>
    <t>TXN00447</t>
  </si>
  <si>
    <t>TXN00727</t>
  </si>
  <si>
    <t>TXN00599</t>
  </si>
  <si>
    <t>TXN00209</t>
  </si>
  <si>
    <t>TXN00264</t>
  </si>
  <si>
    <t>TXN00041</t>
  </si>
  <si>
    <t>TXN00102</t>
  </si>
  <si>
    <t>TXN00821</t>
  </si>
  <si>
    <t>TXN00321</t>
  </si>
  <si>
    <t>TXN00774</t>
  </si>
  <si>
    <t>TXN00544</t>
  </si>
  <si>
    <t>TXN00405</t>
  </si>
  <si>
    <t>TXN00446</t>
  </si>
  <si>
    <t>TXN00745</t>
  </si>
  <si>
    <t>TXN00480</t>
  </si>
  <si>
    <t>TXN00734</t>
  </si>
  <si>
    <t>TXN00533</t>
  </si>
  <si>
    <t>TXN00453</t>
  </si>
  <si>
    <t>TXN00604</t>
  </si>
  <si>
    <t>TXN00540</t>
  </si>
  <si>
    <t>TXN00620</t>
  </si>
  <si>
    <t>TXN00605</t>
  </si>
  <si>
    <t>TXN00758</t>
  </si>
  <si>
    <t>TXN00667</t>
  </si>
  <si>
    <t>TXN00766</t>
  </si>
  <si>
    <t>TXN00158</t>
  </si>
  <si>
    <t>TXN00966</t>
  </si>
  <si>
    <t>TXN00660</t>
  </si>
  <si>
    <t>TXN00949</t>
  </si>
  <si>
    <t>TXN00473</t>
  </si>
  <si>
    <t>TXN00826</t>
  </si>
  <si>
    <t>TXN00319</t>
  </si>
  <si>
    <t>TXN00690</t>
  </si>
  <si>
    <t>TXN00325</t>
  </si>
  <si>
    <t>TXN00463</t>
  </si>
  <si>
    <t>TXN00825</t>
  </si>
  <si>
    <t>TXN00637</t>
  </si>
  <si>
    <t>TXN00132</t>
  </si>
  <si>
    <t>TXN00372</t>
  </si>
  <si>
    <t>TXN00351</t>
  </si>
  <si>
    <t>TXN00115</t>
  </si>
  <si>
    <t>TXN00458</t>
  </si>
  <si>
    <t>TXN00221</t>
  </si>
  <si>
    <t>TXN00601</t>
  </si>
  <si>
    <t>TXN00990</t>
  </si>
  <si>
    <t>TXN00324</t>
  </si>
  <si>
    <t>TXN00847</t>
  </si>
  <si>
    <t>TXN00091</t>
  </si>
  <si>
    <t>TXN00912</t>
  </si>
  <si>
    <t>TXN00285</t>
  </si>
  <si>
    <t>TXN00719</t>
  </si>
  <si>
    <t>TXN00139</t>
  </si>
  <si>
    <t>TXN00087</t>
  </si>
  <si>
    <t>TXN00859</t>
  </si>
  <si>
    <t>TXN00045</t>
  </si>
  <si>
    <t>TXN00739</t>
  </si>
  <si>
    <t>TXN00237</t>
  </si>
  <si>
    <t>TXN00377</t>
  </si>
  <si>
    <t>TXN00187</t>
  </si>
  <si>
    <t>TXN00378</t>
  </si>
  <si>
    <t>TXN00679</t>
  </si>
  <si>
    <t>TXN00857</t>
  </si>
  <si>
    <t>TXN00037</t>
  </si>
  <si>
    <t>TXN00497</t>
  </si>
  <si>
    <t>TXN00089</t>
  </si>
  <si>
    <t>TXN00649</t>
  </si>
  <si>
    <t>TXN00853</t>
  </si>
  <si>
    <t>TXN00595</t>
  </si>
  <si>
    <t>TXN00680</t>
  </si>
  <si>
    <t>TXN00395</t>
  </si>
  <si>
    <t>TXN00831</t>
  </si>
  <si>
    <t>TXN00681</t>
  </si>
  <si>
    <t>TXN00918</t>
  </si>
  <si>
    <t>TXN00658</t>
  </si>
  <si>
    <t>TXN00287</t>
  </si>
  <si>
    <t>TXN00791</t>
  </si>
  <si>
    <t>TXN00471</t>
  </si>
  <si>
    <t>TXN00082</t>
  </si>
  <si>
    <t>TXN00123</t>
  </si>
  <si>
    <t>TXN00655</t>
  </si>
  <si>
    <t>TXN00941</t>
  </si>
  <si>
    <t>TXN00313</t>
  </si>
  <si>
    <t>TXN00810</t>
  </si>
  <si>
    <t>TXN00991</t>
  </si>
  <si>
    <t>TXN00183</t>
  </si>
  <si>
    <t>TXN00482</t>
  </si>
  <si>
    <t>TXN00088</t>
  </si>
  <si>
    <t>TXN00184</t>
  </si>
  <si>
    <t>TXN00674</t>
  </si>
  <si>
    <t>TXN00263</t>
  </si>
  <si>
    <t>TXN00134</t>
  </si>
  <si>
    <t>TXN00574</t>
  </si>
  <si>
    <t>TXN00163</t>
  </si>
  <si>
    <t>TXN00501</t>
  </si>
  <si>
    <t>TXN00233</t>
  </si>
  <si>
    <t>TXN00827</t>
  </si>
  <si>
    <t>TXN00603</t>
  </si>
  <si>
    <t>TXN00743</t>
  </si>
  <si>
    <t>TXN00205</t>
  </si>
  <si>
    <t>TXN00616</t>
  </si>
  <si>
    <t>TXN00493</t>
  </si>
  <si>
    <t>TXN00423</t>
  </si>
  <si>
    <t>TXN00841</t>
  </si>
  <si>
    <t>TXN00567</t>
  </si>
  <si>
    <t>TXN00665</t>
  </si>
  <si>
    <t>TXN00756</t>
  </si>
  <si>
    <t>TXN00915</t>
  </si>
  <si>
    <t>TXN00511</t>
  </si>
  <si>
    <t>TXN00580</t>
  </si>
  <si>
    <t>TXN00716</t>
  </si>
  <si>
    <t>TXN00837</t>
  </si>
  <si>
    <t>TXN00971</t>
  </si>
  <si>
    <t>TXN00486</t>
  </si>
  <si>
    <t>TXN00945</t>
  </si>
  <si>
    <t>TXN00481</t>
  </si>
  <si>
    <t>TXN00747</t>
  </si>
  <si>
    <t>TXN00149</t>
  </si>
  <si>
    <t>TXN00556</t>
  </si>
  <si>
    <t>TXN00499</t>
  </si>
  <si>
    <t>TXN00326</t>
  </si>
  <si>
    <t>TXN00898</t>
  </si>
  <si>
    <t>TXN00240</t>
  </si>
  <si>
    <t>TXN00135</t>
  </si>
  <si>
    <t>TXN00597</t>
  </si>
  <si>
    <t>TXN00664</t>
  </si>
  <si>
    <t>TXN00374</t>
  </si>
  <si>
    <t>TXN00389</t>
  </si>
  <si>
    <t>TXN00192</t>
  </si>
  <si>
    <t>TXN00290</t>
  </si>
  <si>
    <t>TXN00572</t>
  </si>
  <si>
    <t>TXN00182</t>
  </si>
  <si>
    <t>TXN00829</t>
  </si>
  <si>
    <t>TXN00998</t>
  </si>
  <si>
    <t>TXN00305</t>
  </si>
  <si>
    <t>TXN00939</t>
  </si>
  <si>
    <t>TXN00252</t>
  </si>
  <si>
    <t>TXN00553</t>
  </si>
  <si>
    <t>TXN00519</t>
  </si>
  <si>
    <t>TXN00419</t>
  </si>
  <si>
    <t>TXN00704</t>
  </si>
  <si>
    <t>TXN00672</t>
  </si>
  <si>
    <t>TXN00765</t>
  </si>
  <si>
    <t>TXN00775</t>
  </si>
  <si>
    <t>TXN00746</t>
  </si>
  <si>
    <t>TXN00278</t>
  </si>
  <si>
    <t>TXN00729</t>
  </si>
  <si>
    <t>TXN00563</t>
  </si>
  <si>
    <t>TXN00869</t>
  </si>
  <si>
    <t>TXN00805</t>
  </si>
  <si>
    <t>TXN00516</t>
  </si>
  <si>
    <t>TXN00440</t>
  </si>
  <si>
    <t>TXN00070</t>
  </si>
  <si>
    <t>TXN00204</t>
  </si>
  <si>
    <t>TXN00985</t>
  </si>
  <si>
    <t>TXN00547</t>
  </si>
  <si>
    <t>TXN00883</t>
  </si>
  <si>
    <t>TXN00534</t>
  </si>
  <si>
    <t>TXN00503</t>
  </si>
  <si>
    <t>TXN00071</t>
  </si>
  <si>
    <t>TXN00871</t>
  </si>
  <si>
    <t>TXN00651</t>
  </si>
  <si>
    <t>TXN00293</t>
  </si>
  <si>
    <t>TXN00593</t>
  </si>
  <si>
    <t>TXN00548</t>
  </si>
  <si>
    <t>TXN00262</t>
  </si>
  <si>
    <t>TXN00451</t>
  </si>
  <si>
    <t>TXN00387</t>
  </si>
  <si>
    <t>TXN00598</t>
  </si>
  <si>
    <t>TXN00487</t>
  </si>
  <si>
    <t>TXN00496</t>
  </si>
  <si>
    <t>TXN00470</t>
  </si>
  <si>
    <t>TXN00786</t>
  </si>
  <si>
    <t>TXN00900</t>
  </si>
  <si>
    <t>TXN00338</t>
  </si>
  <si>
    <t>TXN00347</t>
  </si>
  <si>
    <t>TXN00355</t>
  </si>
  <si>
    <t>TXN00770</t>
  </si>
  <si>
    <t>TXN00608</t>
  </si>
  <si>
    <t>TXN00914</t>
  </si>
  <si>
    <t>TXN00424</t>
  </si>
  <si>
    <t>TXN00196</t>
  </si>
  <si>
    <t>TXN00271</t>
  </si>
  <si>
    <t>TXN00938</t>
  </si>
  <si>
    <t>TXN00677</t>
  </si>
  <si>
    <t>TXN00856</t>
  </si>
  <si>
    <t>TXN00797</t>
  </si>
  <si>
    <t>TXN00925</t>
  </si>
  <si>
    <t>TXN00807</t>
  </si>
  <si>
    <t>TXN00407</t>
  </si>
  <si>
    <t>TXN00461</t>
  </si>
  <si>
    <t>TXN00982</t>
  </si>
  <si>
    <t>TXN00344</t>
  </si>
  <si>
    <t>TXN00073</t>
  </si>
  <si>
    <t>TXN00566</t>
  </si>
  <si>
    <t>TXN00512</t>
  </si>
  <si>
    <t>TXN00456</t>
  </si>
  <si>
    <t>TXN00027</t>
  </si>
  <si>
    <t>TXN00376</t>
  </si>
  <si>
    <t>TXN00100</t>
  </si>
  <si>
    <t>TXN00431</t>
  </si>
  <si>
    <t>TXN00687</t>
  </si>
  <si>
    <t>TXN00707</t>
  </si>
  <si>
    <t>TXN00870</t>
  </si>
  <si>
    <t>TXN00160</t>
  </si>
  <si>
    <t>TXN00364</t>
  </si>
  <si>
    <t>TXN00881</t>
  </si>
  <si>
    <t>TXN00154</t>
  </si>
  <si>
    <t>TXN00428</t>
  </si>
  <si>
    <t>TXN00314</t>
  </si>
  <si>
    <t>TXN00531</t>
  </si>
  <si>
    <t>TXN00080</t>
  </si>
  <si>
    <t>TXN00767</t>
  </si>
  <si>
    <t>TXN00737</t>
  </si>
  <si>
    <t>TXN00947</t>
  </si>
  <si>
    <t>TXN00394</t>
  </si>
  <si>
    <t>TXN00780</t>
  </si>
  <si>
    <t>TXN00959</t>
  </si>
  <si>
    <t>TXN00110</t>
  </si>
  <si>
    <t>TXN00065</t>
  </si>
  <si>
    <t>TXN00555</t>
  </si>
  <si>
    <t>TXN00093</t>
  </si>
  <si>
    <t>TXN00368</t>
  </si>
  <si>
    <t>TXN00842</t>
  </si>
  <si>
    <t>TXN00615</t>
  </si>
  <si>
    <t>TXN00165</t>
  </si>
  <si>
    <t>TXN00063</t>
  </si>
  <si>
    <t>TXN00778</t>
  </si>
  <si>
    <t>TXN00213</t>
  </si>
  <si>
    <t>TXN00549</t>
  </si>
  <si>
    <t>TXN00333</t>
  </si>
  <si>
    <t>TXN00329</t>
  </si>
  <si>
    <t>TXN00064</t>
  </si>
  <si>
    <t>TXN00750</t>
  </si>
  <si>
    <t>TXN00096</t>
  </si>
  <si>
    <t>TXN00504</t>
  </si>
  <si>
    <t>TXN00195</t>
  </si>
  <si>
    <t>TXN00339</t>
  </si>
  <si>
    <t>TXN00812</t>
  </si>
  <si>
    <t>TXN00017</t>
  </si>
  <si>
    <t>TXN00232</t>
  </si>
  <si>
    <t>TXN00989</t>
  </si>
  <si>
    <t>TXN00733</t>
  </si>
  <si>
    <t>TXN00153</t>
  </si>
  <si>
    <t>TXN00379</t>
  </si>
  <si>
    <t>TXN00940</t>
  </si>
  <si>
    <t>TXN00923</t>
  </si>
  <si>
    <t>TXN00362</t>
  </si>
  <si>
    <t>TXN00060</t>
  </si>
  <si>
    <t>TXN00789</t>
  </si>
  <si>
    <t>TXN00703</t>
  </si>
  <si>
    <t>TXN00823</t>
  </si>
  <si>
    <t>TXN00974</t>
  </si>
  <si>
    <t>TXN00828</t>
  </si>
  <si>
    <t>TXN00936</t>
  </si>
  <si>
    <t>TXN00698</t>
  </si>
  <si>
    <t>TXN00342</t>
  </si>
  <si>
    <t>TXN00585</t>
  </si>
  <si>
    <t>TXN00880</t>
  </si>
  <si>
    <t>TXN00281</t>
  </si>
  <si>
    <t>TXN00400</t>
  </si>
  <si>
    <t>TXN00010</t>
  </si>
  <si>
    <t>TXN00178</t>
  </si>
  <si>
    <t>TXN00179</t>
  </si>
  <si>
    <t>TXN00327</t>
  </si>
  <si>
    <t>TXN00484</t>
  </si>
  <si>
    <t>TXN00269</t>
  </si>
  <si>
    <t>TXN00636</t>
  </si>
  <si>
    <t>TXN00861</t>
  </si>
  <si>
    <t>TXN00822</t>
  </si>
  <si>
    <t>TXN00961</t>
  </si>
  <si>
    <t>TXN00277</t>
  </si>
  <si>
    <t>TXN00259</t>
  </si>
  <si>
    <t>TXN00466</t>
  </si>
  <si>
    <t>TXN00410</t>
  </si>
  <si>
    <t>TXN00754</t>
  </si>
  <si>
    <t>TXN00965</t>
  </si>
  <si>
    <t>TXN00960</t>
  </si>
  <si>
    <t>TXN00478</t>
  </si>
  <si>
    <t>TXN00874</t>
  </si>
  <si>
    <t>TXN00366</t>
  </si>
  <si>
    <t>TXN00543</t>
  </si>
  <si>
    <t>TXN00408</t>
  </si>
  <si>
    <t>TXN00128</t>
  </si>
  <si>
    <t>TXN00113</t>
  </si>
  <si>
    <t>TXN00901</t>
  </si>
  <si>
    <t>TXN00358</t>
  </si>
  <si>
    <t>TXN00468</t>
  </si>
  <si>
    <t>TXN00748</t>
  </si>
  <si>
    <t>TXN00474</t>
  </si>
  <si>
    <t>TXN00298</t>
  </si>
  <si>
    <t>TXN00094</t>
  </si>
  <si>
    <t>TXN00495</t>
  </si>
  <si>
    <t>TXN00839</t>
  </si>
  <si>
    <t>TXN00908</t>
  </si>
  <si>
    <t>TXN00970</t>
  </si>
  <si>
    <t>TXN00846</t>
  </si>
  <si>
    <t>TXN00868</t>
  </si>
  <si>
    <t>TXN00924</t>
  </si>
  <si>
    <t>TXN00762</t>
  </si>
  <si>
    <t>TXN00349</t>
  </si>
  <si>
    <t>TXN00740</t>
  </si>
  <si>
    <t>TXN00421</t>
  </si>
  <si>
    <t>TXN00382</t>
  </si>
  <si>
    <t>TXN00890</t>
  </si>
  <si>
    <t>TXN00891</t>
  </si>
  <si>
    <t>TXN00406</t>
  </si>
  <si>
    <t>TXN00218</t>
  </si>
  <si>
    <t>TXN00785</t>
  </si>
  <si>
    <t>TXN00876</t>
  </si>
  <si>
    <t>TXN00976</t>
  </si>
  <si>
    <t>TXN00180</t>
  </si>
  <si>
    <t>TXN00284</t>
  </si>
  <si>
    <t>TXN00684</t>
  </si>
  <si>
    <t>TXN00864</t>
  </si>
  <si>
    <t>TXN00038</t>
  </si>
  <si>
    <t>TXN00951</t>
  </si>
  <si>
    <t>TXN00852</t>
  </si>
  <si>
    <t>TXN00266</t>
  </si>
  <si>
    <t>TXN00888</t>
  </si>
  <si>
    <t>TXN00234</t>
  </si>
  <si>
    <t>TXN00337</t>
  </si>
  <si>
    <t>TXN00085</t>
  </si>
  <si>
    <t>TXN00933</t>
  </si>
  <si>
    <t>TXN00448</t>
  </si>
  <si>
    <t>TXN00554</t>
  </si>
  <si>
    <t>TXN00023</t>
  </si>
  <si>
    <t>TXN00226</t>
  </si>
  <si>
    <t>TXN00227</t>
  </si>
  <si>
    <t>TXN00244</t>
  </si>
  <si>
    <t>TXN00365</t>
  </si>
  <si>
    <t>TXN00569</t>
  </si>
  <si>
    <t>TXN00715</t>
  </si>
  <si>
    <t>TXN00986</t>
  </si>
  <si>
    <t>TXN00053</t>
  </si>
  <si>
    <t>TXN00905</t>
  </si>
  <si>
    <t>TXN00610</t>
  </si>
  <si>
    <t>TXN00721</t>
  </si>
  <si>
    <t>TXN00614</t>
  </si>
  <si>
    <t>TXN00522</t>
  </si>
  <si>
    <t>TXN00753</t>
  </si>
  <si>
    <t>TXN00119</t>
  </si>
  <si>
    <t>TXN00272</t>
  </si>
  <si>
    <t>TXN00642</t>
  </si>
  <si>
    <t>TXN00983</t>
  </si>
  <si>
    <t>TXN00289</t>
  </si>
  <si>
    <t>TXN00217</t>
  </si>
  <si>
    <t>TXN00133</t>
  </si>
  <si>
    <t>TXN00725</t>
  </si>
  <si>
    <t>TXN00755</t>
  </si>
  <si>
    <t>TXN00911</t>
  </si>
  <si>
    <t>TXN00782</t>
  </si>
  <si>
    <t>TXN00359</t>
  </si>
  <si>
    <t>TXN00411</t>
  </si>
  <si>
    <t>TXN00239</t>
  </si>
  <si>
    <t>TXN00006</t>
  </si>
  <si>
    <t>TXN00340</t>
  </si>
  <si>
    <t>TXN00303</t>
  </si>
  <si>
    <t>TXN00668</t>
  </si>
  <si>
    <t>TXN00584</t>
  </si>
  <si>
    <t>TXN00594</t>
  </si>
  <si>
    <t>TXN00728</t>
  </si>
  <si>
    <t>TXN00798</t>
  </si>
  <si>
    <t>TXN00514</t>
  </si>
  <si>
    <t>TXN00121</t>
  </si>
  <si>
    <t>TXN00350</t>
  </si>
  <si>
    <t>TXN00678</t>
  </si>
  <si>
    <t>TXN00067</t>
  </si>
  <si>
    <t>TXN00208</t>
  </si>
  <si>
    <t>TXN00309</t>
  </si>
  <si>
    <t>TXN00143</t>
  </si>
  <si>
    <t>TXN00039</t>
  </si>
  <si>
    <t>TXN00044</t>
  </si>
  <si>
    <t>TXN00834</t>
  </si>
  <si>
    <t>TXN00069</t>
  </si>
  <si>
    <t>TXN00613</t>
  </si>
  <si>
    <t>TXN00360</t>
  </si>
  <si>
    <t>TXN00107</t>
  </si>
  <si>
    <t>TXN00581</t>
  </si>
  <si>
    <t>TXN00648</t>
  </si>
  <si>
    <t>TXN00538</t>
  </si>
  <si>
    <t>TXN00111</t>
  </si>
  <si>
    <t>TXN00116</t>
  </si>
  <si>
    <t>TXN00225</t>
  </si>
  <si>
    <t>TXN00194</t>
  </si>
  <si>
    <t>TXN00588</t>
  </si>
  <si>
    <t>TXN00505</t>
  </si>
  <si>
    <t>TXN00345</t>
  </si>
  <si>
    <t>TXN00735</t>
  </si>
  <si>
    <t>TXN00644</t>
  </si>
  <si>
    <t>TXN00930</t>
  </si>
  <si>
    <t>TXN00635</t>
  </si>
  <si>
    <t>TXN00046</t>
  </si>
  <si>
    <t>TXN00003</t>
  </si>
  <si>
    <t>TXN00524</t>
  </si>
  <si>
    <t>TXN00819</t>
  </si>
  <si>
    <t>TXN00442</t>
  </si>
  <si>
    <t>TXN00413</t>
  </si>
  <si>
    <t>TXN00650</t>
  </si>
  <si>
    <t>TXN00560</t>
  </si>
  <si>
    <t>TXN00145</t>
  </si>
  <si>
    <t>TXN00849</t>
  </si>
  <si>
    <t>TXN00124</t>
  </si>
  <si>
    <t>TXN00835</t>
  </si>
  <si>
    <t>TXN00420</t>
  </si>
  <si>
    <t>TXN00752</t>
  </si>
  <si>
    <t>TXN00781</t>
  </si>
  <si>
    <t>TXN00489</t>
  </si>
  <si>
    <t>TXN00889</t>
  </si>
  <si>
    <t>TXN00717</t>
  </si>
  <si>
    <t>TXN00688</t>
  </si>
  <si>
    <t>TXN00559</t>
  </si>
  <si>
    <t>TXN00892</t>
  </si>
  <si>
    <t>TXN00273</t>
  </si>
  <si>
    <t>TXN00917</t>
  </si>
  <si>
    <t>TXN00068</t>
  </si>
  <si>
    <t>TXN00170</t>
  </si>
  <si>
    <t>TXN00077</t>
  </si>
  <si>
    <t>TXN00104</t>
  </si>
  <si>
    <t>TXN00007</t>
  </si>
  <si>
    <t>TXN00656</t>
  </si>
  <si>
    <t>TXN00808</t>
  </si>
  <si>
    <t>TXN00236</t>
  </si>
  <si>
    <t>TXN00763</t>
  </si>
  <si>
    <t>TXN00276</t>
  </si>
  <si>
    <t>TXN00802</t>
  </si>
  <si>
    <t>TXN00035</t>
  </si>
  <si>
    <t>TXN00057</t>
  </si>
  <si>
    <t>TXN00051</t>
  </si>
  <si>
    <t>TXN00820</t>
  </si>
  <si>
    <t>TXN00247</t>
  </si>
  <si>
    <t>TXN00238</t>
  </si>
  <si>
    <t>TXN00268</t>
  </si>
  <si>
    <t>TXN00532</t>
  </si>
  <si>
    <t>TXN00952</t>
  </si>
  <si>
    <t>TXN00457</t>
  </si>
  <si>
    <t>TXN00105</t>
  </si>
  <si>
    <t>TXN00013</t>
  </si>
  <si>
    <t>TXN00804</t>
  </si>
  <si>
    <t>TXN00127</t>
  </si>
  <si>
    <t>TXN00157</t>
  </si>
  <si>
    <t>TXN00024</t>
  </si>
  <si>
    <t>TXN00172</t>
  </si>
  <si>
    <t>TXN00090</t>
  </si>
  <si>
    <t>TXN00002</t>
  </si>
  <si>
    <t>TXN00809</t>
  </si>
  <si>
    <t>TXN00760</t>
  </si>
  <si>
    <t>TXN00893</t>
  </si>
  <si>
    <t>TXN00322</t>
  </si>
  <si>
    <t>TXN00185</t>
  </si>
  <si>
    <t>TXN00796</t>
  </si>
  <si>
    <t>TXN00683</t>
  </si>
  <si>
    <t>TXN00019</t>
  </si>
  <si>
    <t>TXN00906</t>
  </si>
  <si>
    <t>TXN00460</t>
  </si>
  <si>
    <t>TXN00243</t>
  </si>
  <si>
    <t>TXN00967</t>
  </si>
  <si>
    <t>TXN00216</t>
  </si>
  <si>
    <t>TXN00103</t>
  </si>
  <si>
    <t>TXN00607</t>
  </si>
  <si>
    <t>TXN00582</t>
  </si>
  <si>
    <t>TXN00052</t>
  </si>
  <si>
    <t>TXN00507</t>
  </si>
  <si>
    <t>TXN00191</t>
  </si>
  <si>
    <t>TXN00083</t>
  </si>
  <si>
    <t>TXN00223</t>
  </si>
  <si>
    <t>TXN00695</t>
  </si>
  <si>
    <t>TXN00596</t>
  </si>
  <si>
    <t>TXN00219</t>
  </si>
  <si>
    <t>TXN00270</t>
  </si>
  <si>
    <t>TXN00777</t>
  </si>
  <si>
    <t>TXN00730</t>
  </si>
  <si>
    <t>TXN00710</t>
  </si>
  <si>
    <t>TXN00081</t>
  </si>
  <si>
    <t>TXN00056</t>
  </si>
  <si>
    <t>TXN00444</t>
  </si>
  <si>
    <t>TXN00736</t>
  </si>
  <si>
    <t>TXN00592</t>
  </si>
  <si>
    <t>TXN00323</t>
  </si>
  <si>
    <t>TXN00517</t>
  </si>
  <si>
    <t>TXN00109</t>
  </si>
  <si>
    <t>TXN00877</t>
  </si>
  <si>
    <t>TXN00479</t>
  </si>
  <si>
    <t>TXN00954</t>
  </si>
  <si>
    <t>TXN00120</t>
  </si>
  <si>
    <t>TXN00528</t>
  </si>
  <si>
    <t>TXN00697</t>
  </si>
  <si>
    <t>TXN00885</t>
  </si>
  <si>
    <t>TXN00521</t>
  </si>
  <si>
    <t>TXN00286</t>
  </si>
  <si>
    <t>TXN00988</t>
  </si>
  <si>
    <t>TXN00131</t>
  </si>
  <si>
    <t>TXN00916</t>
  </si>
  <si>
    <t>TXN00177</t>
  </si>
  <si>
    <t>TXN00913</t>
  </si>
  <si>
    <t>TXN00586</t>
  </si>
  <si>
    <t>TXN00994</t>
  </si>
  <si>
    <t>TXN00432</t>
  </si>
  <si>
    <t>TXN00897</t>
  </si>
  <si>
    <t>TXN00231</t>
  </si>
  <si>
    <t>TXN00001</t>
  </si>
  <si>
    <t>TXN00711</t>
  </si>
  <si>
    <t>TXN00476</t>
  </si>
  <si>
    <t>TXN00341</t>
  </si>
  <si>
    <t>TXN00018</t>
  </si>
  <si>
    <t>TXN00640</t>
  </si>
  <si>
    <t>TXN00050</t>
  </si>
  <si>
    <t>TXN00206</t>
  </si>
  <si>
    <t>TXN00176</t>
  </si>
  <si>
    <t>TXN00174</t>
  </si>
  <si>
    <t>TXN00086</t>
  </si>
  <si>
    <t>TXN00138</t>
  </si>
  <si>
    <t>TXN00454</t>
  </si>
  <si>
    <t>TXN00515</t>
  </si>
  <si>
    <t>TXN00944</t>
  </si>
  <si>
    <t>TXN00948</t>
  </si>
  <si>
    <t>TXN00552</t>
  </si>
  <si>
    <t>TXN00418</t>
  </si>
  <si>
    <t>TXN00527</t>
  </si>
  <si>
    <t>TXN00261</t>
  </si>
  <si>
    <t>TXN00570</t>
  </si>
  <si>
    <t>TXN00425</t>
  </si>
  <si>
    <t>TXN00477</t>
  </si>
  <si>
    <t>TXN00701</t>
  </si>
  <si>
    <t>TXN00279</t>
  </si>
  <si>
    <t>TXN00260</t>
  </si>
  <si>
    <t>TXN00175</t>
  </si>
  <si>
    <t>TXN00464</t>
  </si>
  <si>
    <t>TXN00141</t>
  </si>
  <si>
    <t>TXN00363</t>
  </si>
  <si>
    <t>TXN00956</t>
  </si>
  <si>
    <t>TXN00443</t>
  </si>
  <si>
    <t>TXN00768</t>
  </si>
  <si>
    <t>TXN00061</t>
  </si>
  <si>
    <t>TXN00500</t>
  </si>
  <si>
    <t>TXN00573</t>
  </si>
  <si>
    <t>TXN00129</t>
  </si>
  <si>
    <t>TXN00302</t>
  </si>
  <si>
    <t>TXN00150</t>
  </si>
  <si>
    <t>TXN00147</t>
  </si>
  <si>
    <t>TXN00783</t>
  </si>
  <si>
    <t>TXN00433</t>
  </si>
  <si>
    <t>TXN00212</t>
  </si>
  <si>
    <t>TXN00189</t>
  </si>
  <si>
    <t>TXN00079</t>
  </si>
  <si>
    <t>TXN00878</t>
  </si>
  <si>
    <t>TXN00910</t>
  </si>
  <si>
    <t>TXN00054</t>
  </si>
  <si>
    <t>TXN00040</t>
  </si>
  <si>
    <t>TXN00832</t>
  </si>
  <si>
    <t>TXN00203</t>
  </si>
  <si>
    <t>TXN00969</t>
  </si>
  <si>
    <t>TXN00551</t>
  </si>
  <si>
    <t>TXN00492</t>
  </si>
  <si>
    <t>TXN00106</t>
  </si>
  <si>
    <t>TXN00214</t>
  </si>
  <si>
    <t>TXN00904</t>
  </si>
  <si>
    <t>TXN00186</t>
  </si>
  <si>
    <t>TXN00140</t>
  </si>
  <si>
    <t>TXN00955</t>
  </si>
  <si>
    <t>TXN00510</t>
  </si>
  <si>
    <t>TXN00968</t>
  </si>
  <si>
    <t>TXN00659</t>
  </si>
  <si>
    <t>TXN00136</t>
  </si>
  <si>
    <t>TXN00579</t>
  </si>
  <si>
    <t>TXN00137</t>
  </si>
  <si>
    <t>TXN00557</t>
  </si>
  <si>
    <t>TXN00356</t>
  </si>
  <si>
    <t>TXN00993</t>
  </si>
  <si>
    <t>TXN00311</t>
  </si>
  <si>
    <t>TXN00591</t>
  </si>
  <si>
    <t>TXN00769</t>
  </si>
  <si>
    <t>TXN00836</t>
  </si>
  <si>
    <t>TXN00166</t>
  </si>
  <si>
    <t>TXN00249</t>
  </si>
  <si>
    <t>TXN00571</t>
  </si>
  <si>
    <t>TXN00016</t>
  </si>
  <si>
    <t>TXN00589</t>
  </si>
  <si>
    <t>TXN00125</t>
  </si>
  <si>
    <t>TXN00439</t>
  </si>
  <si>
    <t>TXN00817</t>
  </si>
  <si>
    <t>TXN00666</t>
  </si>
  <si>
    <t>TXN00799</t>
  </si>
  <si>
    <t>TXN00882</t>
  </si>
  <si>
    <t>TXN00490</t>
  </si>
  <si>
    <t>TXN00151</t>
  </si>
  <si>
    <t>TXN00529</t>
  </si>
  <si>
    <t>TXN00927</t>
  </si>
  <si>
    <t>TXN00462</t>
  </si>
  <si>
    <t>TXN00723</t>
  </si>
  <si>
    <t>TXN00371</t>
  </si>
  <si>
    <t>TXN00816</t>
  </si>
  <si>
    <t>TXN00142</t>
  </si>
  <si>
    <t>TXN00691</t>
  </si>
  <si>
    <t>TXN00957</t>
  </si>
  <si>
    <t>TXN00190</t>
  </si>
  <si>
    <t>TXN00705</t>
  </si>
  <si>
    <t>TXN00541</t>
  </si>
  <si>
    <t>TXN00669</t>
  </si>
  <si>
    <t>TXN00198</t>
  </si>
  <si>
    <t>TXN00055</t>
  </si>
  <si>
    <t>TXN00078</t>
  </si>
  <si>
    <t>TXN00749</t>
  </si>
  <si>
    <t>TXN00092</t>
  </si>
  <si>
    <t>TXN00984</t>
  </si>
  <si>
    <t>TXN00866</t>
  </si>
  <si>
    <t>TXN00587</t>
  </si>
  <si>
    <t>TXN00009</t>
  </si>
  <si>
    <t>TXN00254</t>
  </si>
  <si>
    <t>TXN00354</t>
  </si>
  <si>
    <t>TXN00815</t>
  </si>
  <si>
    <t>TXN00814</t>
  </si>
  <si>
    <t>TXN00251</t>
  </si>
  <si>
    <t>TXN00099</t>
  </si>
  <si>
    <t>TXN00935</t>
  </si>
  <si>
    <t>TXN00772</t>
  </si>
  <si>
    <t>TXN00301</t>
  </si>
  <si>
    <t>TXN00709</t>
  </si>
  <si>
    <t>TXN00246</t>
  </si>
  <si>
    <t>TXN00422</t>
  </si>
  <si>
    <t>TXN00718</t>
  </si>
  <si>
    <t>TXN00858</t>
  </si>
  <si>
    <t>TXN00310</t>
  </si>
  <si>
    <t>TXN00995</t>
  </si>
  <si>
    <t>TXN00830</t>
  </si>
  <si>
    <t>TXN00509</t>
  </si>
  <si>
    <t>n/n</t>
  </si>
  <si>
    <t>Success Transactions</t>
  </si>
  <si>
    <t>Overall Transactions</t>
  </si>
  <si>
    <t>Task 1 — Conversion Rate by PSP Provider</t>
  </si>
  <si>
    <t>Task 2 — Revenue &amp; Fee Analysis by Provider</t>
  </si>
  <si>
    <t>Task 3 — Performance by GEO</t>
  </si>
  <si>
    <t>Success Rate (%)</t>
  </si>
  <si>
    <t>Task 4 — Decline Reason Analysis</t>
  </si>
  <si>
    <t>Count</t>
  </si>
  <si>
    <t>Percentage of Total</t>
  </si>
  <si>
    <t>TOP GEO</t>
  </si>
  <si>
    <t>Best Provider</t>
  </si>
  <si>
    <t>Best PSP Provider per GEO</t>
  </si>
  <si>
    <t>May</t>
  </si>
  <si>
    <t>Transactions</t>
  </si>
  <si>
    <t>Month</t>
  </si>
  <si>
    <t>Provider</t>
  </si>
  <si>
    <t>Net Revenue</t>
  </si>
  <si>
    <t>📊</t>
  </si>
  <si>
    <t>PSP Transaction Dashboard  ·  2024</t>
  </si>
  <si>
    <t>TOTAL TRANSACTIONS</t>
  </si>
  <si>
    <t>SUCCESS RATE</t>
  </si>
  <si>
    <t>TOTAL NET REVENUE</t>
  </si>
  <si>
    <t>across all providers</t>
  </si>
  <si>
    <t>554 of 1,000 successful</t>
  </si>
  <si>
    <t>after fees deducted</t>
  </si>
  <si>
    <t>Transaction Status Breakdown</t>
  </si>
  <si>
    <t>Decline Reason Analysis</t>
  </si>
  <si>
    <t>% of Total</t>
  </si>
  <si>
    <t>Bar</t>
  </si>
  <si>
    <t>✓  Success</t>
  </si>
  <si>
    <t>⏳ Pending</t>
  </si>
  <si>
    <t>✗  Failed</t>
  </si>
  <si>
    <t>% of Declines</t>
  </si>
  <si>
    <t>Severity</t>
  </si>
  <si>
    <t>🔴 High</t>
  </si>
  <si>
    <t>🟠 Medium</t>
  </si>
  <si>
    <t>🟡 Low</t>
  </si>
  <si>
    <t>PSP Provider Performance</t>
  </si>
  <si>
    <t>Success Rate</t>
  </si>
  <si>
    <t>Fees Paid</t>
  </si>
  <si>
    <t>Avg Txn Value</t>
  </si>
  <si>
    <t>TOTAL</t>
  </si>
  <si>
    <t>Monthly Transaction Volume &amp; Revenue</t>
  </si>
  <si>
    <t>Jan</t>
  </si>
  <si>
    <t>Feb</t>
  </si>
  <si>
    <t>Mar</t>
  </si>
  <si>
    <t>Apr</t>
  </si>
  <si>
    <t>Jun</t>
  </si>
  <si>
    <t>Jul</t>
  </si>
  <si>
    <t>Aug</t>
  </si>
  <si>
    <t>Sep</t>
  </si>
  <si>
    <t>Oct</t>
  </si>
  <si>
    <t>Nov</t>
  </si>
  <si>
    <t>Dec</t>
  </si>
  <si>
    <t>AVG SUCCESSFUL TRANSACTION</t>
  </si>
  <si>
    <t>per successful transaction (net)</t>
  </si>
  <si>
    <t>GEO Transaction Volume &amp; Revenue</t>
  </si>
  <si>
    <t>Top 3 GEO</t>
  </si>
  <si>
    <t>Successful Transaction Rate Per Provider Per GEO</t>
  </si>
  <si>
    <t>Successful Transaction Rate Per Provider by GEO (TOP 3)</t>
  </si>
  <si>
    <t>Best PSP Provider</t>
  </si>
  <si>
    <t>Exchange Rate to EUR</t>
  </si>
  <si>
    <r>
      <t>Net Amount (</t>
    </r>
    <r>
      <rPr>
        <b/>
        <sz val="11"/>
        <color theme="1"/>
        <rFont val="Aptos Narrow"/>
        <family val="2"/>
      </rPr>
      <t>€)</t>
    </r>
  </si>
  <si>
    <t>Fee Amount (€)</t>
  </si>
  <si>
    <t>Success Average Transaction Amount (€)</t>
  </si>
  <si>
    <t>Fee Amount EUR</t>
  </si>
  <si>
    <t>Net Amount EUR</t>
  </si>
  <si>
    <t>Gross Amount EUR</t>
  </si>
  <si>
    <t>Country</t>
  </si>
  <si>
    <t>Row Labels</t>
  </si>
  <si>
    <t>Count of Transaction ID</t>
  </si>
  <si>
    <t>Column Labels</t>
  </si>
  <si>
    <t>Grand Total</t>
  </si>
  <si>
    <t>Net Revenue (€)</t>
  </si>
  <si>
    <t>France</t>
  </si>
  <si>
    <t>Netherlands</t>
  </si>
  <si>
    <t>Poland</t>
  </si>
  <si>
    <t>Cyprus</t>
  </si>
  <si>
    <t>United Kingdom</t>
  </si>
  <si>
    <t>Norway</t>
  </si>
  <si>
    <t>Italy</t>
  </si>
  <si>
    <t>Spain</t>
  </si>
  <si>
    <t>Sweden</t>
  </si>
  <si>
    <t>Germany</t>
  </si>
  <si>
    <t>Month Name</t>
  </si>
  <si>
    <t>January</t>
  </si>
  <si>
    <t>February</t>
  </si>
  <si>
    <t>March</t>
  </si>
  <si>
    <t>April</t>
  </si>
  <si>
    <t>June</t>
  </si>
  <si>
    <t>July</t>
  </si>
  <si>
    <t>August</t>
  </si>
  <si>
    <t>September</t>
  </si>
  <si>
    <t>October</t>
  </si>
  <si>
    <t>November</t>
  </si>
  <si>
    <t>December</t>
  </si>
  <si>
    <t>Sum of Net Amount EUR</t>
  </si>
  <si>
    <t>Sum of Fee Amount EUR</t>
  </si>
  <si>
    <t>per transaction incl non-success (net)</t>
  </si>
  <si>
    <t>Rate to EUR</t>
  </si>
  <si>
    <t>Source</t>
  </si>
  <si>
    <t>Avg Successful Txn Value</t>
  </si>
  <si>
    <t>Task 5 — Best PSP Provider per GEO (Top 3)</t>
  </si>
  <si>
    <t>Avg Transaction Amount (All Statuses, €)</t>
  </si>
  <si>
    <t>TRANSACTION STATUS</t>
  </si>
  <si>
    <t>REVENUE TREND</t>
  </si>
  <si>
    <t>GEOGRAPHY</t>
  </si>
  <si>
    <t>DECLINE ANALYSIS</t>
  </si>
  <si>
    <t xml:space="preserve">FEES VS REVENUE </t>
  </si>
  <si>
    <t>PAYMENT METHODS</t>
  </si>
  <si>
    <t>📄  PSP Performance Architecture — Documentation</t>
  </si>
  <si>
    <t>Payment Service Provider Transaction Analysis  ·  FY2024  ·  Nikolas Andreou</t>
  </si>
  <si>
    <t>PROJECT OVERVIEW</t>
  </si>
  <si>
    <t>Objective</t>
  </si>
  <si>
    <t>Dataset</t>
  </si>
  <si>
    <t>1,000 synthetic transactions spanning January–December 2024, covering SEK, NOK, EUR, GBP, and PLN currencies. All monetary values normalized to EUR for cross-market comparability.</t>
  </si>
  <si>
    <t>Scope</t>
  </si>
  <si>
    <t>Conversion rate analysis, revenue &amp; fee benchmarking, geographic performance, decline reason diagnosis, and best-provider-per-market recommendations.</t>
  </si>
  <si>
    <t>Tools Used</t>
  </si>
  <si>
    <t>DATA DESCRIPTION</t>
  </si>
  <si>
    <t>Field</t>
  </si>
  <si>
    <t>Description</t>
  </si>
  <si>
    <t>Example</t>
  </si>
  <si>
    <t>Unique identifier for each transaction</t>
  </si>
  <si>
    <t>Transaction timestamp (Excel serial date)</t>
  </si>
  <si>
    <t>ISO 2-letter country code</t>
  </si>
  <si>
    <t>SE, NO, ES, FR, GB, PL, NL, IT, CY, DE</t>
  </si>
  <si>
    <t>Original transaction currency</t>
  </si>
  <si>
    <t>SEK, NOK, EUR, GBP, PLN</t>
  </si>
  <si>
    <t>Payment service provider processing the transaction</t>
  </si>
  <si>
    <t>Worldpay, Stripe, Checkout.com, PaySafe, Adyen</t>
  </si>
  <si>
    <t>Customer payment instrument</t>
  </si>
  <si>
    <t>Credit Card, Debit Card, E-Wallet, Bank Transfer, Crypto</t>
  </si>
  <si>
    <t>Transaction amount in original currency</t>
  </si>
  <si>
    <t>4,887.84 NOK</t>
  </si>
  <si>
    <t>Transaction outcome</t>
  </si>
  <si>
    <t>Success, Pending, Failed</t>
  </si>
  <si>
    <t>Reason for failure (Failed transactions only)</t>
  </si>
  <si>
    <t>Card Declined, Technical Error, Fraud Suspected, Insufficient Funds, Expired Card</t>
  </si>
  <si>
    <t>Provider fee rate applied to successful transactions</t>
  </si>
  <si>
    <t>1.9%, 2.1%, 2.5%, 2.9%, 3.2%</t>
  </si>
  <si>
    <t>Conversion rate from original currency to EUR</t>
  </si>
  <si>
    <t>Fee in EUR (Amount × Rate × Fee% for Success only)</t>
  </si>
  <si>
    <t>Revenue after fees in EUR (Gross − Fee)</t>
  </si>
  <si>
    <t>Total in EUR before fees (Amount × Exchange Rate)</t>
  </si>
  <si>
    <t>Calendar month derived from Date &amp; Time</t>
  </si>
  <si>
    <t>KEY ASSUMPTIONS &amp; METHODOLOGY</t>
  </si>
  <si>
    <t>Currency Conversion</t>
  </si>
  <si>
    <t>Fee Calculation</t>
  </si>
  <si>
    <t>Defined as: COUNT(Status="Success") / COUNT(All Transactions). Pending transactions are NOT counted as failures.</t>
  </si>
  <si>
    <t>Gross Amount EUR − Fee Amount EUR. Only non-zero for successful transactions.</t>
  </si>
  <si>
    <t>Avg Transaction (All)</t>
  </si>
  <si>
    <t>AVERAGE across all 1,000 rows including €0 values for Pending/Failed. Denominator = total transactions.</t>
  </si>
  <si>
    <t>Avg Successful Txn</t>
  </si>
  <si>
    <t>AVERAGEIFS filtered to Status="Success" only. Denominator = successful transactions (554).</t>
  </si>
  <si>
    <t>GEO Ranking</t>
  </si>
  <si>
    <t>GEOs ranked by total transaction count. "Top 3" analysis covers NL (125), GB (113), CY (108).</t>
  </si>
  <si>
    <t>Decline Analysis</t>
  </si>
  <si>
    <t>Percentages calculated as share of failed transactions only (218 total), not share of all 1,000 transactions.</t>
  </si>
  <si>
    <t>SHEET INDEX</t>
  </si>
  <si>
    <t>#</t>
  </si>
  <si>
    <t>Sheet Name</t>
  </si>
  <si>
    <t>Purpose</t>
  </si>
  <si>
    <t>Documentation</t>
  </si>
  <si>
    <t>This sheet — project overview, methodology, and assumptions</t>
  </si>
  <si>
    <t>Raw Data (Jan-Jun)</t>
  </si>
  <si>
    <t>Original transaction records for January–June 2024 (485 rows)</t>
  </si>
  <si>
    <t>Raw Data (Jul-Dec)</t>
  </si>
  <si>
    <t>Original transaction records for July–December 2024 (515 rows)</t>
  </si>
  <si>
    <t>FX Rates</t>
  </si>
  <si>
    <t>Exchange rate reference table (SEK, NOK, EUR, GBP, PLN → EUR) with sources</t>
  </si>
  <si>
    <t>Raw_Data_Combined</t>
  </si>
  <si>
    <t>Merged dataset with EUR-normalized columns (1,000 rows × 15 fields)</t>
  </si>
  <si>
    <t>Tasks</t>
  </si>
  <si>
    <t>Dashboards</t>
  </si>
  <si>
    <t>Static summary dashboard with KPIs, provider table, monthly trends, GEO breakdown</t>
  </si>
  <si>
    <t>Pivot Tables</t>
  </si>
  <si>
    <t>Pivot table outputs for revenue trends, status, geography, fees, declines, payment methods</t>
  </si>
  <si>
    <t>Dynamic Dashboard</t>
  </si>
  <si>
    <t>Visual dashboard with charts — revenue trends, status breakdown, geography, fees, declines, payment methods</t>
  </si>
  <si>
    <t>KEY FINDINGS</t>
  </si>
  <si>
    <t>1. Conversion Rates</t>
  </si>
  <si>
    <t>Overall success rate: 55.4% (554/1,000). Checkout.com leads at 58.8%, while Adyen trails at 51.9%. Significant room for improvement across all providers — industry benchmarks typically target 70–85%.</t>
  </si>
  <si>
    <t>2. Revenue Distribution</t>
  </si>
  <si>
    <t>3. Geographic Performance</t>
  </si>
  <si>
    <t>France leads in success rate (63.4%) while SE and DE lag (~49%). Revenue concentration is uneven — FR, GB, NL, and CY each contribute &gt;€149K, while SE and NO contribute &lt;€12K due to lower EUR-equivalent values.</t>
  </si>
  <si>
    <t>4. Decline Reasons</t>
  </si>
  <si>
    <t>Fraud Suspected (23.4%) and Card Declined (22.5%) are the top failure causes. Together they account for nearly half of all declines, suggesting potential gains from improved fraud screening and retry logic.</t>
  </si>
  <si>
    <t>5. Pending Transactions</t>
  </si>
  <si>
    <t>6. Best PSP per Market</t>
  </si>
  <si>
    <t>Optimal provider varies by GEO: Adyen is strongest in NL (63.2%), Checkout.com in GB (65.4%), and PaySafe in CY (70.0%). A multi-PSP routing strategy could lift overall conversion.</t>
  </si>
  <si>
    <t>Prepared by Nikolas Andreou  ·  2024  ·  For portfolio / recruitment purposes  ·  Data is synthetic</t>
  </si>
  <si>
    <t>Task 6 — Pending Transaction Analysis</t>
  </si>
  <si>
    <t>Pending Count</t>
  </si>
  <si>
    <t>Total Transactions</t>
  </si>
  <si>
    <t>Pending Rate (%)</t>
  </si>
  <si>
    <t>Pending Transactions by GEO</t>
  </si>
  <si>
    <t>Pending Transactions by Payment Method</t>
  </si>
  <si>
    <t>Analytical tasks: conversion rates, revenue/fees, GEO performance, declines, best PSP per GEO, pending transaction analysis</t>
  </si>
  <si>
    <t>Fees are modeled as percentage-based rates only (e.g., 1.9%, 2.1%, 2.5%). In practice, PSP providers often charge a combination of percentage fees and fixed per-transaction fees (e.g., €0.20/txn). Fixed fees are acknowledged but not included in this analysis, as the synthetic dataset only provides rate-based fees. All fee calculations apply exclusively to successful transactions — Pending and Failed transactions carry €0 fees.</t>
  </si>
  <si>
    <t>228 transactions (22.8%) remain in Pending status — a significant operational concern. Worldpay (24.7%) and Stripe (24.2%) have the highest pending rates by provider; GB (24.8%) leads by GEO. Pending analysis added in Task 6.</t>
  </si>
  <si>
    <t>Analyze PSP transaction performance across 5 payment providers, 10 European markets, and 5 payment methods to identify optimization opportunities for conversion rates, revenue, and cost efficiency.</t>
  </si>
  <si>
    <t>Count of Transaction ID2</t>
  </si>
  <si>
    <t>FX Rates (to EUR) - 2024 Annual Average</t>
  </si>
  <si>
    <t>ECB (2024 Avg)</t>
  </si>
  <si>
    <t>Microsoft Excel — formulas (COUNTIFS, SUMIFS, AVERAGEIFS, VLOOKUP, XLOOKUP, INDEX/MATCH, UNIQUE, SORT, FILTER), pivot tables, conditional formatting, dashboard design.
Power Query — used to merge Raw Data (Jan-Jun) and Raw Data (Jul-Dec) into Raw_Data_Combined with FX rate lookups for multi-currency normalization.</t>
  </si>
  <si>
    <t>AVG NET (ALL TXN)</t>
  </si>
  <si>
    <t>Total net revenue: ~€1,024K after ~€26.3K in fees. Checkout.com generates the highest net revenue (€249.3K) with the lowest fee rate (1.9%). PaySafe has the highest fee rate (3.2%) but still ranks #2 by volume.</t>
  </si>
  <si>
    <t>All non-EUR amounts converted using fixed mid-market rates sourced from European Central Bank (ECB). Rates represent annual averages for 2024. See "FX Rates" tab for full rate table.</t>
  </si>
  <si>
    <t>SEK: 0.0874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</si>
</sst>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0.0%"/>
    <numFmt numFmtId="165" formatCode="[$€-2]\ #,##0"/>
    <numFmt numFmtId="166" formatCode="\€#,##0"/>
    <numFmt numFmtId="167" formatCode="0.00000"/>
    <numFmt numFmtId="168" formatCode="\€#,##0.00"/>
    <numFmt numFmtId="169" formatCode="yyyy\-mm\-dd\ hh:mm"/>
    <numFmt numFmtId="170" formatCode="[$€-2]\ #,##0.00"/>
    <numFmt numFmtId="171" formatCode="0.0000"/>
  </numFmts>
  <fonts count="43" x14ac:knownFonts="1">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1"/>
      <color theme="1"/>
      <name val="Calibri"/>
      <family val="2"/>
      <scheme val="minor"/>
    </font>
    <font>
      <sz val="8"/>
      <name val="Calibri"/>
      <family val="2"/>
      <scheme val="minor"/>
    </font>
    <font>
      <sz val="20"/>
      <color rgb="FFFFFFFF"/>
      <name val="Calibri"/>
      <family val="2"/>
      <scheme val="minor"/>
    </font>
    <font>
      <b/>
      <sz val="20"/>
      <color rgb="FFFFFFFF"/>
      <name val="Calibri"/>
      <family val="2"/>
      <scheme val="minor"/>
    </font>
    <font>
      <sz val="9"/>
      <color rgb="FF6B7280"/>
      <name val="Calibri"/>
      <family val="2"/>
      <scheme val="minor"/>
    </font>
    <font>
      <b/>
      <sz val="22"/>
      <color rgb="FF1B2A4A"/>
      <name val="Calibri"/>
      <family val="2"/>
      <scheme val="minor"/>
    </font>
    <font>
      <b/>
      <sz val="22"/>
      <color rgb="FF2E86AB"/>
      <name val="Calibri"/>
      <family val="2"/>
      <scheme val="minor"/>
    </font>
    <font>
      <b/>
      <sz val="22"/>
      <color rgb="FF10B981"/>
      <name val="Calibri"/>
      <family val="2"/>
      <scheme val="minor"/>
    </font>
    <font>
      <b/>
      <sz val="22"/>
      <color rgb="FF8B5CF6"/>
      <name val="Calibri"/>
      <family val="2"/>
      <scheme val="minor"/>
    </font>
    <font>
      <i/>
      <sz val="8"/>
      <color rgb="FF9CA3AF"/>
      <name val="Calibri"/>
      <family val="2"/>
      <scheme val="minor"/>
    </font>
    <font>
      <b/>
      <sz val="13"/>
      <color rgb="FF1B2A4A"/>
      <name val="Calibri"/>
      <family val="2"/>
      <scheme val="minor"/>
    </font>
    <font>
      <b/>
      <sz val="10"/>
      <color rgb="FFFFFFFF"/>
      <name val="Calibri"/>
      <family val="2"/>
      <scheme val="minor"/>
    </font>
    <font>
      <sz val="10"/>
      <color rgb="FF166534"/>
      <name val="Calibri"/>
      <family val="2"/>
      <scheme val="minor"/>
    </font>
    <font>
      <b/>
      <sz val="10"/>
      <color rgb="FF166534"/>
      <name val="Calibri"/>
      <family val="2"/>
      <scheme val="minor"/>
    </font>
    <font>
      <sz val="10"/>
      <color rgb="FF92400E"/>
      <name val="Calibri"/>
      <family val="2"/>
      <scheme val="minor"/>
    </font>
    <font>
      <b/>
      <sz val="10"/>
      <color rgb="FF92400E"/>
      <name val="Calibri"/>
      <family val="2"/>
      <scheme val="minor"/>
    </font>
    <font>
      <sz val="10"/>
      <color rgb="FF991B1B"/>
      <name val="Calibri"/>
      <family val="2"/>
      <scheme val="minor"/>
    </font>
    <font>
      <b/>
      <sz val="10"/>
      <color rgb="FF991B1B"/>
      <name val="Calibri"/>
      <family val="2"/>
      <scheme val="minor"/>
    </font>
    <font>
      <sz val="10"/>
      <color rgb="FF374151"/>
      <name val="Calibri"/>
      <family val="2"/>
      <scheme val="minor"/>
    </font>
    <font>
      <b/>
      <sz val="10"/>
      <color rgb="FF374151"/>
      <name val="Calibri"/>
      <family val="2"/>
      <scheme val="minor"/>
    </font>
    <font>
      <sz val="9"/>
      <color rgb="FF22C55E"/>
      <name val="Calibri"/>
      <family val="2"/>
      <scheme val="minor"/>
    </font>
    <font>
      <sz val="9"/>
      <color rgb="FFF59E0B"/>
      <name val="Calibri"/>
      <family val="2"/>
      <scheme val="minor"/>
    </font>
    <font>
      <sz val="9"/>
      <color rgb="FFEF4444"/>
      <name val="Calibri"/>
      <family val="2"/>
      <scheme val="minor"/>
    </font>
    <font>
      <b/>
      <sz val="22"/>
      <color rgb="FFD75A0D"/>
      <name val="Calibri"/>
      <family val="2"/>
      <scheme val="minor"/>
    </font>
    <font>
      <b/>
      <sz val="11"/>
      <color theme="1"/>
      <name val="Aptos Narrow"/>
      <family val="2"/>
    </font>
    <font>
      <i/>
      <sz val="11"/>
      <color rgb="FF8899AA"/>
      <name val="Calibri"/>
      <family val="2"/>
      <scheme val="minor"/>
    </font>
    <font>
      <b/>
      <sz val="10"/>
      <color rgb="FF000000"/>
      <name val="Calibri"/>
      <scheme val="minor"/>
    </font>
    <font>
      <i/>
      <sz val="11"/>
      <color theme="1"/>
      <name val="Calibri"/>
      <family val="2"/>
      <scheme val="minor"/>
    </font>
    <font>
      <i/>
      <sz val="9"/>
      <color theme="1"/>
      <name val="Calibri"/>
      <family val="2"/>
      <scheme val="minor"/>
    </font>
    <font>
      <i/>
      <sz val="10"/>
      <color rgb="FF8899AA"/>
      <name val="Calibri"/>
      <family val="2"/>
      <scheme val="minor"/>
    </font>
    <font>
      <i/>
      <sz val="8"/>
      <color rgb="FF8899AA"/>
      <name val="Calibri"/>
      <family val="2"/>
      <scheme val="minor"/>
    </font>
    <font>
      <b/>
      <sz val="18"/>
      <color rgb="FFFFFFFF"/>
      <name val="Calibri"/>
      <family val="2"/>
      <scheme val="minor"/>
    </font>
    <font>
      <b/>
      <sz val="11"/>
      <color rgb="FFFFFFFF"/>
      <name val="Calibri"/>
      <family val="2"/>
      <scheme val="minor"/>
    </font>
    <font>
      <sz val="10"/>
      <color theme="1"/>
      <name val="Calibri"/>
      <family val="2"/>
      <scheme val="minor"/>
    </font>
    <font>
      <b/>
      <sz val="10"/>
      <color theme="1"/>
      <name val="Calibri"/>
      <family val="2"/>
      <scheme val="minor"/>
    </font>
    <font>
      <b/>
      <sz val="10"/>
      <color rgb="FF1B2A4A"/>
      <name val="Calibri"/>
      <family val="2"/>
      <scheme val="minor"/>
    </font>
    <font>
      <b/>
      <sz val="9"/>
      <color rgb="FFFFFFFF"/>
      <name val="Calibri"/>
      <family val="2"/>
      <scheme val="minor"/>
    </font>
    <font>
      <i/>
      <sz val="10"/>
      <color rgb="FF6B7280"/>
      <name val="Calibri"/>
      <family val="2"/>
      <scheme val="minor"/>
    </font>
    <font>
      <b/>
      <i/>
      <sz val="9"/>
      <color rgb="FF9CA3AF"/>
      <name val="Calibri"/>
      <family val="2"/>
      <scheme val="minor"/>
    </font>
  </fonts>
  <fills count="26">
    <fill>
      <patternFill patternType="none"/>
    </fill>
    <fill>
      <patternFill patternType="gray125"/>
    </fill>
    <fill>
      <patternFill patternType="solid">
        <fgColor theme="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1B2A4A"/>
        <bgColor indexed="64"/>
      </patternFill>
    </fill>
    <fill>
      <patternFill patternType="solid">
        <fgColor rgb="FFF0F4F8"/>
        <bgColor indexed="64"/>
      </patternFill>
    </fill>
    <fill>
      <patternFill patternType="solid">
        <fgColor rgb="FFFFFFFF"/>
        <bgColor indexed="64"/>
      </patternFill>
    </fill>
    <fill>
      <patternFill patternType="solid">
        <fgColor rgb="FFF0FDF4"/>
        <bgColor indexed="64"/>
      </patternFill>
    </fill>
    <fill>
      <patternFill patternType="solid">
        <fgColor rgb="FFFFFBEB"/>
        <bgColor indexed="64"/>
      </patternFill>
    </fill>
    <fill>
      <patternFill patternType="solid">
        <fgColor rgb="FFFEF2F2"/>
        <bgColor indexed="64"/>
      </patternFill>
    </fill>
    <fill>
      <patternFill patternType="solid">
        <fgColor rgb="FFF9FAFB"/>
        <bgColor indexed="64"/>
      </patternFill>
    </fill>
    <fill>
      <patternFill patternType="solid">
        <fgColor theme="4" tint="0.79998168889431442"/>
        <bgColor theme="4" tint="0.79998168889431442"/>
      </patternFill>
    </fill>
    <fill>
      <patternFill patternType="solid">
        <fgColor rgb="FFFFF2CC"/>
        <bgColor indexed="64"/>
      </patternFill>
    </fill>
    <fill>
      <patternFill patternType="solid">
        <fgColor theme="7" tint="0.79998168889431442"/>
        <bgColor theme="4" tint="0.79998168889431442"/>
      </patternFill>
    </fill>
    <fill>
      <patternFill patternType="solid">
        <fgColor rgb="FF2E86AB"/>
        <bgColor indexed="64"/>
      </patternFill>
    </fill>
    <fill>
      <patternFill patternType="solid">
        <fgColor rgb="FFF0F7FA"/>
        <bgColor indexed="64"/>
      </patternFill>
    </fill>
    <fill>
      <patternFill patternType="solid">
        <fgColor rgb="FF4B5563"/>
        <bgColor indexed="64"/>
      </patternFill>
    </fill>
    <fill>
      <patternFill patternType="solid">
        <fgColor rgb="FFFFE699"/>
        <bgColor indexed="64"/>
      </patternFill>
    </fill>
    <fill>
      <patternFill patternType="solid">
        <fgColor rgb="FFD9E2F3"/>
        <bgColor indexed="64"/>
      </patternFill>
    </fill>
    <fill>
      <patternFill patternType="solid">
        <fgColor rgb="FFB4C6E7"/>
        <bgColor indexed="64"/>
      </patternFill>
    </fill>
    <fill>
      <patternFill patternType="solid">
        <fgColor rgb="FF2AB5A0"/>
        <bgColor indexed="64"/>
      </patternFill>
    </fill>
    <fill>
      <patternFill patternType="solid">
        <fgColor rgb="FF1E3A5F"/>
        <bgColor indexed="64"/>
      </patternFill>
    </fill>
  </fills>
  <borders count="49">
    <border>
      <left/>
      <right/>
      <top/>
      <bottom/>
      <diagonal/>
    </border>
    <border>
      <left style="thin">
        <color auto="1"/>
      </left>
      <right style="thin">
        <color auto="1"/>
      </right>
      <top style="thin">
        <color auto="1"/>
      </top>
      <bottom style="thin">
        <color auto="1"/>
      </bottom>
      <diagonal/>
    </border>
    <border>
      <left/>
      <right/>
      <top style="thin">
        <color rgb="FFE5E7EB"/>
      </top>
      <bottom style="thin">
        <color rgb="FFE5E7EB"/>
      </bottom>
      <diagonal/>
    </border>
    <border>
      <left/>
      <right/>
      <top/>
      <bottom style="thin">
        <color rgb="FFE5E7EB"/>
      </bottom>
      <diagonal/>
    </border>
    <border>
      <left style="thin">
        <color rgb="FFE5E7EB"/>
      </left>
      <right style="thin">
        <color rgb="FFE5E7EB"/>
      </right>
      <top/>
      <bottom/>
      <diagonal/>
    </border>
    <border>
      <left style="thin">
        <color rgb="FFE5E7EB"/>
      </left>
      <right style="thin">
        <color rgb="FFE5E7EB"/>
      </right>
      <top/>
      <bottom style="thin">
        <color rgb="FFE5E7EB"/>
      </bottom>
      <diagonal/>
    </border>
    <border>
      <left style="thin">
        <color rgb="FFE5E7EB"/>
      </left>
      <right style="thin">
        <color rgb="FFE5E7EB"/>
      </right>
      <top style="thick">
        <color rgb="FF1B2A4A"/>
      </top>
      <bottom/>
      <diagonal/>
    </border>
    <border>
      <left style="thin">
        <color rgb="FFE5E7EB"/>
      </left>
      <right style="thin">
        <color rgb="FFE5E7EB"/>
      </right>
      <top style="thick">
        <color rgb="FF2E86AB"/>
      </top>
      <bottom/>
      <diagonal/>
    </border>
    <border>
      <left style="thin">
        <color rgb="FFE5E7EB"/>
      </left>
      <right style="thin">
        <color rgb="FFE5E7EB"/>
      </right>
      <top style="thick">
        <color rgb="FF10B981"/>
      </top>
      <bottom/>
      <diagonal/>
    </border>
    <border>
      <left style="thin">
        <color rgb="FFE5E7EB"/>
      </left>
      <right style="thin">
        <color rgb="FFE5E7EB"/>
      </right>
      <top style="thick">
        <color rgb="FF8B5CF6"/>
      </top>
      <bottom/>
      <diagonal/>
    </border>
    <border>
      <left/>
      <right/>
      <top style="thin">
        <color rgb="FFD1D5DB"/>
      </top>
      <bottom/>
      <diagonal/>
    </border>
    <border>
      <left/>
      <right/>
      <top style="thin">
        <color rgb="FFD1D5DB"/>
      </top>
      <bottom style="thin">
        <color rgb="FFE5E7EB"/>
      </bottom>
      <diagonal/>
    </border>
    <border>
      <left/>
      <right/>
      <top style="thin">
        <color rgb="FFD1D5DB"/>
      </top>
      <bottom style="thin">
        <color rgb="FFD1D5DB"/>
      </bottom>
      <diagonal/>
    </border>
    <border>
      <left/>
      <right/>
      <top style="thin">
        <color rgb="FFE5E7EB"/>
      </top>
      <bottom style="thin">
        <color rgb="FFD1D5DB"/>
      </bottom>
      <diagonal/>
    </border>
    <border>
      <left style="thin">
        <color rgb="FFD1D5DB"/>
      </left>
      <right/>
      <top style="thin">
        <color rgb="FFD1D5DB"/>
      </top>
      <bottom style="thin">
        <color rgb="FFE5E7EB"/>
      </bottom>
      <diagonal/>
    </border>
    <border>
      <left style="thin">
        <color rgb="FFD1D5DB"/>
      </left>
      <right/>
      <top style="thin">
        <color rgb="FFE5E7EB"/>
      </top>
      <bottom style="thin">
        <color rgb="FFE5E7EB"/>
      </bottom>
      <diagonal/>
    </border>
    <border>
      <left style="thin">
        <color rgb="FFD1D5DB"/>
      </left>
      <right/>
      <top style="thin">
        <color rgb="FFE5E7EB"/>
      </top>
      <bottom style="thin">
        <color rgb="FFD1D5DB"/>
      </bottom>
      <diagonal/>
    </border>
    <border>
      <left/>
      <right style="thin">
        <color rgb="FFD1D5DB"/>
      </right>
      <top style="thin">
        <color rgb="FFD1D5DB"/>
      </top>
      <bottom style="thin">
        <color rgb="FFE5E7EB"/>
      </bottom>
      <diagonal/>
    </border>
    <border>
      <left/>
      <right style="thin">
        <color rgb="FFD1D5DB"/>
      </right>
      <top style="thin">
        <color rgb="FFE5E7EB"/>
      </top>
      <bottom style="thin">
        <color rgb="FFE5E7EB"/>
      </bottom>
      <diagonal/>
    </border>
    <border>
      <left/>
      <right style="thin">
        <color rgb="FFD1D5DB"/>
      </right>
      <top style="thin">
        <color rgb="FFE5E7EB"/>
      </top>
      <bottom style="thin">
        <color rgb="FFD1D5DB"/>
      </bottom>
      <diagonal/>
    </border>
    <border>
      <left/>
      <right/>
      <top/>
      <bottom style="thin">
        <color rgb="FFD1D5DB"/>
      </bottom>
      <diagonal/>
    </border>
    <border>
      <left style="thin">
        <color rgb="FFD1D5DB"/>
      </left>
      <right/>
      <top style="thin">
        <color rgb="FFD1D5DB"/>
      </top>
      <bottom/>
      <diagonal/>
    </border>
    <border>
      <left style="thin">
        <color rgb="FFD1D5DB"/>
      </left>
      <right/>
      <top/>
      <bottom/>
      <diagonal/>
    </border>
    <border>
      <left style="thin">
        <color rgb="FFD1D5DB"/>
      </left>
      <right/>
      <top/>
      <bottom style="thin">
        <color rgb="FFD1D5DB"/>
      </bottom>
      <diagonal/>
    </border>
    <border>
      <left/>
      <right style="thin">
        <color rgb="FFD1D5DB"/>
      </right>
      <top style="thin">
        <color rgb="FFD1D5DB"/>
      </top>
      <bottom/>
      <diagonal/>
    </border>
    <border>
      <left/>
      <right style="thin">
        <color rgb="FFD1D5DB"/>
      </right>
      <top/>
      <bottom/>
      <diagonal/>
    </border>
    <border>
      <left/>
      <right style="thin">
        <color rgb="FFD1D5DB"/>
      </right>
      <top/>
      <bottom style="thin">
        <color rgb="FFD1D5DB"/>
      </bottom>
      <diagonal/>
    </border>
    <border>
      <left style="thick">
        <color rgb="FF2E86AB"/>
      </left>
      <right/>
      <top/>
      <bottom style="thin">
        <color rgb="FFD1D5DB"/>
      </bottom>
      <diagonal/>
    </border>
    <border>
      <left style="thin">
        <color rgb="FFE5E7EB"/>
      </left>
      <right style="thin">
        <color rgb="FFE5E7EB"/>
      </right>
      <top style="thick">
        <color rgb="FFD75A0D"/>
      </top>
      <bottom/>
      <diagonal/>
    </border>
    <border>
      <left style="thin">
        <color rgb="FFD1D5DB"/>
      </left>
      <right/>
      <top/>
      <bottom style="thin">
        <color rgb="FFE5E7EB"/>
      </bottom>
      <diagonal/>
    </border>
    <border>
      <left/>
      <right style="thin">
        <color rgb="FFD1D5DB"/>
      </right>
      <top/>
      <bottom style="thin">
        <color rgb="FFE5E7EB"/>
      </bottom>
      <diagonal/>
    </border>
    <border>
      <left style="thin">
        <color rgb="FFD1D5DB"/>
      </left>
      <right style="thin">
        <color rgb="FFD1D5DB"/>
      </right>
      <top style="thin">
        <color rgb="FFE5E7EB"/>
      </top>
      <bottom style="thin">
        <color rgb="FFE5E7EB"/>
      </bottom>
      <diagonal/>
    </border>
    <border>
      <left/>
      <right style="thin">
        <color rgb="FFE5E7EB"/>
      </right>
      <top/>
      <bottom style="thin">
        <color rgb="FFE5E7EB"/>
      </bottom>
      <diagonal/>
    </border>
    <border>
      <left/>
      <right/>
      <top/>
      <bottom style="thin">
        <color theme="4" tint="0.3999755851924192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style="thin">
        <color rgb="FFE5E7EB"/>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theme="0" tint="-0.24994659260841701"/>
      </top>
      <bottom style="thin">
        <color theme="0" tint="-0.24994659260841701"/>
      </bottom>
      <diagonal/>
    </border>
  </borders>
  <cellStyleXfs count="2">
    <xf numFmtId="0" fontId="0" fillId="0" borderId="0"/>
    <xf numFmtId="9" fontId="4" fillId="0" borderId="0" applyFont="0" applyFill="0" applyBorder="0" applyAlignment="0" applyProtection="0"/>
  </cellStyleXfs>
  <cellXfs count="200">
    <xf numFmtId="0" fontId="0" fillId="0" borderId="0" xfId="0"/>
    <xf numFmtId="0" fontId="0" fillId="0" borderId="0" xfId="0" applyAlignment="1">
      <alignment horizontal="center"/>
    </xf>
    <xf numFmtId="0" fontId="1" fillId="2" borderId="0" xfId="0" applyFont="1" applyFill="1"/>
    <xf numFmtId="0" fontId="0" fillId="2" borderId="0" xfId="0" applyFill="1"/>
    <xf numFmtId="0" fontId="1" fillId="2" borderId="0" xfId="0" applyFont="1" applyFill="1" applyAlignment="1">
      <alignment horizontal="center"/>
    </xf>
    <xf numFmtId="0" fontId="0" fillId="2" borderId="0" xfId="0" applyFill="1" applyAlignment="1">
      <alignment horizontal="center"/>
    </xf>
    <xf numFmtId="0" fontId="0" fillId="2" borderId="1" xfId="0" applyFill="1" applyBorder="1" applyAlignment="1">
      <alignment horizontal="center"/>
    </xf>
    <xf numFmtId="0" fontId="0" fillId="2" borderId="1" xfId="0" applyFill="1" applyBorder="1"/>
    <xf numFmtId="0" fontId="1" fillId="3" borderId="1" xfId="0" applyFont="1" applyFill="1" applyBorder="1" applyAlignment="1">
      <alignment horizontal="center"/>
    </xf>
    <xf numFmtId="0" fontId="1" fillId="3" borderId="1" xfId="0" applyFont="1" applyFill="1" applyBorder="1"/>
    <xf numFmtId="0" fontId="1" fillId="4" borderId="1" xfId="0" applyFont="1" applyFill="1" applyBorder="1" applyAlignment="1">
      <alignment horizontal="center"/>
    </xf>
    <xf numFmtId="0" fontId="1" fillId="4" borderId="1" xfId="0" applyFont="1" applyFill="1" applyBorder="1"/>
    <xf numFmtId="0" fontId="1" fillId="5" borderId="1" xfId="0" applyFont="1" applyFill="1" applyBorder="1" applyAlignment="1">
      <alignment horizontal="center" vertical="center"/>
    </xf>
    <xf numFmtId="0" fontId="1" fillId="5" borderId="1" xfId="0" applyFont="1" applyFill="1" applyBorder="1" applyAlignment="1">
      <alignment horizontal="left" vertical="center"/>
    </xf>
    <xf numFmtId="0" fontId="1" fillId="6" borderId="1" xfId="0" applyFont="1" applyFill="1" applyBorder="1" applyAlignment="1">
      <alignment horizontal="center" vertical="center"/>
    </xf>
    <xf numFmtId="0" fontId="1" fillId="6" borderId="1" xfId="0" applyFont="1" applyFill="1" applyBorder="1" applyAlignment="1">
      <alignment horizontal="left" vertical="center"/>
    </xf>
    <xf numFmtId="0" fontId="1" fillId="6" borderId="1" xfId="0" applyFont="1" applyFill="1" applyBorder="1" applyAlignment="1">
      <alignment horizontal="center"/>
    </xf>
    <xf numFmtId="0" fontId="1" fillId="6" borderId="1" xfId="0" applyFont="1" applyFill="1" applyBorder="1"/>
    <xf numFmtId="0" fontId="1" fillId="7" borderId="1" xfId="0" applyFont="1" applyFill="1" applyBorder="1" applyAlignment="1">
      <alignment horizontal="center" vertical="center"/>
    </xf>
    <xf numFmtId="0" fontId="1" fillId="7" borderId="1" xfId="0" applyFont="1" applyFill="1" applyBorder="1" applyAlignment="1">
      <alignment horizontal="left" vertical="center"/>
    </xf>
    <xf numFmtId="0" fontId="1" fillId="7" borderId="1" xfId="0" applyFont="1" applyFill="1" applyBorder="1" applyAlignment="1">
      <alignment horizontal="center"/>
    </xf>
    <xf numFmtId="0" fontId="1" fillId="7" borderId="1" xfId="0" applyFont="1" applyFill="1" applyBorder="1"/>
    <xf numFmtId="0" fontId="0" fillId="8" borderId="0" xfId="0" applyFill="1"/>
    <xf numFmtId="0" fontId="6" fillId="8" borderId="0" xfId="0" applyFont="1" applyFill="1" applyAlignment="1">
      <alignment horizontal="right"/>
    </xf>
    <xf numFmtId="0" fontId="7" fillId="8" borderId="0" xfId="0" applyFont="1" applyFill="1"/>
    <xf numFmtId="0" fontId="0" fillId="9" borderId="0" xfId="0" applyFill="1"/>
    <xf numFmtId="3" fontId="9" fillId="10" borderId="4" xfId="0" applyNumberFormat="1" applyFont="1" applyFill="1" applyBorder="1" applyAlignment="1">
      <alignment horizontal="center"/>
    </xf>
    <xf numFmtId="0" fontId="13" fillId="10" borderId="5" xfId="0" applyFont="1" applyFill="1" applyBorder="1" applyAlignment="1">
      <alignment horizontal="center"/>
    </xf>
    <xf numFmtId="164" fontId="10" fillId="10" borderId="4" xfId="0" applyNumberFormat="1" applyFont="1" applyFill="1" applyBorder="1" applyAlignment="1">
      <alignment horizontal="center"/>
    </xf>
    <xf numFmtId="0" fontId="8" fillId="10" borderId="6" xfId="0" applyFont="1" applyFill="1" applyBorder="1" applyAlignment="1">
      <alignment horizontal="center"/>
    </xf>
    <xf numFmtId="0" fontId="8" fillId="10" borderId="7" xfId="0" applyFont="1" applyFill="1" applyBorder="1" applyAlignment="1">
      <alignment horizontal="center"/>
    </xf>
    <xf numFmtId="0" fontId="8" fillId="10" borderId="8" xfId="0" applyFont="1" applyFill="1" applyBorder="1" applyAlignment="1">
      <alignment horizontal="center"/>
    </xf>
    <xf numFmtId="0" fontId="8" fillId="10" borderId="9" xfId="0" applyFont="1" applyFill="1" applyBorder="1" applyAlignment="1">
      <alignment horizontal="center"/>
    </xf>
    <xf numFmtId="0" fontId="15" fillId="8" borderId="0" xfId="0" applyFont="1" applyFill="1" applyAlignment="1">
      <alignment horizontal="center"/>
    </xf>
    <xf numFmtId="3" fontId="15" fillId="8" borderId="0" xfId="0" applyNumberFormat="1" applyFont="1" applyFill="1" applyAlignment="1">
      <alignment horizontal="center"/>
    </xf>
    <xf numFmtId="164" fontId="15" fillId="8" borderId="0" xfId="0" applyNumberFormat="1" applyFont="1" applyFill="1" applyAlignment="1">
      <alignment horizontal="center"/>
    </xf>
    <xf numFmtId="0" fontId="15" fillId="8" borderId="3" xfId="0" applyFont="1" applyFill="1" applyBorder="1" applyAlignment="1">
      <alignment horizontal="center"/>
    </xf>
    <xf numFmtId="3" fontId="22" fillId="10" borderId="2" xfId="0" applyNumberFormat="1" applyFont="1" applyFill="1" applyBorder="1" applyAlignment="1">
      <alignment horizontal="center"/>
    </xf>
    <xf numFmtId="3" fontId="22" fillId="14" borderId="2" xfId="0" applyNumberFormat="1" applyFont="1" applyFill="1" applyBorder="1" applyAlignment="1">
      <alignment horizontal="center"/>
    </xf>
    <xf numFmtId="164" fontId="22" fillId="10" borderId="2" xfId="0" applyNumberFormat="1" applyFont="1" applyFill="1" applyBorder="1" applyAlignment="1">
      <alignment horizontal="center"/>
    </xf>
    <xf numFmtId="164" fontId="22" fillId="14" borderId="2" xfId="0" applyNumberFormat="1" applyFont="1" applyFill="1" applyBorder="1" applyAlignment="1">
      <alignment horizontal="center"/>
    </xf>
    <xf numFmtId="3" fontId="16" fillId="11" borderId="2" xfId="0" applyNumberFormat="1" applyFont="1" applyFill="1" applyBorder="1" applyAlignment="1">
      <alignment horizontal="center"/>
    </xf>
    <xf numFmtId="164" fontId="16" fillId="11" borderId="2" xfId="0" applyNumberFormat="1" applyFont="1" applyFill="1" applyBorder="1" applyAlignment="1">
      <alignment horizontal="center"/>
    </xf>
    <xf numFmtId="3" fontId="18" fillId="12" borderId="2" xfId="0" applyNumberFormat="1" applyFont="1" applyFill="1" applyBorder="1" applyAlignment="1">
      <alignment horizontal="center"/>
    </xf>
    <xf numFmtId="164" fontId="18" fillId="12" borderId="2" xfId="0" applyNumberFormat="1" applyFont="1" applyFill="1" applyBorder="1" applyAlignment="1">
      <alignment horizontal="center"/>
    </xf>
    <xf numFmtId="0" fontId="15" fillId="8" borderId="11" xfId="0" applyFont="1" applyFill="1" applyBorder="1" applyAlignment="1">
      <alignment horizontal="center"/>
    </xf>
    <xf numFmtId="3" fontId="20" fillId="13" borderId="13" xfId="0" applyNumberFormat="1" applyFont="1" applyFill="1" applyBorder="1" applyAlignment="1">
      <alignment horizontal="center"/>
    </xf>
    <xf numFmtId="164" fontId="20" fillId="13" borderId="13" xfId="0" applyNumberFormat="1" applyFont="1" applyFill="1" applyBorder="1" applyAlignment="1">
      <alignment horizontal="center"/>
    </xf>
    <xf numFmtId="0" fontId="15" fillId="8" borderId="14" xfId="0" applyFont="1" applyFill="1" applyBorder="1" applyAlignment="1">
      <alignment horizontal="center"/>
    </xf>
    <xf numFmtId="0" fontId="17" fillId="11" borderId="15" xfId="0" applyFont="1" applyFill="1" applyBorder="1"/>
    <xf numFmtId="0" fontId="19" fillId="12" borderId="15" xfId="0" applyFont="1" applyFill="1" applyBorder="1"/>
    <xf numFmtId="0" fontId="21" fillId="13" borderId="16" xfId="0" applyFont="1" applyFill="1" applyBorder="1"/>
    <xf numFmtId="3" fontId="22" fillId="10" borderId="0" xfId="0" applyNumberFormat="1" applyFont="1" applyFill="1" applyAlignment="1">
      <alignment horizontal="center"/>
    </xf>
    <xf numFmtId="164" fontId="22" fillId="10" borderId="0" xfId="0" applyNumberFormat="1" applyFont="1" applyFill="1" applyAlignment="1">
      <alignment horizontal="center"/>
    </xf>
    <xf numFmtId="3" fontId="22" fillId="14" borderId="0" xfId="0" applyNumberFormat="1" applyFont="1" applyFill="1" applyAlignment="1">
      <alignment horizontal="center"/>
    </xf>
    <xf numFmtId="164" fontId="22" fillId="14" borderId="0" xfId="0" applyNumberFormat="1" applyFont="1" applyFill="1" applyAlignment="1">
      <alignment horizontal="center"/>
    </xf>
    <xf numFmtId="0" fontId="15" fillId="8" borderId="10" xfId="0" applyFont="1" applyFill="1" applyBorder="1" applyAlignment="1">
      <alignment horizontal="center"/>
    </xf>
    <xf numFmtId="3" fontId="22" fillId="10" borderId="20" xfId="0" applyNumberFormat="1" applyFont="1" applyFill="1" applyBorder="1" applyAlignment="1">
      <alignment horizontal="center"/>
    </xf>
    <xf numFmtId="164" fontId="22" fillId="10" borderId="20" xfId="0" applyNumberFormat="1" applyFont="1" applyFill="1" applyBorder="1" applyAlignment="1">
      <alignment horizontal="center"/>
    </xf>
    <xf numFmtId="0" fontId="15" fillId="8" borderId="21" xfId="0" applyFont="1" applyFill="1" applyBorder="1" applyAlignment="1">
      <alignment horizontal="center"/>
    </xf>
    <xf numFmtId="0" fontId="22" fillId="10" borderId="22" xfId="0" applyFont="1" applyFill="1" applyBorder="1"/>
    <xf numFmtId="0" fontId="22" fillId="14" borderId="22" xfId="0" applyFont="1" applyFill="1" applyBorder="1"/>
    <xf numFmtId="0" fontId="22" fillId="10" borderId="23" xfId="0" applyFont="1" applyFill="1" applyBorder="1"/>
    <xf numFmtId="0" fontId="15" fillId="8" borderId="24" xfId="0" applyFont="1" applyFill="1" applyBorder="1" applyAlignment="1">
      <alignment horizontal="center"/>
    </xf>
    <xf numFmtId="0" fontId="21" fillId="13" borderId="25" xfId="0" applyFont="1" applyFill="1" applyBorder="1" applyAlignment="1">
      <alignment horizontal="center"/>
    </xf>
    <xf numFmtId="0" fontId="19" fillId="12" borderId="25" xfId="0" applyFont="1" applyFill="1" applyBorder="1" applyAlignment="1">
      <alignment horizontal="center"/>
    </xf>
    <xf numFmtId="0" fontId="17" fillId="11" borderId="25" xfId="0" applyFont="1" applyFill="1" applyBorder="1" applyAlignment="1">
      <alignment horizontal="center"/>
    </xf>
    <xf numFmtId="0" fontId="17" fillId="11" borderId="26" xfId="0" applyFont="1" applyFill="1" applyBorder="1" applyAlignment="1">
      <alignment horizontal="center"/>
    </xf>
    <xf numFmtId="0" fontId="23" fillId="10" borderId="15" xfId="0" applyFont="1" applyFill="1" applyBorder="1"/>
    <xf numFmtId="0" fontId="23" fillId="14" borderId="15" xfId="0" applyFont="1" applyFill="1" applyBorder="1"/>
    <xf numFmtId="0" fontId="23" fillId="10" borderId="16" xfId="0" applyFont="1" applyFill="1" applyBorder="1"/>
    <xf numFmtId="164" fontId="22" fillId="10" borderId="13" xfId="0" applyNumberFormat="1" applyFont="1" applyFill="1" applyBorder="1" applyAlignment="1">
      <alignment horizontal="center"/>
    </xf>
    <xf numFmtId="0" fontId="15" fillId="8" borderId="17" xfId="0" applyFont="1" applyFill="1" applyBorder="1" applyAlignment="1">
      <alignment horizontal="center"/>
    </xf>
    <xf numFmtId="3" fontId="22" fillId="14" borderId="13" xfId="0" applyNumberFormat="1" applyFont="1" applyFill="1" applyBorder="1" applyAlignment="1">
      <alignment horizontal="center"/>
    </xf>
    <xf numFmtId="0" fontId="22" fillId="10" borderId="15" xfId="0" applyFont="1" applyFill="1" applyBorder="1" applyAlignment="1">
      <alignment horizontal="center"/>
    </xf>
    <xf numFmtId="0" fontId="22" fillId="14" borderId="15" xfId="0" applyFont="1" applyFill="1" applyBorder="1" applyAlignment="1">
      <alignment horizontal="center"/>
    </xf>
    <xf numFmtId="0" fontId="22" fillId="14" borderId="16" xfId="0" applyFont="1" applyFill="1" applyBorder="1" applyAlignment="1">
      <alignment horizontal="center"/>
    </xf>
    <xf numFmtId="0" fontId="14" fillId="9" borderId="27" xfId="0" applyFont="1" applyFill="1" applyBorder="1"/>
    <xf numFmtId="0" fontId="26" fillId="9" borderId="0" xfId="0" applyFont="1" applyFill="1"/>
    <xf numFmtId="164" fontId="0" fillId="2" borderId="1" xfId="0" applyNumberFormat="1" applyFill="1" applyBorder="1" applyAlignment="1">
      <alignment horizontal="center"/>
    </xf>
    <xf numFmtId="0" fontId="8" fillId="10" borderId="28" xfId="0" applyFont="1" applyFill="1" applyBorder="1" applyAlignment="1">
      <alignment horizontal="center"/>
    </xf>
    <xf numFmtId="4" fontId="0" fillId="2" borderId="0" xfId="0" applyNumberFormat="1" applyFill="1"/>
    <xf numFmtId="3" fontId="22" fillId="10" borderId="3" xfId="0" applyNumberFormat="1" applyFont="1" applyFill="1" applyBorder="1" applyAlignment="1">
      <alignment horizontal="center"/>
    </xf>
    <xf numFmtId="3" fontId="22" fillId="14" borderId="12" xfId="0" applyNumberFormat="1" applyFont="1" applyFill="1" applyBorder="1" applyAlignment="1">
      <alignment horizontal="center"/>
    </xf>
    <xf numFmtId="164" fontId="22" fillId="14" borderId="20" xfId="0" applyNumberFormat="1" applyFont="1" applyFill="1" applyBorder="1" applyAlignment="1">
      <alignment horizontal="center"/>
    </xf>
    <xf numFmtId="164" fontId="22" fillId="14" borderId="12" xfId="0" applyNumberFormat="1" applyFont="1" applyFill="1" applyBorder="1" applyAlignment="1">
      <alignment horizontal="center"/>
    </xf>
    <xf numFmtId="164" fontId="22" fillId="10" borderId="15" xfId="1" applyNumberFormat="1" applyFont="1" applyFill="1" applyBorder="1" applyAlignment="1">
      <alignment horizontal="center"/>
    </xf>
    <xf numFmtId="164" fontId="22" fillId="14" borderId="15" xfId="1" applyNumberFormat="1" applyFont="1" applyFill="1" applyBorder="1" applyAlignment="1">
      <alignment horizontal="center"/>
    </xf>
    <xf numFmtId="0" fontId="24" fillId="9" borderId="18" xfId="0" applyFont="1" applyFill="1" applyBorder="1"/>
    <xf numFmtId="0" fontId="25" fillId="9" borderId="18" xfId="0" applyFont="1" applyFill="1" applyBorder="1"/>
    <xf numFmtId="0" fontId="26" fillId="9" borderId="19" xfId="0" applyFont="1" applyFill="1" applyBorder="1"/>
    <xf numFmtId="164" fontId="22" fillId="10" borderId="18" xfId="0" applyNumberFormat="1" applyFont="1" applyFill="1" applyBorder="1" applyAlignment="1">
      <alignment horizontal="center"/>
    </xf>
    <xf numFmtId="164" fontId="22" fillId="14" borderId="18" xfId="0" applyNumberFormat="1" applyFont="1" applyFill="1" applyBorder="1" applyAlignment="1">
      <alignment horizontal="center"/>
    </xf>
    <xf numFmtId="164" fontId="22" fillId="14" borderId="19" xfId="0" applyNumberFormat="1" applyFont="1" applyFill="1" applyBorder="1" applyAlignment="1">
      <alignment horizontal="center"/>
    </xf>
    <xf numFmtId="0" fontId="15" fillId="8" borderId="30" xfId="0" applyFont="1" applyFill="1" applyBorder="1" applyAlignment="1">
      <alignment horizontal="center"/>
    </xf>
    <xf numFmtId="164" fontId="22" fillId="10" borderId="31" xfId="1" applyNumberFormat="1" applyFont="1" applyFill="1" applyBorder="1" applyAlignment="1">
      <alignment horizontal="center"/>
    </xf>
    <xf numFmtId="164" fontId="22" fillId="14" borderId="31" xfId="1" applyNumberFormat="1" applyFont="1" applyFill="1" applyBorder="1" applyAlignment="1">
      <alignment horizontal="center"/>
    </xf>
    <xf numFmtId="0" fontId="15" fillId="8" borderId="29" xfId="0" applyFont="1" applyFill="1" applyBorder="1"/>
    <xf numFmtId="0" fontId="15" fillId="8" borderId="32" xfId="0" applyFont="1" applyFill="1" applyBorder="1" applyAlignment="1">
      <alignment horizontal="center"/>
    </xf>
    <xf numFmtId="0" fontId="0" fillId="0" borderId="0" xfId="0" applyAlignment="1">
      <alignment horizontal="left"/>
    </xf>
    <xf numFmtId="165" fontId="0" fillId="0" borderId="0" xfId="0" applyNumberFormat="1"/>
    <xf numFmtId="164" fontId="0" fillId="0" borderId="0" xfId="0" applyNumberFormat="1"/>
    <xf numFmtId="0" fontId="29" fillId="0" borderId="0" xfId="0" applyFont="1"/>
    <xf numFmtId="0" fontId="1" fillId="15" borderId="33" xfId="0" applyFont="1" applyFill="1" applyBorder="1"/>
    <xf numFmtId="0" fontId="30" fillId="16" borderId="34" xfId="0" applyFont="1" applyFill="1" applyBorder="1"/>
    <xf numFmtId="14" fontId="31" fillId="16" borderId="35" xfId="0" applyNumberFormat="1" applyFont="1" applyFill="1" applyBorder="1"/>
    <xf numFmtId="14" fontId="32" fillId="16" borderId="36" xfId="0" applyNumberFormat="1" applyFont="1" applyFill="1" applyBorder="1"/>
    <xf numFmtId="0" fontId="0" fillId="0" borderId="36" xfId="0" applyBorder="1"/>
    <xf numFmtId="0" fontId="0" fillId="0" borderId="37" xfId="0" applyBorder="1"/>
    <xf numFmtId="0" fontId="0" fillId="0" borderId="39" xfId="0" applyBorder="1" applyAlignment="1">
      <alignment horizontal="center" vertical="center"/>
    </xf>
    <xf numFmtId="0" fontId="34" fillId="0" borderId="0" xfId="0" applyFont="1"/>
    <xf numFmtId="0" fontId="30" fillId="0" borderId="41" xfId="0" applyFont="1" applyBorder="1"/>
    <xf numFmtId="0" fontId="30" fillId="0" borderId="42" xfId="0" applyFont="1" applyBorder="1" applyAlignment="1">
      <alignment horizontal="center"/>
    </xf>
    <xf numFmtId="0" fontId="30" fillId="0" borderId="40" xfId="0" applyFont="1" applyBorder="1" applyAlignment="1">
      <alignment horizontal="center"/>
    </xf>
    <xf numFmtId="4" fontId="0" fillId="0" borderId="0" xfId="0" applyNumberFormat="1"/>
    <xf numFmtId="0" fontId="35" fillId="8" borderId="0" xfId="0" applyFont="1" applyFill="1" applyAlignment="1">
      <alignment vertical="center"/>
    </xf>
    <xf numFmtId="0" fontId="33" fillId="8" borderId="0" xfId="0" applyFont="1" applyFill="1" applyAlignment="1">
      <alignment vertical="center"/>
    </xf>
    <xf numFmtId="0" fontId="36" fillId="18" borderId="0" xfId="0" applyFont="1" applyFill="1"/>
    <xf numFmtId="0" fontId="39" fillId="19" borderId="0" xfId="0" applyFont="1" applyFill="1" applyAlignment="1">
      <alignment vertical="top" wrapText="1"/>
    </xf>
    <xf numFmtId="0" fontId="39" fillId="19" borderId="2" xfId="0" applyFont="1" applyFill="1" applyBorder="1" applyAlignment="1">
      <alignment vertical="top" wrapText="1"/>
    </xf>
    <xf numFmtId="0" fontId="39" fillId="19" borderId="43" xfId="0" applyFont="1" applyFill="1" applyBorder="1" applyAlignment="1">
      <alignment vertical="top" wrapText="1"/>
    </xf>
    <xf numFmtId="0" fontId="40" fillId="20" borderId="0" xfId="0" applyFont="1" applyFill="1" applyAlignment="1">
      <alignment horizontal="center"/>
    </xf>
    <xf numFmtId="0" fontId="39" fillId="14" borderId="0" xfId="0" applyFont="1" applyFill="1" applyAlignment="1">
      <alignment vertical="center" wrapText="1"/>
    </xf>
    <xf numFmtId="0" fontId="37" fillId="14" borderId="0" xfId="0" applyFont="1" applyFill="1" applyAlignment="1">
      <alignment vertical="center" wrapText="1"/>
    </xf>
    <xf numFmtId="0" fontId="41" fillId="14" borderId="0" xfId="0" applyFont="1" applyFill="1" applyAlignment="1">
      <alignment vertical="center" wrapText="1"/>
    </xf>
    <xf numFmtId="0" fontId="39" fillId="10" borderId="43" xfId="0" applyFont="1" applyFill="1" applyBorder="1" applyAlignment="1">
      <alignment vertical="center" wrapText="1"/>
    </xf>
    <xf numFmtId="0" fontId="37" fillId="10" borderId="43" xfId="0" applyFont="1" applyFill="1" applyBorder="1" applyAlignment="1">
      <alignment vertical="center" wrapText="1"/>
    </xf>
    <xf numFmtId="0" fontId="39" fillId="14" borderId="2" xfId="0" applyFont="1" applyFill="1" applyBorder="1" applyAlignment="1">
      <alignment vertical="center" wrapText="1"/>
    </xf>
    <xf numFmtId="0" fontId="37" fillId="14" borderId="2" xfId="0" applyFont="1" applyFill="1" applyBorder="1" applyAlignment="1">
      <alignment vertical="center" wrapText="1"/>
    </xf>
    <xf numFmtId="0" fontId="39" fillId="14" borderId="43" xfId="0" applyFont="1" applyFill="1" applyBorder="1" applyAlignment="1">
      <alignment vertical="center" wrapText="1"/>
    </xf>
    <xf numFmtId="0" fontId="37" fillId="14" borderId="43" xfId="0" applyFont="1" applyFill="1" applyBorder="1" applyAlignment="1">
      <alignment vertical="center" wrapText="1"/>
    </xf>
    <xf numFmtId="0" fontId="41" fillId="14" borderId="43" xfId="0" applyFont="1" applyFill="1" applyBorder="1" applyAlignment="1">
      <alignment vertical="center" wrapText="1"/>
    </xf>
    <xf numFmtId="0" fontId="41" fillId="10" borderId="43" xfId="0" applyFont="1" applyFill="1" applyBorder="1" applyAlignment="1">
      <alignment vertical="center" wrapText="1"/>
    </xf>
    <xf numFmtId="0" fontId="38" fillId="14" borderId="0" xfId="0" applyFont="1" applyFill="1" applyAlignment="1">
      <alignment horizontal="center" vertical="center"/>
    </xf>
    <xf numFmtId="0" fontId="39" fillId="14" borderId="0" xfId="0" applyFont="1" applyFill="1" applyAlignment="1">
      <alignment vertical="center"/>
    </xf>
    <xf numFmtId="0" fontId="37" fillId="14" borderId="0" xfId="0" applyFont="1" applyFill="1" applyAlignment="1">
      <alignment vertical="center"/>
    </xf>
    <xf numFmtId="0" fontId="38" fillId="10" borderId="43" xfId="0" applyFont="1" applyFill="1" applyBorder="1" applyAlignment="1">
      <alignment horizontal="center" vertical="center"/>
    </xf>
    <xf numFmtId="0" fontId="39" fillId="10" borderId="43" xfId="0" applyFont="1" applyFill="1" applyBorder="1" applyAlignment="1">
      <alignment vertical="center"/>
    </xf>
    <xf numFmtId="0" fontId="37" fillId="10" borderId="43" xfId="0" applyFont="1" applyFill="1" applyBorder="1" applyAlignment="1">
      <alignment vertical="center"/>
    </xf>
    <xf numFmtId="0" fontId="38" fillId="14" borderId="2" xfId="0" applyFont="1" applyFill="1" applyBorder="1" applyAlignment="1">
      <alignment horizontal="center" vertical="center"/>
    </xf>
    <xf numFmtId="0" fontId="39" fillId="14" borderId="2" xfId="0" applyFont="1" applyFill="1" applyBorder="1" applyAlignment="1">
      <alignment vertical="center"/>
    </xf>
    <xf numFmtId="0" fontId="37" fillId="14" borderId="2" xfId="0" applyFont="1" applyFill="1" applyBorder="1" applyAlignment="1">
      <alignment vertical="center"/>
    </xf>
    <xf numFmtId="0" fontId="38" fillId="14" borderId="43" xfId="0" applyFont="1" applyFill="1" applyBorder="1" applyAlignment="1">
      <alignment horizontal="center" vertical="center"/>
    </xf>
    <xf numFmtId="0" fontId="39" fillId="14" borderId="43" xfId="0" applyFont="1" applyFill="1" applyBorder="1" applyAlignment="1">
      <alignment vertical="center"/>
    </xf>
    <xf numFmtId="0" fontId="37" fillId="14" borderId="43" xfId="0" applyFont="1" applyFill="1" applyBorder="1" applyAlignment="1">
      <alignment vertical="center"/>
    </xf>
    <xf numFmtId="0" fontId="0" fillId="14" borderId="10" xfId="0" applyFill="1" applyBorder="1"/>
    <xf numFmtId="0" fontId="42" fillId="14" borderId="10" xfId="0" applyFont="1" applyFill="1" applyBorder="1" applyAlignment="1">
      <alignment vertical="top" wrapText="1"/>
    </xf>
    <xf numFmtId="168" fontId="0" fillId="2" borderId="1" xfId="0" applyNumberFormat="1" applyFill="1" applyBorder="1" applyAlignment="1">
      <alignment horizontal="center"/>
    </xf>
    <xf numFmtId="166" fontId="11" fillId="10" borderId="4" xfId="0" applyNumberFormat="1" applyFont="1" applyFill="1" applyBorder="1" applyAlignment="1">
      <alignment horizontal="center"/>
    </xf>
    <xf numFmtId="166" fontId="12" fillId="10" borderId="4" xfId="0" applyNumberFormat="1" applyFont="1" applyFill="1" applyBorder="1" applyAlignment="1">
      <alignment horizontal="center"/>
    </xf>
    <xf numFmtId="166" fontId="27" fillId="10" borderId="4" xfId="0" applyNumberFormat="1" applyFont="1" applyFill="1" applyBorder="1" applyAlignment="1">
      <alignment horizontal="center"/>
    </xf>
    <xf numFmtId="166" fontId="22" fillId="10" borderId="2" xfId="0" applyNumberFormat="1" applyFont="1" applyFill="1" applyBorder="1" applyAlignment="1">
      <alignment horizontal="center"/>
    </xf>
    <xf numFmtId="166" fontId="22" fillId="14" borderId="2" xfId="0" applyNumberFormat="1" applyFont="1" applyFill="1" applyBorder="1" applyAlignment="1">
      <alignment horizontal="center"/>
    </xf>
    <xf numFmtId="166" fontId="22" fillId="10" borderId="13" xfId="0" applyNumberFormat="1" applyFont="1" applyFill="1" applyBorder="1" applyAlignment="1">
      <alignment horizontal="center"/>
    </xf>
    <xf numFmtId="166" fontId="15" fillId="8" borderId="0" xfId="0" applyNumberFormat="1" applyFont="1" applyFill="1" applyAlignment="1">
      <alignment horizontal="center"/>
    </xf>
    <xf numFmtId="166" fontId="22" fillId="10" borderId="18" xfId="0" applyNumberFormat="1" applyFont="1" applyFill="1" applyBorder="1" applyAlignment="1">
      <alignment horizontal="center"/>
    </xf>
    <xf numFmtId="166" fontId="22" fillId="14" borderId="18" xfId="0" applyNumberFormat="1" applyFont="1" applyFill="1" applyBorder="1" applyAlignment="1">
      <alignment horizontal="center"/>
    </xf>
    <xf numFmtId="166" fontId="22" fillId="14" borderId="13" xfId="0" applyNumberFormat="1" applyFont="1" applyFill="1" applyBorder="1" applyAlignment="1">
      <alignment horizontal="center"/>
    </xf>
    <xf numFmtId="169" fontId="0" fillId="0" borderId="0" xfId="0" applyNumberFormat="1"/>
    <xf numFmtId="169" fontId="0" fillId="0" borderId="0" xfId="0" applyNumberFormat="1" applyAlignment="1">
      <alignment horizontal="center"/>
    </xf>
    <xf numFmtId="0" fontId="1" fillId="5" borderId="34" xfId="0" applyFont="1" applyFill="1" applyBorder="1" applyAlignment="1">
      <alignment horizontal="center" vertical="center"/>
    </xf>
    <xf numFmtId="168" fontId="0" fillId="2" borderId="34" xfId="0" applyNumberFormat="1" applyFill="1" applyBorder="1" applyAlignment="1">
      <alignment horizontal="center"/>
    </xf>
    <xf numFmtId="0" fontId="1" fillId="21" borderId="46" xfId="0" applyFont="1" applyFill="1" applyBorder="1" applyAlignment="1">
      <alignment horizontal="center"/>
    </xf>
    <xf numFmtId="0" fontId="1" fillId="22" borderId="47" xfId="0" applyFont="1" applyFill="1" applyBorder="1"/>
    <xf numFmtId="0" fontId="1" fillId="22" borderId="47" xfId="0" applyFont="1" applyFill="1" applyBorder="1" applyAlignment="1">
      <alignment horizontal="center"/>
    </xf>
    <xf numFmtId="0" fontId="0" fillId="2" borderId="44" xfId="0" applyFill="1" applyBorder="1" applyAlignment="1">
      <alignment horizontal="center"/>
    </xf>
    <xf numFmtId="0" fontId="0" fillId="2" borderId="47" xfId="0" applyFill="1" applyBorder="1"/>
    <xf numFmtId="0" fontId="0" fillId="2" borderId="44" xfId="0" applyFill="1" applyBorder="1"/>
    <xf numFmtId="0" fontId="0" fillId="2" borderId="47" xfId="0" applyFill="1" applyBorder="1" applyAlignment="1">
      <alignment horizontal="center"/>
    </xf>
    <xf numFmtId="0" fontId="1" fillId="22" borderId="46" xfId="0" applyFont="1" applyFill="1" applyBorder="1" applyAlignment="1">
      <alignment horizontal="center"/>
    </xf>
    <xf numFmtId="164" fontId="0" fillId="2" borderId="45" xfId="0" applyNumberFormat="1" applyFill="1" applyBorder="1" applyAlignment="1">
      <alignment horizontal="center"/>
    </xf>
    <xf numFmtId="164" fontId="0" fillId="2" borderId="46" xfId="0" applyNumberFormat="1" applyFill="1" applyBorder="1" applyAlignment="1">
      <alignment horizontal="center"/>
    </xf>
    <xf numFmtId="22" fontId="41" fillId="10" borderId="43" xfId="0" applyNumberFormat="1" applyFont="1" applyFill="1" applyBorder="1" applyAlignment="1">
      <alignment horizontal="left" vertical="center" wrapText="1"/>
    </xf>
    <xf numFmtId="0" fontId="41" fillId="10" borderId="43" xfId="0" applyFont="1" applyFill="1" applyBorder="1" applyAlignment="1">
      <alignment horizontal="left" vertical="center" wrapText="1"/>
    </xf>
    <xf numFmtId="0" fontId="41" fillId="14" borderId="43" xfId="0" applyFont="1" applyFill="1" applyBorder="1" applyAlignment="1">
      <alignment horizontal="left" vertical="center" wrapText="1"/>
    </xf>
    <xf numFmtId="0" fontId="41" fillId="14" borderId="2" xfId="0" applyFont="1" applyFill="1" applyBorder="1" applyAlignment="1">
      <alignment horizontal="left" vertical="center" wrapText="1"/>
    </xf>
    <xf numFmtId="0" fontId="1" fillId="23" borderId="1" xfId="0" applyFont="1" applyFill="1" applyBorder="1" applyAlignment="1">
      <alignment horizontal="center"/>
    </xf>
    <xf numFmtId="0" fontId="36" fillId="18" borderId="0" xfId="0" applyFont="1" applyFill="1" applyAlignment="1">
      <alignment wrapText="1"/>
    </xf>
    <xf numFmtId="170" fontId="0" fillId="2" borderId="46" xfId="0" applyNumberFormat="1" applyFill="1" applyBorder="1" applyAlignment="1">
      <alignment horizontal="center"/>
    </xf>
    <xf numFmtId="170" fontId="0" fillId="2" borderId="45" xfId="0" applyNumberFormat="1" applyFill="1" applyBorder="1" applyAlignment="1">
      <alignment horizontal="center"/>
    </xf>
    <xf numFmtId="0" fontId="1" fillId="21" borderId="1" xfId="0" applyFont="1" applyFill="1" applyBorder="1" applyAlignment="1">
      <alignment horizontal="center" vertical="center"/>
    </xf>
    <xf numFmtId="0" fontId="0" fillId="0" borderId="0" xfId="0" pivotButton="1"/>
    <xf numFmtId="3" fontId="0" fillId="0" borderId="0" xfId="0" applyNumberFormat="1" applyAlignment="1">
      <alignment horizontal="center"/>
    </xf>
    <xf numFmtId="171" fontId="0" fillId="0" borderId="1" xfId="0" applyNumberFormat="1" applyBorder="1"/>
    <xf numFmtId="171" fontId="0" fillId="0" borderId="38" xfId="0" applyNumberFormat="1" applyBorder="1"/>
    <xf numFmtId="3" fontId="0" fillId="0" borderId="0" xfId="0" applyNumberFormat="1"/>
    <xf numFmtId="0" fontId="0" fillId="24" borderId="0" xfId="0" applyFill="1"/>
    <xf numFmtId="0" fontId="0" fillId="25" borderId="0" xfId="0" applyFill="1"/>
    <xf numFmtId="0" fontId="37" fillId="10" borderId="48" xfId="0" applyFont="1" applyFill="1" applyBorder="1" applyAlignment="1">
      <alignment horizontal="left" vertical="top" wrapText="1"/>
    </xf>
    <xf numFmtId="0" fontId="36" fillId="18" borderId="0" xfId="0" applyFont="1" applyFill="1"/>
    <xf numFmtId="0" fontId="37" fillId="10" borderId="2" xfId="0" applyFont="1" applyFill="1" applyBorder="1" applyAlignment="1">
      <alignment horizontal="left" vertical="top" wrapText="1"/>
    </xf>
    <xf numFmtId="0" fontId="15" fillId="8" borderId="21" xfId="0" applyFont="1" applyFill="1" applyBorder="1" applyAlignment="1">
      <alignment horizontal="center"/>
    </xf>
    <xf numFmtId="0" fontId="15" fillId="8" borderId="29" xfId="0" applyFont="1" applyFill="1" applyBorder="1" applyAlignment="1">
      <alignment horizontal="center"/>
    </xf>
    <xf numFmtId="0" fontId="15" fillId="8" borderId="0" xfId="0" applyFont="1" applyFill="1" applyAlignment="1">
      <alignment horizontal="center"/>
    </xf>
    <xf numFmtId="0" fontId="15" fillId="8" borderId="25" xfId="0" applyFont="1" applyFill="1" applyBorder="1" applyAlignment="1">
      <alignment horizontal="center"/>
    </xf>
    <xf numFmtId="0" fontId="1" fillId="17" borderId="0" xfId="0" applyFont="1" applyFill="1" applyAlignment="1">
      <alignment horizontal="center"/>
    </xf>
    <xf numFmtId="0" fontId="0" fillId="0" borderId="0" xfId="0"/>
    <xf numFmtId="0" fontId="36" fillId="0" borderId="0" xfId="0" applyFont="1" applyAlignment="1">
      <alignment horizontal="center" vertical="center"/>
    </xf>
    <xf numFmtId="3" fontId="0" fillId="0" borderId="0" xfId="0" applyNumberFormat="1"/>
    <xf numFmtId="10" fontId="0" fillId="0" borderId="0" xfId="0" applyNumberFormat="1"/>
  </cellXfs>
  <cellStyles count="2">
    <cellStyle name="Normal" xfId="0" builtinId="0"/>
    <cellStyle name="Percent" xfId="1" builtinId="5"/>
  </cellStyles>
  <dxfs count="62">
    <dxf>
      <numFmt numFmtId="165" formatCode="[$€-2]\ #,##0"/>
    </dxf>
    <dxf>
      <numFmt numFmtId="165" formatCode="[$€-2]\ #,##0"/>
    </dxf>
    <dxf>
      <numFmt numFmtId="165" formatCode="[$€-2]\ #,##0"/>
    </dxf>
    <dxf>
      <numFmt numFmtId="165" formatCode="[$€-2]\ #,##0"/>
    </dxf>
    <dxf>
      <numFmt numFmtId="165" formatCode="[$€-2]\ #,##0"/>
    </dxf>
    <dxf>
      <numFmt numFmtId="164" formatCode="0.0%"/>
    </dxf>
    <dxf>
      <numFmt numFmtId="14" formatCode="0.00%"/>
    </dxf>
    <dxf>
      <numFmt numFmtId="165" formatCode="[$€-2]\ #,##0"/>
    </dxf>
    <dxf>
      <numFmt numFmtId="165" formatCode="[$€-2]\ #,##0"/>
    </dxf>
    <dxf>
      <numFmt numFmtId="165" formatCode="[$€-2]\ #,##0"/>
    </dxf>
    <dxf>
      <numFmt numFmtId="165" formatCode="[$€-2]\ #,##0"/>
    </dxf>
    <dxf>
      <numFmt numFmtId="165" formatCode="[$€-2]\ #,##0"/>
    </dxf>
    <dxf>
      <numFmt numFmtId="3" formatCode="#,##0"/>
    </dxf>
    <dxf>
      <numFmt numFmtId="164" formatCode="0.0%"/>
    </dxf>
    <dxf>
      <numFmt numFmtId="14" formatCode="0.00%"/>
    </dxf>
    <dxf>
      <numFmt numFmtId="165" formatCode="[$€-2]\ #,##0"/>
    </dxf>
    <dxf>
      <numFmt numFmtId="0" formatCode="General"/>
    </dxf>
    <dxf>
      <numFmt numFmtId="4" formatCode="#,##0.00"/>
    </dxf>
    <dxf>
      <numFmt numFmtId="4" formatCode="#,##0.00"/>
    </dxf>
    <dxf>
      <numFmt numFmtId="4" formatCode="#,##0.00"/>
    </dxf>
    <dxf>
      <numFmt numFmtId="0" formatCode="General"/>
    </dxf>
    <dxf>
      <numFmt numFmtId="0" formatCode="General"/>
    </dxf>
    <dxf>
      <numFmt numFmtId="0" formatCode="General"/>
      <alignment horizontal="center" vertical="bottom" textRotation="0" wrapText="0" indent="0" justifyLastLine="0" shrinkToFit="0" readingOrder="0"/>
    </dxf>
    <dxf>
      <numFmt numFmtId="4" formatCode="#,##0.00"/>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9" formatCode="yyyy\-mm\-dd\ hh:mm"/>
      <alignment horizontal="center" vertical="bottom" textRotation="0" wrapText="0" indent="0" justifyLastLine="0" shrinkToFit="0" readingOrder="0"/>
    </dxf>
    <dxf>
      <numFmt numFmtId="0" formatCode="General"/>
    </dxf>
    <dxf>
      <alignment horizontal="center" vertical="center" textRotation="0" wrapText="0" indent="0" justifyLastLine="0" shrinkToFit="0" readingOrder="0"/>
      <border diagonalUp="0" diagonalDown="0" outline="0">
        <left style="thin">
          <color auto="1"/>
        </left>
        <right/>
        <top/>
        <bottom/>
      </border>
    </dxf>
    <dxf>
      <numFmt numFmtId="171" formatCode="0.0000"/>
      <border diagonalUp="0" diagonalDown="0" outline="0">
        <left style="thin">
          <color auto="1"/>
        </left>
        <right style="thin">
          <color auto="1"/>
        </right>
        <top style="thin">
          <color auto="1"/>
        </top>
        <bottom style="thin">
          <color auto="1"/>
        </bottom>
      </border>
    </dxf>
    <dxf>
      <numFmt numFmtId="0" formatCode="General"/>
      <border diagonalUp="0" diagonalDown="0" outline="0">
        <left/>
        <right style="thin">
          <color auto="1"/>
        </right>
        <top style="thin">
          <color auto="1"/>
        </top>
        <bottom style="thin">
          <color auto="1"/>
        </bottom>
      </border>
    </dxf>
    <dxf>
      <border outline="0">
        <left style="thin">
          <color auto="1"/>
        </left>
        <right style="thin">
          <color auto="1"/>
        </right>
        <top style="thin">
          <color auto="1"/>
        </top>
        <bottom style="thin">
          <color auto="1"/>
        </bottom>
      </border>
    </dxf>
    <dxf>
      <border outline="0">
        <bottom style="thin">
          <color auto="1"/>
        </bottom>
      </border>
    </dxf>
    <dxf>
      <numFmt numFmtId="4" formatCode="#,##0.00"/>
    </dxf>
    <dxf>
      <numFmt numFmtId="4" formatCode="#,##0.00"/>
    </dxf>
    <dxf>
      <numFmt numFmtId="0" formatCode="General"/>
    </dxf>
    <dxf>
      <numFmt numFmtId="0" formatCode="General"/>
    </dxf>
    <dxf>
      <numFmt numFmtId="4" formatCode="#,##0.00"/>
    </dxf>
    <dxf>
      <numFmt numFmtId="0" formatCode="General"/>
    </dxf>
    <dxf>
      <numFmt numFmtId="0" formatCode="General"/>
    </dxf>
    <dxf>
      <numFmt numFmtId="0" formatCode="General"/>
    </dxf>
    <dxf>
      <numFmt numFmtId="0" formatCode="General"/>
    </dxf>
    <dxf>
      <numFmt numFmtId="169" formatCode="yyyy\-mm\-dd\ hh:mm"/>
    </dxf>
    <dxf>
      <numFmt numFmtId="0" formatCode="General"/>
    </dxf>
    <dxf>
      <numFmt numFmtId="4" formatCode="#,##0.00"/>
    </dxf>
    <dxf>
      <numFmt numFmtId="4" formatCode="#,##0.00"/>
    </dxf>
    <dxf>
      <numFmt numFmtId="0" formatCode="General"/>
    </dxf>
    <dxf>
      <numFmt numFmtId="0" formatCode="General"/>
    </dxf>
    <dxf>
      <numFmt numFmtId="4" formatCode="#,##0.00"/>
    </dxf>
    <dxf>
      <numFmt numFmtId="0" formatCode="General"/>
    </dxf>
    <dxf>
      <numFmt numFmtId="0" formatCode="General"/>
    </dxf>
    <dxf>
      <numFmt numFmtId="0" formatCode="General"/>
    </dxf>
    <dxf>
      <numFmt numFmtId="0" formatCode="General"/>
    </dxf>
    <dxf>
      <numFmt numFmtId="169" formatCode="yyyy\-mm\-dd\ hh:mm"/>
    </dxf>
    <dxf>
      <numFmt numFmtId="0" formatCode="General"/>
    </dxf>
    <dxf>
      <font>
        <b/>
        <sz val="11"/>
        <color theme="1"/>
      </font>
    </dxf>
    <dxf>
      <fill>
        <patternFill patternType="none">
          <fgColor indexed="64"/>
          <bgColor auto="1"/>
        </patternFill>
      </fill>
      <border diagonalUp="0" diagonalDown="0">
        <left/>
        <right/>
        <top/>
        <bottom/>
        <vertical/>
        <horizontal/>
      </border>
    </dxf>
    <dxf>
      <font>
        <b/>
        <i val="0"/>
        <strike val="0"/>
        <color theme="4" tint="0.59996337778862885"/>
        <name val="Segoe UI"/>
        <family val="2"/>
        <scheme val="none"/>
      </font>
      <fill>
        <gradientFill>
          <stop position="0">
            <color rgb="FF1E3A5F"/>
          </stop>
          <stop position="1">
            <color rgb="FF006E8A"/>
          </stop>
        </gradientFill>
      </fill>
      <border>
        <bottom style="thin">
          <color theme="4"/>
        </bottom>
        <vertical/>
        <horizontal/>
      </border>
    </dxf>
    <dxf>
      <font>
        <color theme="4" tint="0.59996337778862885"/>
        <name val="Segoe UI"/>
        <family val="2"/>
      </font>
      <fill>
        <patternFill patternType="solid">
          <fgColor auto="1"/>
          <bgColor rgb="FF1E3A5F"/>
        </patternFill>
      </fill>
      <border diagonalUp="0" diagonalDown="0">
        <left/>
        <right/>
        <top/>
        <bottom/>
        <vertical/>
        <horizontal/>
      </border>
    </dxf>
    <dxf>
      <fill>
        <gradientFill>
          <stop position="0">
            <color rgb="FF1E3A5F"/>
          </stop>
          <stop position="1">
            <color rgb="FF006E8A"/>
          </stop>
        </gradientFill>
      </fill>
      <border diagonalUp="0" diagonalDown="0">
        <left/>
        <right/>
        <top/>
        <bottom/>
        <vertical/>
        <horizontal/>
      </border>
    </dxf>
  </dxfs>
  <tableStyles count="3" defaultTableStyle="TableStyleMedium2" defaultPivotStyle="PivotStyleLight16">
    <tableStyle name="Slicer Style 1" pivot="0" table="0" count="3" xr9:uid="{A62C9B21-1140-4A40-8674-F14857898B42}">
      <tableStyleElement type="wholeTable" dxfId="61"/>
    </tableStyle>
    <tableStyle name="SlicerStyleLight" pivot="0" table="0" count="10" xr9:uid="{CAF1FC82-EBC4-46A2-888B-49D2D869AFB3}">
      <tableStyleElement type="wholeTable" dxfId="60"/>
      <tableStyleElement type="headerRow" dxfId="59"/>
    </tableStyle>
    <tableStyle name="Timeline Style 1" pivot="0" table="0" count="8" xr9:uid="{A9B15348-C124-4475-B1FB-EDF87F4B0E41}">
      <tableStyleElement type="wholeTable" dxfId="58"/>
      <tableStyleElement type="headerRow" dxfId="57"/>
    </tableStyle>
  </tableStyles>
  <colors>
    <mruColors>
      <color rgb="FF006E8A"/>
      <color rgb="FF2AB5A0"/>
      <color rgb="FF4ECDC4"/>
      <color rgb="FF1E3A5F"/>
      <color rgb="FF0097B2"/>
      <color rgb="FF8899AA"/>
      <color rgb="FFCC66FF"/>
      <color rgb="FF00D4FF"/>
      <color rgb="FFE5E7EB"/>
      <color rgb="FFF9FAFB"/>
    </mruColors>
  </colors>
  <extLst>
    <ext xmlns:x14="http://schemas.microsoft.com/office/spreadsheetml/2009/9/main" uri="{46F421CA-312F-682f-3DD2-61675219B42D}">
      <x14:dxfs count="10">
        <dxf>
          <font>
            <b/>
            <i val="0"/>
            <sz val="14"/>
            <color theme="0" tint="-0.14993743705557422"/>
            <name val="Calibri"/>
            <family val="2"/>
            <scheme val="minor"/>
          </font>
          <fill>
            <patternFill patternType="solid">
              <fgColor auto="1"/>
              <bgColor theme="8" tint="0.39994506668294322"/>
            </patternFill>
          </fill>
          <border>
            <left style="thin">
              <color rgb="FF999999"/>
            </left>
            <right style="thin">
              <color rgb="FF999999"/>
            </right>
            <top style="thin">
              <color rgb="FF999999"/>
            </top>
            <bottom style="thin">
              <color rgb="FF999999"/>
            </bottom>
            <vertical/>
            <horizontal/>
          </border>
        </dxf>
        <dxf>
          <font>
            <b/>
            <i val="0"/>
            <sz val="14"/>
            <color theme="8" tint="-0.24994659260841701"/>
            <name val="Calibri"/>
            <family val="2"/>
            <scheme val="minor"/>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4"/>
            <color theme="0" tint="-0.14993743705557422"/>
            <name val="Calibri"/>
            <family val="2"/>
            <scheme val="minor"/>
          </font>
          <fill>
            <gradientFill degree="90">
              <stop position="0">
                <color rgb="FF1E3A5F"/>
              </stop>
              <stop position="1">
                <color rgb="FF1E3A5F"/>
              </stop>
            </gradientFill>
          </fill>
          <border diagonalUp="0" diagonalDown="0">
            <left/>
            <right/>
            <top/>
            <bottom/>
            <vertical/>
            <horizontal/>
          </border>
        </dxf>
        <dxf>
          <font>
            <b/>
            <i val="0"/>
            <sz val="14"/>
            <color theme="8" tint="-0.24994659260841701"/>
            <name val="Calibri"/>
            <family val="2"/>
            <scheme val="minor"/>
          </font>
          <fill>
            <patternFill patternType="solid">
              <fgColor auto="1"/>
              <bgColor theme="4" tint="0.59996337778862885"/>
            </patternFill>
          </fill>
          <border diagonalUp="0" diagonalDown="0">
            <left/>
            <right/>
            <top/>
            <bottom/>
            <vertical/>
            <horizontal/>
          </border>
        </dxf>
        <dxf>
          <font>
            <b val="0"/>
            <i val="0"/>
            <sz val="14"/>
            <color rgb="FF828282"/>
            <name val="Calibri"/>
            <family val="2"/>
            <scheme val="minor"/>
          </font>
          <fill>
            <patternFill patternType="none">
              <fgColor indexed="64"/>
              <bgColor auto="1"/>
            </patternFill>
          </fill>
          <border>
            <left style="thin">
              <color rgb="FFCCCCCC"/>
            </left>
            <right style="thin">
              <color rgb="FFCCCCCC"/>
            </right>
            <top style="thin">
              <color rgb="FFCCCCCC"/>
            </top>
            <bottom style="thin">
              <color rgb="FFCCCCCC"/>
            </bottom>
            <vertical/>
            <horizontal/>
          </border>
        </dxf>
        <dxf>
          <font>
            <b val="0"/>
            <i val="0"/>
            <sz val="14"/>
            <color theme="1" tint="0.34998626667073579"/>
            <name val="Calibri"/>
            <family val="2"/>
            <scheme val="minor"/>
          </font>
          <fill>
            <gradientFill>
              <stop position="0">
                <color rgb="FF2AB5A0"/>
              </stop>
              <stop position="1">
                <color rgb="FF4ECDC4"/>
              </stop>
            </gradientFill>
          </fill>
          <border diagonalUp="0" diagonalDown="0">
            <left/>
            <right/>
            <top/>
            <bottom/>
            <vertical/>
            <horizontal/>
          </border>
        </dxf>
        <dxf>
          <font>
            <b val="0"/>
            <i val="0"/>
            <color theme="4" tint="0.39991454817346722"/>
          </font>
          <fill>
            <gradientFill>
              <stop position="0">
                <color rgb="FF1E3A5F"/>
              </stop>
              <stop position="1">
                <color rgb="FF006E8A"/>
              </stop>
            </gradientFill>
          </fill>
          <border>
            <left style="thin">
              <color theme="4" tint="0.39994506668294322"/>
            </left>
            <right style="thin">
              <color theme="4" tint="0.39994506668294322"/>
            </right>
            <top style="thin">
              <color theme="4" tint="0.39994506668294322"/>
            </top>
            <bottom style="thin">
              <color theme="4" tint="0.39994506668294322"/>
            </bottom>
            <vertical/>
            <horizontal/>
          </border>
        </dxf>
        <dxf>
          <font>
            <b val="0"/>
            <i val="0"/>
            <sz val="14"/>
            <color theme="4" tint="0.59996337778862885"/>
            <name val="Calibri"/>
            <family val="2"/>
            <scheme val="minor"/>
          </font>
          <fill>
            <gradientFill>
              <stop position="0">
                <color rgb="FF1E3A5F"/>
              </stop>
              <stop position="1">
                <color rgb="FF006E8A"/>
              </stop>
            </gradientFill>
          </fill>
          <border diagonalUp="0" diagonalDown="0">
            <left/>
            <right/>
            <top/>
            <bottom/>
            <vertical/>
            <horizontal/>
          </border>
        </dxf>
        <dxf>
          <fill>
            <patternFill>
              <bgColor theme="4" tint="0.79998168889431442"/>
            </patternFill>
          </fill>
        </dxf>
        <dxf>
          <fill>
            <patternFill>
              <bgColor rgb="FFFFC0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9"/>
            <x14:slicerStyleElement type="hoveredSelectedItemWithData" dxfId="8"/>
          </x14:slicerStyleElements>
        </x14:slicerStyle>
        <x14:slicerStyle name="SlicerStyleLigh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gradientFill>
              <stop position="0">
                <color rgb="FF1E3A5F"/>
              </stop>
              <stop position="0.5">
                <color rgb="FF1E3A5F"/>
              </stop>
              <stop position="1">
                <color rgb="FF1E3A5F"/>
              </stop>
            </gradientFill>
          </fill>
        </dxf>
        <dxf>
          <fill>
            <gradientFill degree="90">
              <stop position="0">
                <color rgb="FF4ECDC4"/>
              </stop>
              <stop position="1">
                <color rgb="FF4ECDC4"/>
              </stop>
            </gradientFill>
          </fill>
        </dxf>
        <dxf>
          <font>
            <sz val="14"/>
            <color theme="0" tint="-0.14993743705557422"/>
            <name val="Calibri"/>
            <family val="2"/>
            <scheme val="minor"/>
          </font>
        </dxf>
        <dxf>
          <font>
            <sz val="9"/>
            <color theme="0" tint="-0.14996795556505021"/>
            <name val="Calibri"/>
            <family val="2"/>
            <scheme val="minor"/>
          </font>
        </dxf>
        <dxf>
          <font>
            <sz val="9"/>
            <color theme="0" tint="-0.14996795556505021"/>
            <name val="Calibri"/>
            <family val="2"/>
            <scheme val="minor"/>
          </font>
        </dxf>
        <dxf>
          <font>
            <sz val="14"/>
            <color theme="1" tint="0.499984740745262"/>
            <name val="Calibri"/>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pivotCacheDefinition" Target="pivotCache/pivotCacheDefinition1.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100" baseline="0">
                <a:solidFill>
                  <a:srgbClr val="1B2A4A"/>
                </a:solidFill>
                <a:effectLst>
                  <a:outerShdw blurRad="50800" dist="38100" dir="5400000" algn="t" rotWithShape="0">
                    <a:prstClr val="black">
                      <a:alpha val="40000"/>
                    </a:prstClr>
                  </a:outerShdw>
                </a:effectLst>
                <a:latin typeface="Calibri"/>
                <a:ea typeface="Calibri"/>
                <a:cs typeface="Calibri"/>
              </a:defRPr>
            </a:pPr>
            <a:r>
              <a:rPr lang="en-US"/>
              <a:t>Success Rate by Provider (Top 3 GEOs)</a:t>
            </a:r>
          </a:p>
        </c:rich>
      </c:tx>
      <c:overlay val="0"/>
      <c:spPr>
        <a:noFill/>
        <a:ln w="25400">
          <a:noFill/>
        </a:ln>
        <a:effectLst/>
      </c:spPr>
      <c:txPr>
        <a:bodyPr rot="0" spcFirstLastPara="1" vertOverflow="ellipsis" vert="horz" wrap="square" anchor="ctr" anchorCtr="1"/>
        <a:lstStyle/>
        <a:p>
          <a:pPr>
            <a:defRPr sz="1100" b="1" i="0" u="none" strike="noStrike" kern="1200" spc="100" baseline="0">
              <a:solidFill>
                <a:srgbClr val="1B2A4A"/>
              </a:solidFill>
              <a:effectLst>
                <a:outerShdw blurRad="50800" dist="38100" dir="5400000" algn="t" rotWithShape="0">
                  <a:prstClr val="black">
                    <a:alpha val="40000"/>
                  </a:prstClr>
                </a:outerShdw>
              </a:effectLst>
              <a:latin typeface="Calibri"/>
              <a:ea typeface="Calibri"/>
              <a:cs typeface="Calibri"/>
            </a:defRPr>
          </a:pPr>
          <a:endParaRPr lang="en-US"/>
        </a:p>
      </c:txPr>
    </c:title>
    <c:autoTitleDeleted val="0"/>
    <c:plotArea>
      <c:layout/>
      <c:barChart>
        <c:barDir val="bar"/>
        <c:grouping val="clustered"/>
        <c:varyColors val="0"/>
        <c:ser>
          <c:idx val="0"/>
          <c:order val="0"/>
          <c:tx>
            <c:strRef>
              <c:f>Dashboards!$H$43</c:f>
              <c:strCache>
                <c:ptCount val="1"/>
                <c:pt idx="0">
                  <c:v>NL</c:v>
                </c:pt>
              </c:strCache>
            </c:strRef>
          </c:tx>
          <c:spPr>
            <a:solidFill>
              <a:srgbClr val="0D9488"/>
            </a:solidFill>
            <a:ln>
              <a:solidFill>
                <a:srgbClr val="0D9488"/>
              </a:solidFill>
              <a:prstDash val="solid"/>
            </a:ln>
            <a:effectLst>
              <a:outerShdw blurRad="57150" dist="19050" dir="5400000" algn="ctr" rotWithShape="0">
                <a:srgbClr val="000000">
                  <a:alpha val="63000"/>
                </a:srgbClr>
              </a:outerShdw>
            </a:effectLst>
          </c:spPr>
          <c:invertIfNegative val="0"/>
          <c:cat>
            <c:strRef>
              <c:f>Dashboards!$G$44:$G$48</c:f>
              <c:strCache>
                <c:ptCount val="5"/>
                <c:pt idx="0">
                  <c:v>Worldpay</c:v>
                </c:pt>
                <c:pt idx="1">
                  <c:v>Stripe</c:v>
                </c:pt>
                <c:pt idx="2">
                  <c:v>Checkout.com</c:v>
                </c:pt>
                <c:pt idx="3">
                  <c:v>PaySafe</c:v>
                </c:pt>
                <c:pt idx="4">
                  <c:v>Adyen</c:v>
                </c:pt>
              </c:strCache>
            </c:strRef>
          </c:cat>
          <c:val>
            <c:numRef>
              <c:f>Dashboards!$H$44:$H$48</c:f>
              <c:numCache>
                <c:formatCode>0.0%</c:formatCode>
                <c:ptCount val="5"/>
                <c:pt idx="0">
                  <c:v>0.44444444444444442</c:v>
                </c:pt>
                <c:pt idx="1">
                  <c:v>0.5357142857142857</c:v>
                </c:pt>
                <c:pt idx="2">
                  <c:v>0.54545454545454541</c:v>
                </c:pt>
                <c:pt idx="3">
                  <c:v>0.62962962962962965</c:v>
                </c:pt>
                <c:pt idx="4">
                  <c:v>0.63157894736842102</c:v>
                </c:pt>
              </c:numCache>
            </c:numRef>
          </c:val>
          <c:extLst>
            <c:ext xmlns:c16="http://schemas.microsoft.com/office/drawing/2014/chart" uri="{C3380CC4-5D6E-409C-BE32-E72D297353CC}">
              <c16:uniqueId val="{00000000-A215-4A9C-89FD-98CD6478CEB9}"/>
            </c:ext>
          </c:extLst>
        </c:ser>
        <c:ser>
          <c:idx val="1"/>
          <c:order val="1"/>
          <c:tx>
            <c:strRef>
              <c:f>Dashboards!$I$43</c:f>
              <c:strCache>
                <c:ptCount val="1"/>
                <c:pt idx="0">
                  <c:v>GB</c:v>
                </c:pt>
              </c:strCache>
            </c:strRef>
          </c:tx>
          <c:spPr>
            <a:solidFill>
              <a:srgbClr val="F97316"/>
            </a:solidFill>
            <a:ln>
              <a:solidFill>
                <a:srgbClr val="F97316"/>
              </a:solidFill>
              <a:prstDash val="solid"/>
            </a:ln>
            <a:effectLst>
              <a:outerShdw blurRad="57150" dist="19050" dir="5400000" algn="ctr" rotWithShape="0">
                <a:srgbClr val="000000">
                  <a:alpha val="63000"/>
                </a:srgbClr>
              </a:outerShdw>
            </a:effectLst>
          </c:spPr>
          <c:invertIfNegative val="0"/>
          <c:cat>
            <c:strRef>
              <c:f>Dashboards!$G$44:$G$48</c:f>
              <c:strCache>
                <c:ptCount val="5"/>
                <c:pt idx="0">
                  <c:v>Worldpay</c:v>
                </c:pt>
                <c:pt idx="1">
                  <c:v>Stripe</c:v>
                </c:pt>
                <c:pt idx="2">
                  <c:v>Checkout.com</c:v>
                </c:pt>
                <c:pt idx="3">
                  <c:v>PaySafe</c:v>
                </c:pt>
                <c:pt idx="4">
                  <c:v>Adyen</c:v>
                </c:pt>
              </c:strCache>
            </c:strRef>
          </c:cat>
          <c:val>
            <c:numRef>
              <c:f>Dashboards!$I$44:$I$48</c:f>
              <c:numCache>
                <c:formatCode>0.0%</c:formatCode>
                <c:ptCount val="5"/>
                <c:pt idx="0">
                  <c:v>0.5</c:v>
                </c:pt>
                <c:pt idx="1">
                  <c:v>0.47368421052631576</c:v>
                </c:pt>
                <c:pt idx="2">
                  <c:v>0.65384615384615385</c:v>
                </c:pt>
                <c:pt idx="3">
                  <c:v>0.43478260869565216</c:v>
                </c:pt>
                <c:pt idx="4">
                  <c:v>0.47368421052631576</c:v>
                </c:pt>
              </c:numCache>
            </c:numRef>
          </c:val>
          <c:extLst>
            <c:ext xmlns:c16="http://schemas.microsoft.com/office/drawing/2014/chart" uri="{C3380CC4-5D6E-409C-BE32-E72D297353CC}">
              <c16:uniqueId val="{00000001-A215-4A9C-89FD-98CD6478CEB9}"/>
            </c:ext>
          </c:extLst>
        </c:ser>
        <c:ser>
          <c:idx val="2"/>
          <c:order val="2"/>
          <c:tx>
            <c:strRef>
              <c:f>Dashboards!$J$43</c:f>
              <c:strCache>
                <c:ptCount val="1"/>
                <c:pt idx="0">
                  <c:v>CY</c:v>
                </c:pt>
              </c:strCache>
            </c:strRef>
          </c:tx>
          <c:spPr>
            <a:solidFill>
              <a:srgbClr val="7C3AED"/>
            </a:solidFill>
            <a:ln>
              <a:solidFill>
                <a:srgbClr val="7C3AED"/>
              </a:solidFill>
              <a:prstDash val="solid"/>
            </a:ln>
            <a:effectLst>
              <a:outerShdw blurRad="57150" dist="19050" dir="5400000" algn="ctr" rotWithShape="0">
                <a:srgbClr val="000000">
                  <a:alpha val="63000"/>
                </a:srgbClr>
              </a:outerShdw>
            </a:effectLst>
          </c:spPr>
          <c:invertIfNegative val="0"/>
          <c:cat>
            <c:strRef>
              <c:f>Dashboards!$G$44:$G$48</c:f>
              <c:strCache>
                <c:ptCount val="5"/>
                <c:pt idx="0">
                  <c:v>Worldpay</c:v>
                </c:pt>
                <c:pt idx="1">
                  <c:v>Stripe</c:v>
                </c:pt>
                <c:pt idx="2">
                  <c:v>Checkout.com</c:v>
                </c:pt>
                <c:pt idx="3">
                  <c:v>PaySafe</c:v>
                </c:pt>
                <c:pt idx="4">
                  <c:v>Adyen</c:v>
                </c:pt>
              </c:strCache>
            </c:strRef>
          </c:cat>
          <c:val>
            <c:numRef>
              <c:f>Dashboards!$J$44:$J$48</c:f>
              <c:numCache>
                <c:formatCode>0.0%</c:formatCode>
                <c:ptCount val="5"/>
                <c:pt idx="0">
                  <c:v>0.47058823529411764</c:v>
                </c:pt>
                <c:pt idx="1">
                  <c:v>0.57692307692307687</c:v>
                </c:pt>
                <c:pt idx="2">
                  <c:v>0.5714285714285714</c:v>
                </c:pt>
                <c:pt idx="3">
                  <c:v>0.7</c:v>
                </c:pt>
                <c:pt idx="4">
                  <c:v>0.5</c:v>
                </c:pt>
              </c:numCache>
            </c:numRef>
          </c:val>
          <c:extLst>
            <c:ext xmlns:c16="http://schemas.microsoft.com/office/drawing/2014/chart" uri="{C3380CC4-5D6E-409C-BE32-E72D297353CC}">
              <c16:uniqueId val="{00000002-A215-4A9C-89FD-98CD6478CEB9}"/>
            </c:ext>
          </c:extLst>
        </c:ser>
        <c:dLbls>
          <c:showLegendKey val="0"/>
          <c:showVal val="0"/>
          <c:showCatName val="0"/>
          <c:showSerName val="0"/>
          <c:showPercent val="0"/>
          <c:showBubbleSize val="0"/>
        </c:dLbls>
        <c:gapWidth val="115"/>
        <c:axId val="367685696"/>
        <c:axId val="367687136"/>
      </c:barChart>
      <c:catAx>
        <c:axId val="367685696"/>
        <c:scaling>
          <c:orientation val="minMax"/>
        </c:scaling>
        <c:delete val="0"/>
        <c:axPos val="l"/>
        <c:numFmt formatCode="General" sourceLinked="1"/>
        <c:majorTickMark val="none"/>
        <c:minorTickMark val="none"/>
        <c:tickLblPos val="nextTo"/>
        <c:spPr>
          <a:noFill/>
          <a:ln w="12700" cap="flat" cmpd="sng" algn="ctr">
            <a:solidFill>
              <a:srgbClr val="E5E7EB"/>
            </a:solidFill>
            <a:prstDash val="solid"/>
            <a:round/>
          </a:ln>
          <a:effectLst/>
        </c:spPr>
        <c:txPr>
          <a:bodyPr rot="0" spcFirstLastPara="1" vertOverflow="ellipsis" wrap="square" anchor="ctr" anchorCtr="1"/>
          <a:lstStyle/>
          <a:p>
            <a:pPr>
              <a:defRPr sz="900" b="0" i="0" u="none" strike="noStrike" kern="1200" baseline="0">
                <a:solidFill>
                  <a:srgbClr val="6B7280"/>
                </a:solidFill>
                <a:latin typeface="Calibri"/>
                <a:ea typeface="Calibri"/>
                <a:cs typeface="Calibri"/>
              </a:defRPr>
            </a:pPr>
            <a:endParaRPr lang="en-US"/>
          </a:p>
        </c:txPr>
        <c:crossAx val="367687136"/>
        <c:crosses val="autoZero"/>
        <c:auto val="1"/>
        <c:lblAlgn val="ctr"/>
        <c:lblOffset val="100"/>
        <c:noMultiLvlLbl val="0"/>
      </c:catAx>
      <c:valAx>
        <c:axId val="367687136"/>
        <c:scaling>
          <c:orientation val="minMax"/>
        </c:scaling>
        <c:delete val="0"/>
        <c:axPos val="b"/>
        <c:majorGridlines>
          <c:spPr>
            <a:ln w="9525" cap="flat" cmpd="sng" algn="ctr">
              <a:solidFill>
                <a:srgbClr val="F3F4F6"/>
              </a:solidFill>
              <a:prstDash val="solid"/>
              <a:round/>
            </a:ln>
            <a:effectLst/>
          </c:spPr>
        </c:majorGridlines>
        <c:numFmt formatCode="0%" sourceLinked="0"/>
        <c:majorTickMark val="none"/>
        <c:minorTickMark val="none"/>
        <c:tickLblPos val="nextTo"/>
        <c:spPr>
          <a:noFill/>
          <a:ln>
            <a:solidFill>
              <a:srgbClr val="E5E7EB"/>
            </a:solidFill>
            <a:prstDash val="solid"/>
          </a:ln>
          <a:effectLst/>
        </c:spPr>
        <c:txPr>
          <a:bodyPr rot="-60000000" spcFirstLastPara="1" vertOverflow="ellipsis" vert="horz" wrap="square" anchor="ctr" anchorCtr="1"/>
          <a:lstStyle/>
          <a:p>
            <a:pPr>
              <a:defRPr sz="900" b="0" i="0" u="none" strike="noStrike" kern="1200" baseline="0">
                <a:solidFill>
                  <a:srgbClr val="6B7280"/>
                </a:solidFill>
                <a:latin typeface="Calibri"/>
                <a:ea typeface="Calibri"/>
                <a:cs typeface="Calibri"/>
              </a:defRPr>
            </a:pPr>
            <a:endParaRPr lang="en-US"/>
          </a:p>
        </c:txPr>
        <c:crossAx val="367685696"/>
        <c:crosses val="autoZero"/>
        <c:crossBetween val="between"/>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6B7280"/>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a:solidFill>
        <a:srgbClr val="E5E7EB"/>
      </a:solidFill>
      <a:prstDash val="soli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cap="none" baseline="0">
                <a:solidFill>
                  <a:srgbClr val="1B2A4A"/>
                </a:solidFill>
                <a:latin typeface="Calibri"/>
                <a:ea typeface="Calibri"/>
                <a:cs typeface="Calibri"/>
              </a:defRPr>
            </a:pPr>
            <a:r>
              <a:rPr lang="en-US"/>
              <a:t>Monthly Transaction Volume</a:t>
            </a:r>
          </a:p>
        </c:rich>
      </c:tx>
      <c:overlay val="0"/>
      <c:spPr>
        <a:noFill/>
        <a:ln w="25400">
          <a:noFill/>
        </a:ln>
        <a:effectLst/>
      </c:spPr>
      <c:txPr>
        <a:bodyPr rot="0" spcFirstLastPara="1" vertOverflow="ellipsis" vert="horz" wrap="square" anchor="ctr" anchorCtr="1"/>
        <a:lstStyle/>
        <a:p>
          <a:pPr>
            <a:defRPr sz="1100" b="1" i="0" u="none" strike="noStrike" kern="1200" cap="none" baseline="0">
              <a:solidFill>
                <a:srgbClr val="1B2A4A"/>
              </a:solidFill>
              <a:latin typeface="Calibri"/>
              <a:ea typeface="Calibri"/>
              <a:cs typeface="Calibri"/>
            </a:defRPr>
          </a:pPr>
          <a:endParaRPr lang="en-US"/>
        </a:p>
      </c:txPr>
    </c:title>
    <c:autoTitleDeleted val="0"/>
    <c:plotArea>
      <c:layout/>
      <c:lineChart>
        <c:grouping val="standard"/>
        <c:varyColors val="0"/>
        <c:ser>
          <c:idx val="0"/>
          <c:order val="0"/>
          <c:tx>
            <c:strRef>
              <c:f>Dashboards!$C$26</c:f>
              <c:strCache>
                <c:ptCount val="1"/>
                <c:pt idx="0">
                  <c:v>Transactions</c:v>
                </c:pt>
              </c:strCache>
            </c:strRef>
          </c:tx>
          <c:spPr>
            <a:ln w="22225" cap="rnd">
              <a:solidFill>
                <a:srgbClr val="2E86AB"/>
              </a:solidFill>
              <a:prstDash val="solid"/>
            </a:ln>
            <a:effectLst>
              <a:glow rad="139700">
                <a:schemeClr val="accent1">
                  <a:satMod val="175000"/>
                  <a:alpha val="14000"/>
                </a:schemeClr>
              </a:glow>
            </a:effectLst>
          </c:spPr>
          <c:marker>
            <c:symbol val="circle"/>
            <c:size val="6"/>
            <c:spPr>
              <a:solidFill>
                <a:srgbClr val="FFFFFF"/>
              </a:solidFill>
              <a:ln>
                <a:solidFill>
                  <a:srgbClr val="2E86AB"/>
                </a:solidFill>
                <a:prstDash val="solid"/>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Dashboards!$B$27:$B$38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Dashboards!$C$27:$C$38</c:f>
              <c:numCache>
                <c:formatCode>#,##0</c:formatCode>
                <c:ptCount val="12"/>
                <c:pt idx="0">
                  <c:v>73</c:v>
                </c:pt>
                <c:pt idx="1">
                  <c:v>81</c:v>
                </c:pt>
                <c:pt idx="2">
                  <c:v>101</c:v>
                </c:pt>
                <c:pt idx="3">
                  <c:v>75</c:v>
                </c:pt>
                <c:pt idx="4">
                  <c:v>84</c:v>
                </c:pt>
                <c:pt idx="5">
                  <c:v>71</c:v>
                </c:pt>
                <c:pt idx="6">
                  <c:v>72</c:v>
                </c:pt>
                <c:pt idx="7">
                  <c:v>97</c:v>
                </c:pt>
                <c:pt idx="8">
                  <c:v>74</c:v>
                </c:pt>
                <c:pt idx="9">
                  <c:v>96</c:v>
                </c:pt>
                <c:pt idx="10">
                  <c:v>76</c:v>
                </c:pt>
                <c:pt idx="11">
                  <c:v>100</c:v>
                </c:pt>
              </c:numCache>
            </c:numRef>
          </c:val>
          <c:smooth val="1"/>
          <c:extLst>
            <c:ext xmlns:c16="http://schemas.microsoft.com/office/drawing/2014/chart" uri="{C3380CC4-5D6E-409C-BE32-E72D297353CC}">
              <c16:uniqueId val="{00000000-FFD4-498B-A5B8-42F2C3C09F5D}"/>
            </c:ext>
          </c:extLst>
        </c:ser>
        <c:dLbls>
          <c:dLblPos val="t"/>
          <c:showLegendKey val="0"/>
          <c:showVal val="1"/>
          <c:showCatName val="0"/>
          <c:showSerName val="0"/>
          <c:showPercent val="0"/>
          <c:showBubbleSize val="0"/>
        </c:dLbls>
        <c:marker val="1"/>
        <c:smooth val="0"/>
        <c:axId val="866905464"/>
        <c:axId val="1598863168"/>
      </c:lineChart>
      <c:catAx>
        <c:axId val="86690546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solidFill>
              <a:srgbClr val="E5E7EB"/>
            </a:solidFill>
            <a:prstDash val="solid"/>
          </a:ln>
          <a:effectLst/>
        </c:spPr>
        <c:txPr>
          <a:bodyPr rot="0" spcFirstLastPara="1" vertOverflow="ellipsis" wrap="square" anchor="ctr" anchorCtr="1"/>
          <a:lstStyle/>
          <a:p>
            <a:pPr>
              <a:defRPr sz="900" b="0" i="0" u="none" strike="noStrike" kern="1200" baseline="0">
                <a:solidFill>
                  <a:srgbClr val="6B7280"/>
                </a:solidFill>
                <a:latin typeface="Calibri"/>
                <a:ea typeface="Calibri"/>
                <a:cs typeface="Calibri"/>
              </a:defRPr>
            </a:pPr>
            <a:endParaRPr lang="en-US"/>
          </a:p>
        </c:txPr>
        <c:crossAx val="1598863168"/>
        <c:crosses val="autoZero"/>
        <c:auto val="1"/>
        <c:lblAlgn val="ctr"/>
        <c:lblOffset val="100"/>
        <c:noMultiLvlLbl val="0"/>
      </c:catAx>
      <c:valAx>
        <c:axId val="1598863168"/>
        <c:scaling>
          <c:orientation val="minMax"/>
        </c:scaling>
        <c:delete val="0"/>
        <c:axPos val="l"/>
        <c:majorGridlines>
          <c:spPr>
            <a:ln w="9525" cap="flat" cmpd="sng" algn="ctr">
              <a:solidFill>
                <a:srgbClr val="F3F4F6"/>
              </a:solidFill>
              <a:prstDash val="solid"/>
              <a:round/>
            </a:ln>
            <a:effectLst/>
          </c:spPr>
        </c:majorGridlines>
        <c:numFmt formatCode="#,##0" sourceLinked="1"/>
        <c:majorTickMark val="none"/>
        <c:minorTickMark val="none"/>
        <c:tickLblPos val="nextTo"/>
        <c:spPr>
          <a:noFill/>
          <a:ln>
            <a:solidFill>
              <a:srgbClr val="E5E7EB"/>
            </a:solidFill>
            <a:prstDash val="solid"/>
          </a:ln>
          <a:effectLst/>
        </c:spPr>
        <c:txPr>
          <a:bodyPr rot="-60000000" spcFirstLastPara="1" vertOverflow="ellipsis" vert="horz" wrap="square" anchor="ctr" anchorCtr="1"/>
          <a:lstStyle/>
          <a:p>
            <a:pPr>
              <a:defRPr sz="900" b="0" i="0" u="none" strike="noStrike" kern="1200" baseline="0">
                <a:solidFill>
                  <a:srgbClr val="6B7280"/>
                </a:solidFill>
                <a:latin typeface="Calibri"/>
                <a:ea typeface="Calibri"/>
                <a:cs typeface="Calibri"/>
              </a:defRPr>
            </a:pPr>
            <a:endParaRPr lang="en-US"/>
          </a:p>
        </c:txPr>
        <c:crossAx val="866905464"/>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5E7EB"/>
      </a:solidFill>
      <a:prstDash val="solid"/>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100" baseline="0">
                <a:solidFill>
                  <a:srgbClr val="1B2A4A"/>
                </a:solidFill>
                <a:effectLst>
                  <a:outerShdw blurRad="50800" dist="38100" dir="5400000" algn="t" rotWithShape="0">
                    <a:prstClr val="black">
                      <a:alpha val="40000"/>
                    </a:prstClr>
                  </a:outerShdw>
                </a:effectLst>
                <a:latin typeface="Calibri"/>
                <a:ea typeface="Calibri"/>
                <a:cs typeface="Calibri"/>
              </a:defRPr>
            </a:pPr>
            <a:r>
              <a:rPr lang="en-US"/>
              <a:t>GEO Transaction Volume &amp; Revenue</a:t>
            </a:r>
          </a:p>
        </c:rich>
      </c:tx>
      <c:overlay val="0"/>
      <c:spPr>
        <a:noFill/>
        <a:ln w="25400">
          <a:noFill/>
        </a:ln>
        <a:effectLst/>
      </c:spPr>
      <c:txPr>
        <a:bodyPr rot="0" spcFirstLastPara="1" vertOverflow="ellipsis" vert="horz" wrap="square" anchor="ctr" anchorCtr="1"/>
        <a:lstStyle/>
        <a:p>
          <a:pPr>
            <a:defRPr sz="1100" b="1" i="0" u="none" strike="noStrike" kern="1200" spc="100" baseline="0">
              <a:solidFill>
                <a:srgbClr val="1B2A4A"/>
              </a:solidFill>
              <a:effectLst>
                <a:outerShdw blurRad="50800" dist="38100" dir="5400000" algn="t" rotWithShape="0">
                  <a:prstClr val="black">
                    <a:alpha val="40000"/>
                  </a:prstClr>
                </a:outerShdw>
              </a:effectLst>
              <a:latin typeface="Calibri"/>
              <a:ea typeface="Calibri"/>
              <a:cs typeface="Calibri"/>
            </a:defRPr>
          </a:pPr>
          <a:endParaRPr lang="en-US"/>
        </a:p>
      </c:txPr>
    </c:title>
    <c:autoTitleDeleted val="0"/>
    <c:plotArea>
      <c:layout/>
      <c:barChart>
        <c:barDir val="col"/>
        <c:grouping val="clustered"/>
        <c:varyColors val="0"/>
        <c:ser>
          <c:idx val="0"/>
          <c:order val="0"/>
          <c:tx>
            <c:strRef>
              <c:f>Dashboards!$C$42</c:f>
              <c:strCache>
                <c:ptCount val="1"/>
                <c:pt idx="0">
                  <c:v>Transactions</c:v>
                </c:pt>
              </c:strCache>
            </c:strRef>
          </c:tx>
          <c:spPr>
            <a:solidFill>
              <a:srgbClr val="2E86AB"/>
            </a:solidFill>
            <a:ln>
              <a:solidFill>
                <a:srgbClr val="2E86AB"/>
              </a:solidFill>
              <a:prstDash val="solid"/>
            </a:ln>
            <a:effectLst>
              <a:outerShdw blurRad="57150" dist="19050" dir="5400000" algn="ctr" rotWithShape="0">
                <a:srgbClr val="000000">
                  <a:alpha val="63000"/>
                </a:srgbClr>
              </a:outerShdw>
            </a:effectLst>
          </c:spPr>
          <c:invertIfNegative val="0"/>
          <c:cat>
            <c:strRef>
              <c:f>Dashboards!$B$43:$B$52</c:f>
              <c:strCache>
                <c:ptCount val="10"/>
                <c:pt idx="0">
                  <c:v>NL</c:v>
                </c:pt>
                <c:pt idx="1">
                  <c:v>GB</c:v>
                </c:pt>
                <c:pt idx="2">
                  <c:v>CY</c:v>
                </c:pt>
                <c:pt idx="3">
                  <c:v>FR</c:v>
                </c:pt>
                <c:pt idx="4">
                  <c:v>SE</c:v>
                </c:pt>
                <c:pt idx="5">
                  <c:v>NO</c:v>
                </c:pt>
                <c:pt idx="6">
                  <c:v>PL</c:v>
                </c:pt>
                <c:pt idx="7">
                  <c:v>IT</c:v>
                </c:pt>
                <c:pt idx="8">
                  <c:v>DE</c:v>
                </c:pt>
                <c:pt idx="9">
                  <c:v>ES</c:v>
                </c:pt>
              </c:strCache>
            </c:strRef>
          </c:cat>
          <c:val>
            <c:numRef>
              <c:f>Dashboards!$C$43:$C$52</c:f>
              <c:numCache>
                <c:formatCode>#,##0</c:formatCode>
                <c:ptCount val="10"/>
                <c:pt idx="0">
                  <c:v>125</c:v>
                </c:pt>
                <c:pt idx="1">
                  <c:v>113</c:v>
                </c:pt>
                <c:pt idx="2">
                  <c:v>108</c:v>
                </c:pt>
                <c:pt idx="3">
                  <c:v>101</c:v>
                </c:pt>
                <c:pt idx="4">
                  <c:v>100</c:v>
                </c:pt>
                <c:pt idx="5">
                  <c:v>98</c:v>
                </c:pt>
                <c:pt idx="6">
                  <c:v>97</c:v>
                </c:pt>
                <c:pt idx="7">
                  <c:v>91</c:v>
                </c:pt>
                <c:pt idx="8">
                  <c:v>87</c:v>
                </c:pt>
                <c:pt idx="9">
                  <c:v>80</c:v>
                </c:pt>
              </c:numCache>
            </c:numRef>
          </c:val>
          <c:extLst>
            <c:ext xmlns:c16="http://schemas.microsoft.com/office/drawing/2014/chart" uri="{C3380CC4-5D6E-409C-BE32-E72D297353CC}">
              <c16:uniqueId val="{00000000-787D-4AB3-96C8-EB31DDE4ACF7}"/>
            </c:ext>
          </c:extLst>
        </c:ser>
        <c:dLbls>
          <c:showLegendKey val="0"/>
          <c:showVal val="0"/>
          <c:showCatName val="0"/>
          <c:showSerName val="0"/>
          <c:showPercent val="0"/>
          <c:showBubbleSize val="0"/>
        </c:dLbls>
        <c:gapWidth val="115"/>
        <c:axId val="1598867992"/>
        <c:axId val="1598866552"/>
      </c:barChart>
      <c:lineChart>
        <c:grouping val="stacked"/>
        <c:varyColors val="0"/>
        <c:ser>
          <c:idx val="1"/>
          <c:order val="1"/>
          <c:tx>
            <c:strRef>
              <c:f>Dashboards!$D$42</c:f>
              <c:strCache>
                <c:ptCount val="1"/>
                <c:pt idx="0">
                  <c:v>Net Revenue</c:v>
                </c:pt>
              </c:strCache>
            </c:strRef>
          </c:tx>
          <c:spPr>
            <a:ln w="34925" cap="rnd">
              <a:solidFill>
                <a:srgbClr val="FFC000"/>
              </a:solidFill>
              <a:prstDash val="solid"/>
              <a:round/>
            </a:ln>
            <a:effectLst>
              <a:outerShdw blurRad="57150" dist="19050" dir="5400000" algn="ctr" rotWithShape="0">
                <a:srgbClr val="000000">
                  <a:alpha val="63000"/>
                </a:srgbClr>
              </a:outerShdw>
            </a:effectLst>
          </c:spPr>
          <c:marker>
            <c:symbol val="circle"/>
            <c:size val="5"/>
            <c:spPr>
              <a:solidFill>
                <a:srgbClr val="FFFFFF"/>
              </a:solidFill>
              <a:ln w="9525">
                <a:solidFill>
                  <a:srgbClr val="FFC000"/>
                </a:solidFill>
                <a:prstDash val="solid"/>
                <a:round/>
              </a:ln>
              <a:effectLst>
                <a:outerShdw blurRad="57150" dist="19050" dir="5400000" algn="ctr" rotWithShape="0">
                  <a:srgbClr val="000000">
                    <a:alpha val="63000"/>
                  </a:srgbClr>
                </a:outerShdw>
              </a:effectLst>
            </c:spPr>
          </c:marker>
          <c:dPt>
            <c:idx val="0"/>
            <c:marker>
              <c:symbol val="circle"/>
              <c:size val="5"/>
              <c:spPr>
                <a:solidFill>
                  <a:srgbClr val="FFFFFF"/>
                </a:solidFill>
                <a:ln w="9525">
                  <a:solidFill>
                    <a:srgbClr val="FFC000"/>
                  </a:solidFill>
                  <a:prstDash val="solid"/>
                  <a:round/>
                </a:ln>
                <a:effectLst>
                  <a:outerShdw blurRad="57150" dist="19050" dir="5400000" algn="ctr" rotWithShape="0">
                    <a:srgbClr val="000000">
                      <a:alpha val="63000"/>
                    </a:srgbClr>
                  </a:outerShdw>
                </a:effectLst>
              </c:spPr>
            </c:marker>
            <c:bubble3D val="0"/>
            <c:spPr>
              <a:ln w="34925" cap="rnd">
                <a:solidFill>
                  <a:srgbClr val="FFC000"/>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A-FC75-44D4-981D-212B83897C38}"/>
              </c:ext>
            </c:extLst>
          </c:dPt>
          <c:dPt>
            <c:idx val="1"/>
            <c:marker>
              <c:symbol val="circle"/>
              <c:size val="5"/>
              <c:spPr>
                <a:solidFill>
                  <a:srgbClr val="FFFFFF"/>
                </a:solidFill>
                <a:ln w="9525">
                  <a:solidFill>
                    <a:srgbClr val="FFC000"/>
                  </a:solidFill>
                  <a:prstDash val="solid"/>
                  <a:round/>
                </a:ln>
                <a:effectLst>
                  <a:outerShdw blurRad="57150" dist="19050" dir="5400000" algn="ctr" rotWithShape="0">
                    <a:srgbClr val="000000">
                      <a:alpha val="63000"/>
                    </a:srgbClr>
                  </a:outerShdw>
                </a:effectLst>
              </c:spPr>
            </c:marker>
            <c:bubble3D val="0"/>
            <c:spPr>
              <a:ln w="34925" cap="rnd">
                <a:solidFill>
                  <a:srgbClr val="FFC000"/>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FC75-44D4-981D-212B83897C38}"/>
              </c:ext>
            </c:extLst>
          </c:dPt>
          <c:dPt>
            <c:idx val="2"/>
            <c:marker>
              <c:symbol val="circle"/>
              <c:size val="5"/>
              <c:spPr>
                <a:solidFill>
                  <a:srgbClr val="FFFFFF"/>
                </a:solidFill>
                <a:ln w="9525">
                  <a:solidFill>
                    <a:srgbClr val="FFC000"/>
                  </a:solidFill>
                  <a:prstDash val="solid"/>
                  <a:round/>
                </a:ln>
                <a:effectLst>
                  <a:outerShdw blurRad="57150" dist="19050" dir="5400000" algn="ctr" rotWithShape="0">
                    <a:srgbClr val="000000">
                      <a:alpha val="63000"/>
                    </a:srgbClr>
                  </a:outerShdw>
                </a:effectLst>
              </c:spPr>
            </c:marker>
            <c:bubble3D val="0"/>
            <c:spPr>
              <a:ln w="34925" cap="rnd">
                <a:solidFill>
                  <a:srgbClr val="FFC000"/>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C-FC75-44D4-981D-212B83897C38}"/>
              </c:ext>
            </c:extLst>
          </c:dPt>
          <c:dPt>
            <c:idx val="3"/>
            <c:marker>
              <c:symbol val="circle"/>
              <c:size val="5"/>
              <c:spPr>
                <a:solidFill>
                  <a:srgbClr val="FFFFFF"/>
                </a:solidFill>
                <a:ln w="9525">
                  <a:solidFill>
                    <a:srgbClr val="FFC000"/>
                  </a:solidFill>
                  <a:prstDash val="solid"/>
                  <a:round/>
                </a:ln>
                <a:effectLst>
                  <a:outerShdw blurRad="57150" dist="19050" dir="5400000" algn="ctr" rotWithShape="0">
                    <a:srgbClr val="000000">
                      <a:alpha val="63000"/>
                    </a:srgbClr>
                  </a:outerShdw>
                </a:effectLst>
              </c:spPr>
            </c:marker>
            <c:bubble3D val="0"/>
            <c:spPr>
              <a:ln w="34925" cap="rnd">
                <a:solidFill>
                  <a:srgbClr val="FFC000"/>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C75-44D4-981D-212B83897C38}"/>
              </c:ext>
            </c:extLst>
          </c:dPt>
          <c:dPt>
            <c:idx val="4"/>
            <c:marker>
              <c:symbol val="circle"/>
              <c:size val="5"/>
              <c:spPr>
                <a:solidFill>
                  <a:srgbClr val="FFFFFF"/>
                </a:solidFill>
                <a:ln w="9525">
                  <a:solidFill>
                    <a:srgbClr val="FFC000"/>
                  </a:solidFill>
                  <a:prstDash val="solid"/>
                  <a:round/>
                </a:ln>
                <a:effectLst>
                  <a:outerShdw blurRad="57150" dist="19050" dir="5400000" algn="ctr" rotWithShape="0">
                    <a:srgbClr val="000000">
                      <a:alpha val="63000"/>
                    </a:srgbClr>
                  </a:outerShdw>
                </a:effectLst>
              </c:spPr>
            </c:marker>
            <c:bubble3D val="0"/>
            <c:spPr>
              <a:ln w="34925" cap="rnd">
                <a:solidFill>
                  <a:srgbClr val="FFC000"/>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FC75-44D4-981D-212B83897C38}"/>
              </c:ext>
            </c:extLst>
          </c:dPt>
          <c:dPt>
            <c:idx val="5"/>
            <c:marker>
              <c:symbol val="circle"/>
              <c:size val="5"/>
              <c:spPr>
                <a:solidFill>
                  <a:srgbClr val="FFFFFF"/>
                </a:solidFill>
                <a:ln w="9525">
                  <a:solidFill>
                    <a:srgbClr val="FFC000"/>
                  </a:solidFill>
                  <a:prstDash val="solid"/>
                  <a:round/>
                </a:ln>
                <a:effectLst>
                  <a:outerShdw blurRad="57150" dist="19050" dir="5400000" algn="ctr" rotWithShape="0">
                    <a:srgbClr val="000000">
                      <a:alpha val="63000"/>
                    </a:srgbClr>
                  </a:outerShdw>
                </a:effectLst>
              </c:spPr>
            </c:marker>
            <c:bubble3D val="0"/>
            <c:spPr>
              <a:ln w="34925" cap="rnd">
                <a:solidFill>
                  <a:srgbClr val="FFC000"/>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C75-44D4-981D-212B83897C38}"/>
              </c:ext>
            </c:extLst>
          </c:dPt>
          <c:dPt>
            <c:idx val="6"/>
            <c:marker>
              <c:symbol val="circle"/>
              <c:size val="5"/>
              <c:spPr>
                <a:solidFill>
                  <a:srgbClr val="FFFFFF"/>
                </a:solidFill>
                <a:ln w="9525">
                  <a:solidFill>
                    <a:srgbClr val="FFC000"/>
                  </a:solidFill>
                  <a:prstDash val="solid"/>
                  <a:round/>
                </a:ln>
                <a:effectLst>
                  <a:outerShdw blurRad="57150" dist="19050" dir="5400000" algn="ctr" rotWithShape="0">
                    <a:srgbClr val="000000">
                      <a:alpha val="63000"/>
                    </a:srgbClr>
                  </a:outerShdw>
                </a:effectLst>
              </c:spPr>
            </c:marker>
            <c:bubble3D val="0"/>
            <c:spPr>
              <a:ln w="34925" cap="rnd">
                <a:solidFill>
                  <a:srgbClr val="FFC000"/>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FC75-44D4-981D-212B83897C38}"/>
              </c:ext>
            </c:extLst>
          </c:dPt>
          <c:dPt>
            <c:idx val="7"/>
            <c:marker>
              <c:symbol val="circle"/>
              <c:size val="5"/>
              <c:spPr>
                <a:solidFill>
                  <a:srgbClr val="FFFFFF"/>
                </a:solidFill>
                <a:ln w="9525">
                  <a:solidFill>
                    <a:srgbClr val="FFC000"/>
                  </a:solidFill>
                  <a:prstDash val="solid"/>
                  <a:round/>
                </a:ln>
                <a:effectLst>
                  <a:outerShdw blurRad="57150" dist="19050" dir="5400000" algn="ctr" rotWithShape="0">
                    <a:srgbClr val="000000">
                      <a:alpha val="63000"/>
                    </a:srgbClr>
                  </a:outerShdw>
                </a:effectLst>
              </c:spPr>
            </c:marker>
            <c:bubble3D val="0"/>
            <c:spPr>
              <a:ln w="34925" cap="rnd">
                <a:solidFill>
                  <a:srgbClr val="FFC000"/>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FC75-44D4-981D-212B83897C38}"/>
              </c:ext>
            </c:extLst>
          </c:dPt>
          <c:dPt>
            <c:idx val="8"/>
            <c:marker>
              <c:symbol val="circle"/>
              <c:size val="5"/>
              <c:spPr>
                <a:solidFill>
                  <a:srgbClr val="FFFFFF"/>
                </a:solidFill>
                <a:ln w="9525">
                  <a:solidFill>
                    <a:srgbClr val="FFC000"/>
                  </a:solidFill>
                  <a:prstDash val="solid"/>
                  <a:round/>
                </a:ln>
                <a:effectLst>
                  <a:outerShdw blurRad="57150" dist="19050" dir="5400000" algn="ctr" rotWithShape="0">
                    <a:srgbClr val="000000">
                      <a:alpha val="63000"/>
                    </a:srgbClr>
                  </a:outerShdw>
                </a:effectLst>
              </c:spPr>
            </c:marker>
            <c:bubble3D val="0"/>
            <c:spPr>
              <a:ln w="34925" cap="rnd">
                <a:solidFill>
                  <a:srgbClr val="FFC000"/>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2-FC75-44D4-981D-212B83897C38}"/>
              </c:ext>
            </c:extLst>
          </c:dPt>
          <c:dPt>
            <c:idx val="9"/>
            <c:marker>
              <c:symbol val="circle"/>
              <c:size val="5"/>
              <c:spPr>
                <a:solidFill>
                  <a:srgbClr val="FFFFFF"/>
                </a:solidFill>
                <a:ln w="9525">
                  <a:solidFill>
                    <a:srgbClr val="FFC000"/>
                  </a:solidFill>
                  <a:prstDash val="solid"/>
                  <a:round/>
                </a:ln>
                <a:effectLst>
                  <a:outerShdw blurRad="57150" dist="19050" dir="5400000" algn="ctr" rotWithShape="0">
                    <a:srgbClr val="000000">
                      <a:alpha val="63000"/>
                    </a:srgbClr>
                  </a:outerShdw>
                </a:effectLst>
              </c:spPr>
            </c:marker>
            <c:bubble3D val="0"/>
            <c:spPr>
              <a:ln w="34925" cap="rnd">
                <a:solidFill>
                  <a:srgbClr val="FFC000"/>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FC75-44D4-981D-212B83897C38}"/>
              </c:ext>
            </c:extLst>
          </c:dPt>
          <c:cat>
            <c:strRef>
              <c:f>Dashboards!$B$43:$B$52</c:f>
              <c:strCache>
                <c:ptCount val="10"/>
                <c:pt idx="0">
                  <c:v>NL</c:v>
                </c:pt>
                <c:pt idx="1">
                  <c:v>GB</c:v>
                </c:pt>
                <c:pt idx="2">
                  <c:v>CY</c:v>
                </c:pt>
                <c:pt idx="3">
                  <c:v>FR</c:v>
                </c:pt>
                <c:pt idx="4">
                  <c:v>SE</c:v>
                </c:pt>
                <c:pt idx="5">
                  <c:v>NO</c:v>
                </c:pt>
                <c:pt idx="6">
                  <c:v>PL</c:v>
                </c:pt>
                <c:pt idx="7">
                  <c:v>IT</c:v>
                </c:pt>
                <c:pt idx="8">
                  <c:v>DE</c:v>
                </c:pt>
                <c:pt idx="9">
                  <c:v>ES</c:v>
                </c:pt>
              </c:strCache>
            </c:strRef>
          </c:cat>
          <c:val>
            <c:numRef>
              <c:f>Dashboards!$D$43:$D$52</c:f>
              <c:numCache>
                <c:formatCode>\€#,##0</c:formatCode>
                <c:ptCount val="10"/>
                <c:pt idx="0">
                  <c:v>157032.23000000004</c:v>
                </c:pt>
                <c:pt idx="1">
                  <c:v>161735.55215999999</c:v>
                </c:pt>
                <c:pt idx="2">
                  <c:v>149085.69999999992</c:v>
                </c:pt>
                <c:pt idx="3">
                  <c:v>174641.67</c:v>
                </c:pt>
                <c:pt idx="4">
                  <c:v>9240.629821999999</c:v>
                </c:pt>
                <c:pt idx="5">
                  <c:v>11128.355280000002</c:v>
                </c:pt>
                <c:pt idx="6">
                  <c:v>35308.792675000004</c:v>
                </c:pt>
                <c:pt idx="7">
                  <c:v>120668.87000000002</c:v>
                </c:pt>
                <c:pt idx="8">
                  <c:v>95077.999999999985</c:v>
                </c:pt>
                <c:pt idx="9">
                  <c:v>110471.49000000003</c:v>
                </c:pt>
              </c:numCache>
            </c:numRef>
          </c:val>
          <c:smooth val="0"/>
          <c:extLst>
            <c:ext xmlns:c16="http://schemas.microsoft.com/office/drawing/2014/chart" uri="{C3380CC4-5D6E-409C-BE32-E72D297353CC}">
              <c16:uniqueId val="{00000001-787D-4AB3-96C8-EB31DDE4ACF7}"/>
            </c:ext>
          </c:extLst>
        </c:ser>
        <c:dLbls>
          <c:showLegendKey val="0"/>
          <c:showVal val="0"/>
          <c:showCatName val="0"/>
          <c:showSerName val="0"/>
          <c:showPercent val="0"/>
          <c:showBubbleSize val="0"/>
        </c:dLbls>
        <c:marker val="1"/>
        <c:smooth val="0"/>
        <c:axId val="904665584"/>
        <c:axId val="904663784"/>
      </c:lineChart>
      <c:catAx>
        <c:axId val="1598867992"/>
        <c:scaling>
          <c:orientation val="minMax"/>
        </c:scaling>
        <c:delete val="0"/>
        <c:axPos val="b"/>
        <c:numFmt formatCode="General" sourceLinked="1"/>
        <c:majorTickMark val="none"/>
        <c:minorTickMark val="none"/>
        <c:tickLblPos val="nextTo"/>
        <c:spPr>
          <a:noFill/>
          <a:ln w="12700" cap="flat" cmpd="sng" algn="ctr">
            <a:solidFill>
              <a:srgbClr val="E5E7EB"/>
            </a:solidFill>
            <a:prstDash val="solid"/>
            <a:round/>
          </a:ln>
          <a:effectLst/>
        </c:spPr>
        <c:txPr>
          <a:bodyPr rot="0" spcFirstLastPara="1" vertOverflow="ellipsis" wrap="square" anchor="ctr" anchorCtr="1"/>
          <a:lstStyle/>
          <a:p>
            <a:pPr>
              <a:defRPr sz="900" b="0" i="0" u="none" strike="noStrike" kern="1200" baseline="0">
                <a:solidFill>
                  <a:srgbClr val="6B7280"/>
                </a:solidFill>
                <a:latin typeface="Calibri"/>
                <a:ea typeface="Calibri"/>
                <a:cs typeface="Calibri"/>
              </a:defRPr>
            </a:pPr>
            <a:endParaRPr lang="en-US"/>
          </a:p>
        </c:txPr>
        <c:crossAx val="1598866552"/>
        <c:crosses val="autoZero"/>
        <c:auto val="1"/>
        <c:lblAlgn val="ctr"/>
        <c:lblOffset val="100"/>
        <c:noMultiLvlLbl val="0"/>
      </c:catAx>
      <c:valAx>
        <c:axId val="1598866552"/>
        <c:scaling>
          <c:orientation val="minMax"/>
        </c:scaling>
        <c:delete val="0"/>
        <c:axPos val="l"/>
        <c:majorGridlines>
          <c:spPr>
            <a:ln w="9525" cap="flat" cmpd="sng" algn="ctr">
              <a:solidFill>
                <a:srgbClr val="F3F4F6"/>
              </a:solidFill>
              <a:prstDash val="solid"/>
              <a:round/>
            </a:ln>
            <a:effectLst/>
          </c:spPr>
        </c:majorGridlines>
        <c:numFmt formatCode="#,##0" sourceLinked="1"/>
        <c:majorTickMark val="none"/>
        <c:minorTickMark val="none"/>
        <c:tickLblPos val="nextTo"/>
        <c:spPr>
          <a:noFill/>
          <a:ln>
            <a:solidFill>
              <a:srgbClr val="E5E7EB"/>
            </a:solidFill>
            <a:prstDash val="solid"/>
          </a:ln>
          <a:effectLst/>
        </c:spPr>
        <c:txPr>
          <a:bodyPr rot="-60000000" spcFirstLastPara="1" vertOverflow="ellipsis" vert="horz" wrap="square" anchor="ctr" anchorCtr="1"/>
          <a:lstStyle/>
          <a:p>
            <a:pPr>
              <a:defRPr sz="900" b="0" i="0" u="none" strike="noStrike" kern="1200" baseline="0">
                <a:solidFill>
                  <a:srgbClr val="6B7280"/>
                </a:solidFill>
                <a:latin typeface="Calibri"/>
                <a:ea typeface="Calibri"/>
                <a:cs typeface="Calibri"/>
              </a:defRPr>
            </a:pPr>
            <a:endParaRPr lang="en-US"/>
          </a:p>
        </c:txPr>
        <c:crossAx val="1598867992"/>
        <c:crosses val="autoZero"/>
        <c:crossBetween val="between"/>
      </c:valAx>
      <c:valAx>
        <c:axId val="904663784"/>
        <c:scaling>
          <c:orientation val="minMax"/>
        </c:scaling>
        <c:delete val="0"/>
        <c:axPos val="r"/>
        <c:numFmt formatCode="\€#,##0" sourceLinked="1"/>
        <c:majorTickMark val="out"/>
        <c:minorTickMark val="none"/>
        <c:tickLblPos val="nextTo"/>
        <c:spPr>
          <a:noFill/>
          <a:ln>
            <a:solidFill>
              <a:srgbClr val="10B981"/>
            </a:solidFill>
            <a:prstDash val="solid"/>
          </a:ln>
          <a:effectLst/>
        </c:spPr>
        <c:txPr>
          <a:bodyPr rot="-60000000" spcFirstLastPara="1" vertOverflow="ellipsis" vert="horz" wrap="square" anchor="ctr" anchorCtr="1"/>
          <a:lstStyle/>
          <a:p>
            <a:pPr>
              <a:defRPr sz="900" b="1" i="0" u="none" strike="noStrike" kern="1200" baseline="0">
                <a:solidFill>
                  <a:srgbClr val="10B981"/>
                </a:solidFill>
                <a:latin typeface="Calibri"/>
                <a:ea typeface="Calibri"/>
                <a:cs typeface="Calibri"/>
              </a:defRPr>
            </a:pPr>
            <a:endParaRPr lang="en-US"/>
          </a:p>
        </c:txPr>
        <c:crossAx val="904665584"/>
        <c:crosses val="max"/>
        <c:crossBetween val="between"/>
      </c:valAx>
      <c:catAx>
        <c:axId val="904665584"/>
        <c:scaling>
          <c:orientation val="minMax"/>
        </c:scaling>
        <c:delete val="1"/>
        <c:axPos val="b"/>
        <c:numFmt formatCode="General" sourceLinked="1"/>
        <c:majorTickMark val="out"/>
        <c:minorTickMark val="none"/>
        <c:tickLblPos val="nextTo"/>
        <c:crossAx val="904663784"/>
        <c:crosses val="autoZero"/>
        <c:auto val="1"/>
        <c:lblAlgn val="ctr"/>
        <c:lblOffset val="100"/>
        <c:noMultiLvlLbl val="0"/>
      </c:cat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6B7280"/>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a:solidFill>
        <a:srgbClr val="E5E7EB"/>
      </a:solidFill>
      <a:prstDash val="soli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100" baseline="0">
                <a:solidFill>
                  <a:srgbClr val="1B2A4A"/>
                </a:solidFill>
                <a:effectLst>
                  <a:outerShdw blurRad="50800" dist="38100" dir="5400000" algn="t" rotWithShape="0">
                    <a:prstClr val="black">
                      <a:alpha val="40000"/>
                    </a:prstClr>
                  </a:outerShdw>
                </a:effectLst>
                <a:latin typeface="Calibri"/>
                <a:ea typeface="Calibri"/>
                <a:cs typeface="Calibri"/>
              </a:defRPr>
            </a:pPr>
            <a:r>
              <a:rPr lang="en-US"/>
              <a:t>Net Revenue &amp; Fees by Provider</a:t>
            </a:r>
          </a:p>
        </c:rich>
      </c:tx>
      <c:overlay val="0"/>
      <c:spPr>
        <a:noFill/>
        <a:ln w="25400">
          <a:noFill/>
        </a:ln>
        <a:effectLst/>
      </c:spPr>
      <c:txPr>
        <a:bodyPr rot="0" spcFirstLastPara="1" vertOverflow="ellipsis" vert="horz" wrap="square" anchor="ctr" anchorCtr="1"/>
        <a:lstStyle/>
        <a:p>
          <a:pPr>
            <a:defRPr sz="1100" b="1" i="0" u="none" strike="noStrike" kern="1200" spc="100" baseline="0">
              <a:solidFill>
                <a:srgbClr val="1B2A4A"/>
              </a:solidFill>
              <a:effectLst>
                <a:outerShdw blurRad="50800" dist="38100" dir="5400000" algn="t" rotWithShape="0">
                  <a:prstClr val="black">
                    <a:alpha val="40000"/>
                  </a:prstClr>
                </a:outerShdw>
              </a:effectLst>
              <a:latin typeface="Calibri"/>
              <a:ea typeface="Calibri"/>
              <a:cs typeface="Calibri"/>
            </a:defRPr>
          </a:pPr>
          <a:endParaRPr lang="en-US"/>
        </a:p>
      </c:txPr>
    </c:title>
    <c:autoTitleDeleted val="0"/>
    <c:plotArea>
      <c:layout/>
      <c:barChart>
        <c:barDir val="col"/>
        <c:grouping val="clustered"/>
        <c:varyColors val="0"/>
        <c:ser>
          <c:idx val="2"/>
          <c:order val="0"/>
          <c:tx>
            <c:strRef>
              <c:f>Dashboards!$E$16</c:f>
              <c:strCache>
                <c:ptCount val="1"/>
                <c:pt idx="0">
                  <c:v>Net Revenue</c:v>
                </c:pt>
              </c:strCache>
            </c:strRef>
          </c:tx>
          <c:spPr>
            <a:solidFill>
              <a:srgbClr val="10B981"/>
            </a:solidFill>
            <a:ln>
              <a:solidFill>
                <a:srgbClr val="10B981"/>
              </a:solidFill>
              <a:prstDash val="solid"/>
            </a:ln>
            <a:effectLst>
              <a:outerShdw blurRad="57150" dist="19050" dir="5400000" algn="ctr" rotWithShape="0">
                <a:srgbClr val="000000">
                  <a:alpha val="63000"/>
                </a:srgbClr>
              </a:outerShdw>
            </a:effectLst>
          </c:spPr>
          <c:invertIfNegative val="0"/>
          <c:cat>
            <c:strRef>
              <c:f>Dashboards!$B$17:$B$21</c:f>
              <c:strCache>
                <c:ptCount val="5"/>
                <c:pt idx="0">
                  <c:v>Checkout.com</c:v>
                </c:pt>
                <c:pt idx="1">
                  <c:v>PaySafe</c:v>
                </c:pt>
                <c:pt idx="2">
                  <c:v>Worldpay</c:v>
                </c:pt>
                <c:pt idx="3">
                  <c:v>Adyen</c:v>
                </c:pt>
                <c:pt idx="4">
                  <c:v>Stripe</c:v>
                </c:pt>
              </c:strCache>
            </c:strRef>
          </c:cat>
          <c:val>
            <c:numRef>
              <c:f>Dashboards!$E$17:$E$21</c:f>
              <c:numCache>
                <c:formatCode>\€#,##0</c:formatCode>
                <c:ptCount val="5"/>
                <c:pt idx="0">
                  <c:v>249324.19283599997</c:v>
                </c:pt>
                <c:pt idx="1">
                  <c:v>215751.89722800002</c:v>
                </c:pt>
                <c:pt idx="2">
                  <c:v>173586.53503600002</c:v>
                </c:pt>
                <c:pt idx="3">
                  <c:v>193122.17669200004</c:v>
                </c:pt>
                <c:pt idx="4">
                  <c:v>192606.4881450001</c:v>
                </c:pt>
              </c:numCache>
            </c:numRef>
          </c:val>
          <c:extLst>
            <c:ext xmlns:c16="http://schemas.microsoft.com/office/drawing/2014/chart" uri="{C3380CC4-5D6E-409C-BE32-E72D297353CC}">
              <c16:uniqueId val="{00000002-867F-4641-B89D-13F8B30A28C8}"/>
            </c:ext>
          </c:extLst>
        </c:ser>
        <c:dLbls>
          <c:showLegendKey val="0"/>
          <c:showVal val="0"/>
          <c:showCatName val="0"/>
          <c:showSerName val="0"/>
          <c:showPercent val="0"/>
          <c:showBubbleSize val="0"/>
        </c:dLbls>
        <c:gapWidth val="182"/>
        <c:axId val="1606593416"/>
        <c:axId val="1606595216"/>
      </c:barChart>
      <c:lineChart>
        <c:grouping val="stacked"/>
        <c:varyColors val="0"/>
        <c:ser>
          <c:idx val="3"/>
          <c:order val="1"/>
          <c:tx>
            <c:strRef>
              <c:f>Dashboards!$F$16</c:f>
              <c:strCache>
                <c:ptCount val="1"/>
                <c:pt idx="0">
                  <c:v>Fees Paid</c:v>
                </c:pt>
              </c:strCache>
            </c:strRef>
          </c:tx>
          <c:spPr>
            <a:ln w="34925" cap="rnd">
              <a:solidFill>
                <a:srgbClr val="EF4444"/>
              </a:solidFill>
              <a:prstDash val="solid"/>
              <a:round/>
            </a:ln>
            <a:effectLst>
              <a:outerShdw blurRad="57150" dist="19050" dir="5400000" algn="ctr" rotWithShape="0">
                <a:srgbClr val="000000">
                  <a:alpha val="63000"/>
                </a:srgbClr>
              </a:outerShdw>
            </a:effectLst>
          </c:spPr>
          <c:marker>
            <c:symbol val="circle"/>
            <c:size val="5"/>
            <c:spPr>
              <a:solidFill>
                <a:srgbClr val="FFFFFF"/>
              </a:solidFill>
              <a:ln w="9525">
                <a:solidFill>
                  <a:srgbClr val="EF4444"/>
                </a:solidFill>
                <a:prstDash val="solid"/>
                <a:round/>
              </a:ln>
              <a:effectLst>
                <a:outerShdw blurRad="57150" dist="19050" dir="5400000" algn="ctr" rotWithShape="0">
                  <a:srgbClr val="000000">
                    <a:alpha val="63000"/>
                  </a:srgbClr>
                </a:outerShdw>
              </a:effectLst>
            </c:spPr>
          </c:marker>
          <c:dPt>
            <c:idx val="0"/>
            <c:marker>
              <c:symbol val="circle"/>
              <c:size val="5"/>
              <c:spPr>
                <a:solidFill>
                  <a:srgbClr val="FFFFFF"/>
                </a:solidFill>
                <a:ln w="9525">
                  <a:solidFill>
                    <a:srgbClr val="EF4444"/>
                  </a:solidFill>
                  <a:prstDash val="solid"/>
                  <a:round/>
                </a:ln>
                <a:effectLst>
                  <a:outerShdw blurRad="57150" dist="19050" dir="5400000" algn="ctr" rotWithShape="0">
                    <a:srgbClr val="000000">
                      <a:alpha val="63000"/>
                    </a:srgbClr>
                  </a:outerShdw>
                </a:effectLst>
              </c:spPr>
            </c:marker>
            <c:bubble3D val="0"/>
            <c:spPr>
              <a:ln w="34925" cap="rnd">
                <a:solidFill>
                  <a:srgbClr val="EF4444"/>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FB-4064-8596-22D080C4A9FC}"/>
              </c:ext>
            </c:extLst>
          </c:dPt>
          <c:dPt>
            <c:idx val="1"/>
            <c:marker>
              <c:symbol val="circle"/>
              <c:size val="5"/>
              <c:spPr>
                <a:solidFill>
                  <a:srgbClr val="FFFFFF"/>
                </a:solidFill>
                <a:ln w="9525">
                  <a:solidFill>
                    <a:srgbClr val="EF4444"/>
                  </a:solidFill>
                  <a:prstDash val="solid"/>
                  <a:round/>
                </a:ln>
                <a:effectLst>
                  <a:outerShdw blurRad="57150" dist="19050" dir="5400000" algn="ctr" rotWithShape="0">
                    <a:srgbClr val="000000">
                      <a:alpha val="63000"/>
                    </a:srgbClr>
                  </a:outerShdw>
                </a:effectLst>
              </c:spPr>
            </c:marker>
            <c:bubble3D val="0"/>
            <c:spPr>
              <a:ln w="34925" cap="rnd">
                <a:solidFill>
                  <a:srgbClr val="EF4444"/>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C3FB-4064-8596-22D080C4A9FC}"/>
              </c:ext>
            </c:extLst>
          </c:dPt>
          <c:dPt>
            <c:idx val="2"/>
            <c:marker>
              <c:symbol val="circle"/>
              <c:size val="5"/>
              <c:spPr>
                <a:solidFill>
                  <a:srgbClr val="FFFFFF"/>
                </a:solidFill>
                <a:ln w="9525">
                  <a:solidFill>
                    <a:srgbClr val="EF4444"/>
                  </a:solidFill>
                  <a:prstDash val="solid"/>
                  <a:round/>
                </a:ln>
                <a:effectLst>
                  <a:outerShdw blurRad="57150" dist="19050" dir="5400000" algn="ctr" rotWithShape="0">
                    <a:srgbClr val="000000">
                      <a:alpha val="63000"/>
                    </a:srgbClr>
                  </a:outerShdw>
                </a:effectLst>
              </c:spPr>
            </c:marker>
            <c:bubble3D val="0"/>
            <c:spPr>
              <a:ln w="34925" cap="rnd">
                <a:solidFill>
                  <a:srgbClr val="EF4444"/>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3FB-4064-8596-22D080C4A9FC}"/>
              </c:ext>
            </c:extLst>
          </c:dPt>
          <c:dPt>
            <c:idx val="3"/>
            <c:marker>
              <c:symbol val="circle"/>
              <c:size val="5"/>
              <c:spPr>
                <a:solidFill>
                  <a:srgbClr val="FFFFFF"/>
                </a:solidFill>
                <a:ln w="9525">
                  <a:solidFill>
                    <a:srgbClr val="EF4444"/>
                  </a:solidFill>
                  <a:prstDash val="solid"/>
                  <a:round/>
                </a:ln>
                <a:effectLst>
                  <a:outerShdw blurRad="57150" dist="19050" dir="5400000" algn="ctr" rotWithShape="0">
                    <a:srgbClr val="000000">
                      <a:alpha val="63000"/>
                    </a:srgbClr>
                  </a:outerShdw>
                </a:effectLst>
              </c:spPr>
            </c:marker>
            <c:bubble3D val="0"/>
            <c:spPr>
              <a:ln w="34925" cap="rnd">
                <a:solidFill>
                  <a:srgbClr val="EF4444"/>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C3FB-4064-8596-22D080C4A9FC}"/>
              </c:ext>
            </c:extLst>
          </c:dPt>
          <c:dPt>
            <c:idx val="4"/>
            <c:marker>
              <c:symbol val="circle"/>
              <c:size val="5"/>
              <c:spPr>
                <a:solidFill>
                  <a:srgbClr val="FFFFFF"/>
                </a:solidFill>
                <a:ln w="9525">
                  <a:solidFill>
                    <a:srgbClr val="EF4444"/>
                  </a:solidFill>
                  <a:prstDash val="solid"/>
                  <a:round/>
                </a:ln>
                <a:effectLst>
                  <a:outerShdw blurRad="57150" dist="19050" dir="5400000" algn="ctr" rotWithShape="0">
                    <a:srgbClr val="000000">
                      <a:alpha val="63000"/>
                    </a:srgbClr>
                  </a:outerShdw>
                </a:effectLst>
              </c:spPr>
            </c:marker>
            <c:bubble3D val="0"/>
            <c:spPr>
              <a:ln w="34925" cap="rnd">
                <a:solidFill>
                  <a:srgbClr val="EF4444"/>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3FB-4064-8596-22D080C4A9FC}"/>
              </c:ext>
            </c:extLst>
          </c:dPt>
          <c:cat>
            <c:strRef>
              <c:f>Dashboards!$B$17:$B$21</c:f>
              <c:strCache>
                <c:ptCount val="5"/>
                <c:pt idx="0">
                  <c:v>Checkout.com</c:v>
                </c:pt>
                <c:pt idx="1">
                  <c:v>PaySafe</c:v>
                </c:pt>
                <c:pt idx="2">
                  <c:v>Worldpay</c:v>
                </c:pt>
                <c:pt idx="3">
                  <c:v>Adyen</c:v>
                </c:pt>
                <c:pt idx="4">
                  <c:v>Stripe</c:v>
                </c:pt>
              </c:strCache>
            </c:strRef>
          </c:cat>
          <c:val>
            <c:numRef>
              <c:f>Dashboards!$F$17:$F$21</c:f>
              <c:numCache>
                <c:formatCode>\€#,##0</c:formatCode>
                <c:ptCount val="5"/>
                <c:pt idx="0">
                  <c:v>4828.8748220000016</c:v>
                </c:pt>
                <c:pt idx="1">
                  <c:v>7132.3015459999997</c:v>
                </c:pt>
                <c:pt idx="2">
                  <c:v>4450.9076060000007</c:v>
                </c:pt>
                <c:pt idx="3">
                  <c:v>4142.5883539999995</c:v>
                </c:pt>
                <c:pt idx="4">
                  <c:v>5752.3726080000024</c:v>
                </c:pt>
              </c:numCache>
            </c:numRef>
          </c:val>
          <c:smooth val="0"/>
          <c:extLst>
            <c:ext xmlns:c16="http://schemas.microsoft.com/office/drawing/2014/chart" uri="{C3380CC4-5D6E-409C-BE32-E72D297353CC}">
              <c16:uniqueId val="{00000003-867F-4641-B89D-13F8B30A28C8}"/>
            </c:ext>
          </c:extLst>
        </c:ser>
        <c:dLbls>
          <c:showLegendKey val="0"/>
          <c:showVal val="0"/>
          <c:showCatName val="0"/>
          <c:showSerName val="0"/>
          <c:showPercent val="0"/>
          <c:showBubbleSize val="0"/>
        </c:dLbls>
        <c:marker val="1"/>
        <c:smooth val="0"/>
        <c:axId val="1210572448"/>
        <c:axId val="1210569208"/>
      </c:lineChart>
      <c:valAx>
        <c:axId val="1606595216"/>
        <c:scaling>
          <c:orientation val="minMax"/>
        </c:scaling>
        <c:delete val="0"/>
        <c:axPos val="l"/>
        <c:majorGridlines>
          <c:spPr>
            <a:ln w="9525" cap="flat" cmpd="sng" algn="ctr">
              <a:solidFill>
                <a:srgbClr val="F3F4F6"/>
              </a:solidFill>
              <a:prstDash val="solid"/>
              <a:round/>
            </a:ln>
            <a:effectLst/>
          </c:spPr>
        </c:majorGridlines>
        <c:numFmt formatCode="\€#,##0" sourceLinked="1"/>
        <c:majorTickMark val="out"/>
        <c:minorTickMark val="none"/>
        <c:tickLblPos val="nextTo"/>
        <c:spPr>
          <a:noFill/>
          <a:ln>
            <a:solidFill>
              <a:srgbClr val="E5E7EB"/>
            </a:solidFill>
            <a:prstDash val="solid"/>
          </a:ln>
          <a:effectLst/>
        </c:spPr>
        <c:txPr>
          <a:bodyPr rot="-60000000" spcFirstLastPara="1" vertOverflow="ellipsis" vert="horz" wrap="square" anchor="ctr" anchorCtr="1"/>
          <a:lstStyle/>
          <a:p>
            <a:pPr>
              <a:defRPr sz="900" b="0" i="0" u="none" strike="noStrike" kern="1200" baseline="0">
                <a:solidFill>
                  <a:srgbClr val="6B7280"/>
                </a:solidFill>
                <a:latin typeface="Calibri"/>
                <a:ea typeface="Calibri"/>
                <a:cs typeface="Calibri"/>
              </a:defRPr>
            </a:pPr>
            <a:endParaRPr lang="en-US"/>
          </a:p>
        </c:txPr>
        <c:crossAx val="1606593416"/>
        <c:crosses val="autoZero"/>
        <c:crossBetween val="between"/>
      </c:valAx>
      <c:catAx>
        <c:axId val="1606593416"/>
        <c:scaling>
          <c:orientation val="minMax"/>
        </c:scaling>
        <c:delete val="0"/>
        <c:axPos val="b"/>
        <c:numFmt formatCode="General" sourceLinked="1"/>
        <c:majorTickMark val="out"/>
        <c:minorTickMark val="none"/>
        <c:tickLblPos val="nextTo"/>
        <c:spPr>
          <a:noFill/>
          <a:ln w="12700" cap="flat" cmpd="sng" algn="ctr">
            <a:solidFill>
              <a:srgbClr val="E5E7EB"/>
            </a:solidFill>
            <a:prstDash val="solid"/>
            <a:round/>
          </a:ln>
          <a:effectLst/>
        </c:spPr>
        <c:txPr>
          <a:bodyPr rot="0" spcFirstLastPara="1" vertOverflow="ellipsis" wrap="square" anchor="ctr" anchorCtr="1"/>
          <a:lstStyle/>
          <a:p>
            <a:pPr>
              <a:defRPr sz="900" b="0" i="0" u="none" strike="noStrike" kern="1200" baseline="0">
                <a:solidFill>
                  <a:srgbClr val="6B7280"/>
                </a:solidFill>
                <a:latin typeface="Calibri"/>
                <a:ea typeface="Calibri"/>
                <a:cs typeface="Calibri"/>
              </a:defRPr>
            </a:pPr>
            <a:endParaRPr lang="en-US"/>
          </a:p>
        </c:txPr>
        <c:crossAx val="1606595216"/>
        <c:crosses val="autoZero"/>
        <c:auto val="1"/>
        <c:lblAlgn val="ctr"/>
        <c:lblOffset val="100"/>
        <c:noMultiLvlLbl val="0"/>
      </c:catAx>
      <c:valAx>
        <c:axId val="1210569208"/>
        <c:scaling>
          <c:orientation val="minMax"/>
        </c:scaling>
        <c:delete val="0"/>
        <c:axPos val="r"/>
        <c:numFmt formatCode="\€#,##0" sourceLinked="1"/>
        <c:majorTickMark val="out"/>
        <c:minorTickMark val="none"/>
        <c:tickLblPos val="nextTo"/>
        <c:spPr>
          <a:noFill/>
          <a:ln>
            <a:solidFill>
              <a:srgbClr val="EF4444"/>
            </a:solidFill>
            <a:prstDash val="solid"/>
          </a:ln>
          <a:effectLst/>
        </c:spPr>
        <c:txPr>
          <a:bodyPr rot="-60000000" spcFirstLastPara="1" vertOverflow="ellipsis" vert="horz" wrap="square" anchor="ctr" anchorCtr="1"/>
          <a:lstStyle/>
          <a:p>
            <a:pPr>
              <a:defRPr sz="900" b="1" i="0" u="none" strike="noStrike" kern="1200" baseline="0">
                <a:solidFill>
                  <a:srgbClr val="EF4444"/>
                </a:solidFill>
                <a:latin typeface="Calibri"/>
                <a:ea typeface="Calibri"/>
                <a:cs typeface="Calibri"/>
              </a:defRPr>
            </a:pPr>
            <a:endParaRPr lang="en-US"/>
          </a:p>
        </c:txPr>
        <c:crossAx val="1210572448"/>
        <c:crosses val="max"/>
        <c:crossBetween val="between"/>
      </c:valAx>
      <c:catAx>
        <c:axId val="1210572448"/>
        <c:scaling>
          <c:orientation val="minMax"/>
        </c:scaling>
        <c:delete val="1"/>
        <c:axPos val="t"/>
        <c:numFmt formatCode="General" sourceLinked="1"/>
        <c:majorTickMark val="out"/>
        <c:minorTickMark val="none"/>
        <c:tickLblPos val="nextTo"/>
        <c:crossAx val="1210569208"/>
        <c:crosses val="max"/>
        <c:auto val="1"/>
        <c:lblAlgn val="ctr"/>
        <c:lblOffset val="100"/>
        <c:noMultiLvlLbl val="0"/>
      </c:cat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6B7280"/>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a:solidFill>
        <a:srgbClr val="E5E7EB"/>
      </a:solidFill>
      <a:prstDash val="soli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baseline="0">
                <a:solidFill>
                  <a:srgbClr val="1B2A4A"/>
                </a:solidFill>
                <a:latin typeface="Calibri"/>
                <a:ea typeface="Calibri"/>
                <a:cs typeface="Calibri"/>
              </a:defRPr>
            </a:pPr>
            <a:r>
              <a:rPr lang="en-US"/>
              <a:t>Transaction Status</a:t>
            </a:r>
          </a:p>
        </c:rich>
      </c:tx>
      <c:overlay val="0"/>
      <c:spPr>
        <a:noFill/>
        <a:ln w="25400">
          <a:noFill/>
        </a:ln>
        <a:effectLst/>
      </c:spPr>
      <c:txPr>
        <a:bodyPr rot="0" spcFirstLastPara="1" vertOverflow="ellipsis" vert="horz" wrap="square" anchor="ctr" anchorCtr="1"/>
        <a:lstStyle/>
        <a:p>
          <a:pPr>
            <a:defRPr sz="1100" b="1" i="0" u="none" strike="noStrike" kern="1200" baseline="0">
              <a:solidFill>
                <a:srgbClr val="1B2A4A"/>
              </a:solidFill>
              <a:latin typeface="Calibri"/>
              <a:ea typeface="Calibri"/>
              <a:cs typeface="Calibri"/>
            </a:defRPr>
          </a:pPr>
          <a:endParaRPr lang="en-US"/>
        </a:p>
      </c:txPr>
    </c:title>
    <c:autoTitleDeleted val="0"/>
    <c:plotArea>
      <c:layout/>
      <c:doughnutChart>
        <c:varyColors val="1"/>
        <c:ser>
          <c:idx val="0"/>
          <c:order val="0"/>
          <c:tx>
            <c:strRef>
              <c:f>Dashboards!$C$9</c:f>
              <c:strCache>
                <c:ptCount val="1"/>
                <c:pt idx="0">
                  <c:v>Count</c:v>
                </c:pt>
              </c:strCache>
            </c:strRef>
          </c:tx>
          <c:spPr>
            <a:solidFill>
              <a:srgbClr val="10B981"/>
            </a:solidFill>
            <a:ln>
              <a:noFill/>
              <a:prstDash val="solid"/>
            </a:ln>
          </c:spPr>
          <c:dPt>
            <c:idx val="0"/>
            <c:bubble3D val="0"/>
            <c:spPr>
              <a:solidFill>
                <a:srgbClr val="10B981"/>
              </a:solidFill>
              <a:ln>
                <a:noFill/>
                <a:prstDash val="solid"/>
              </a:ln>
              <a:effectLst>
                <a:outerShdw blurRad="254000" sx="102000" sy="102000" algn="ctr" rotWithShape="0">
                  <a:prstClr val="black">
                    <a:alpha val="20000"/>
                  </a:prstClr>
                </a:outerShdw>
              </a:effectLst>
            </c:spPr>
            <c:extLst>
              <c:ext xmlns:c16="http://schemas.microsoft.com/office/drawing/2014/chart" uri="{C3380CC4-5D6E-409C-BE32-E72D297353CC}">
                <c16:uniqueId val="{00000001-3051-48C8-8670-CC9E35BF105F}"/>
              </c:ext>
            </c:extLst>
          </c:dPt>
          <c:dPt>
            <c:idx val="1"/>
            <c:bubble3D val="0"/>
            <c:spPr>
              <a:solidFill>
                <a:srgbClr val="F59E0B"/>
              </a:solidFill>
              <a:ln>
                <a:noFill/>
                <a:prstDash val="solid"/>
              </a:ln>
              <a:effectLst>
                <a:outerShdw blurRad="254000" sx="102000" sy="102000" algn="ctr" rotWithShape="0">
                  <a:prstClr val="black">
                    <a:alpha val="20000"/>
                  </a:prstClr>
                </a:outerShdw>
              </a:effectLst>
            </c:spPr>
            <c:extLst>
              <c:ext xmlns:c16="http://schemas.microsoft.com/office/drawing/2014/chart" uri="{C3380CC4-5D6E-409C-BE32-E72D297353CC}">
                <c16:uniqueId val="{00000003-3051-48C8-8670-CC9E35BF105F}"/>
              </c:ext>
            </c:extLst>
          </c:dPt>
          <c:dPt>
            <c:idx val="2"/>
            <c:bubble3D val="0"/>
            <c:spPr>
              <a:solidFill>
                <a:srgbClr val="EF4444"/>
              </a:solidFill>
              <a:ln>
                <a:noFill/>
                <a:prstDash val="solid"/>
              </a:ln>
              <a:effectLst>
                <a:outerShdw blurRad="254000" sx="102000" sy="102000" algn="ctr" rotWithShape="0">
                  <a:prstClr val="black">
                    <a:alpha val="20000"/>
                  </a:prstClr>
                </a:outerShdw>
              </a:effectLst>
            </c:spPr>
            <c:extLst>
              <c:ext xmlns:c16="http://schemas.microsoft.com/office/drawing/2014/chart" uri="{C3380CC4-5D6E-409C-BE32-E72D297353CC}">
                <c16:uniqueId val="{00000005-3051-48C8-8670-CC9E35BF105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Calibri"/>
                    <a:ea typeface="Calibri"/>
                    <a:cs typeface="Calibri"/>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Dashboards!$B$10:$B$12</c:f>
              <c:strCache>
                <c:ptCount val="3"/>
                <c:pt idx="0">
                  <c:v>✓  Success</c:v>
                </c:pt>
                <c:pt idx="1">
                  <c:v>⏳ Pending</c:v>
                </c:pt>
                <c:pt idx="2">
                  <c:v>✗  Failed</c:v>
                </c:pt>
              </c:strCache>
            </c:strRef>
          </c:cat>
          <c:val>
            <c:numRef>
              <c:f>Dashboards!$C$10:$C$12</c:f>
              <c:numCache>
                <c:formatCode>#,##0</c:formatCode>
                <c:ptCount val="3"/>
                <c:pt idx="0">
                  <c:v>554</c:v>
                </c:pt>
                <c:pt idx="1">
                  <c:v>228</c:v>
                </c:pt>
                <c:pt idx="2">
                  <c:v>218</c:v>
                </c:pt>
              </c:numCache>
            </c:numRef>
          </c:val>
          <c:extLst>
            <c:ext xmlns:c16="http://schemas.microsoft.com/office/drawing/2014/chart" uri="{C3380CC4-5D6E-409C-BE32-E72D297353CC}">
              <c16:uniqueId val="{00000000-6FE8-47C1-A2D7-B51626CE7E28}"/>
            </c:ext>
          </c:extLst>
        </c:ser>
        <c:dLbls>
          <c:showLegendKey val="0"/>
          <c:showVal val="0"/>
          <c:showCatName val="0"/>
          <c:showSerName val="0"/>
          <c:showPercent val="1"/>
          <c:showBubbleSize val="0"/>
          <c:showLeaderLines val="1"/>
        </c:dLbls>
        <c:firstSliceAng val="0"/>
        <c:holeSize val="50"/>
      </c:doughnutChart>
      <c:spPr>
        <a:solidFill>
          <a:srgbClr val="FFFFFF"/>
        </a:soli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rgbClr val="6B7280"/>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5E7EB"/>
      </a:solidFill>
      <a:prstDash val="solid"/>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baseline="0">
                <a:solidFill>
                  <a:srgbClr val="1B2A4A"/>
                </a:solidFill>
                <a:latin typeface="Calibri"/>
                <a:ea typeface="Calibri"/>
                <a:cs typeface="Calibri"/>
              </a:defRPr>
            </a:pPr>
            <a:r>
              <a:rPr lang="en-US"/>
              <a:t>Decline Reasons</a:t>
            </a:r>
          </a:p>
        </c:rich>
      </c:tx>
      <c:overlay val="0"/>
      <c:spPr>
        <a:noFill/>
        <a:ln w="25400">
          <a:noFill/>
        </a:ln>
        <a:effectLst/>
      </c:spPr>
      <c:txPr>
        <a:bodyPr rot="0" spcFirstLastPara="1" vertOverflow="ellipsis" vert="horz" wrap="square" anchor="ctr" anchorCtr="1"/>
        <a:lstStyle/>
        <a:p>
          <a:pPr>
            <a:defRPr sz="1100" b="1" i="0" u="none" strike="noStrike" kern="1200" baseline="0">
              <a:solidFill>
                <a:srgbClr val="1B2A4A"/>
              </a:solidFill>
              <a:latin typeface="Calibri"/>
              <a:ea typeface="Calibri"/>
              <a:cs typeface="Calibri"/>
            </a:defRPr>
          </a:pPr>
          <a:endParaRPr lang="en-US"/>
        </a:p>
      </c:txPr>
    </c:title>
    <c:autoTitleDeleted val="0"/>
    <c:plotArea>
      <c:layout/>
      <c:doughnutChart>
        <c:varyColors val="1"/>
        <c:ser>
          <c:idx val="0"/>
          <c:order val="0"/>
          <c:tx>
            <c:strRef>
              <c:f>Dashboards!$H$9</c:f>
              <c:strCache>
                <c:ptCount val="1"/>
                <c:pt idx="0">
                  <c:v>Count</c:v>
                </c:pt>
              </c:strCache>
            </c:strRef>
          </c:tx>
          <c:dPt>
            <c:idx val="0"/>
            <c:bubble3D val="0"/>
            <c:spPr>
              <a:solidFill>
                <a:srgbClr val="EF444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83F-4D30-BC8E-64DEF5FF6E7A}"/>
              </c:ext>
            </c:extLst>
          </c:dPt>
          <c:dPt>
            <c:idx val="1"/>
            <c:bubble3D val="0"/>
            <c:spPr>
              <a:solidFill>
                <a:srgbClr val="8B5CF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83F-4D30-BC8E-64DEF5FF6E7A}"/>
              </c:ext>
            </c:extLst>
          </c:dPt>
          <c:dPt>
            <c:idx val="2"/>
            <c:bubble3D val="0"/>
            <c:spPr>
              <a:solidFill>
                <a:srgbClr val="F59E0B"/>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83F-4D30-BC8E-64DEF5FF6E7A}"/>
              </c:ext>
            </c:extLst>
          </c:dPt>
          <c:dPt>
            <c:idx val="3"/>
            <c:bubble3D val="0"/>
            <c:spPr>
              <a:solidFill>
                <a:srgbClr val="10B98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83F-4D30-BC8E-64DEF5FF6E7A}"/>
              </c:ext>
            </c:extLst>
          </c:dPt>
          <c:dPt>
            <c:idx val="4"/>
            <c:bubble3D val="0"/>
            <c:spPr>
              <a:solidFill>
                <a:srgbClr val="2E86AB"/>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083F-4D30-BC8E-64DEF5FF6E7A}"/>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FF"/>
                    </a:solidFill>
                    <a:latin typeface="Calibri"/>
                    <a:ea typeface="Calibri"/>
                    <a:cs typeface="Calibri"/>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Dashboards!$G$10:$G$14</c:f>
              <c:strCache>
                <c:ptCount val="5"/>
                <c:pt idx="0">
                  <c:v>Fraud Suspected</c:v>
                </c:pt>
                <c:pt idx="1">
                  <c:v>Card Declined</c:v>
                </c:pt>
                <c:pt idx="2">
                  <c:v>Technical Error</c:v>
                </c:pt>
                <c:pt idx="3">
                  <c:v>Expired Card</c:v>
                </c:pt>
                <c:pt idx="4">
                  <c:v>Insufficient Funds</c:v>
                </c:pt>
              </c:strCache>
            </c:strRef>
          </c:cat>
          <c:val>
            <c:numRef>
              <c:f>Dashboards!$H$10:$H$14</c:f>
              <c:numCache>
                <c:formatCode>#,##0</c:formatCode>
                <c:ptCount val="5"/>
                <c:pt idx="0">
                  <c:v>51</c:v>
                </c:pt>
                <c:pt idx="1">
                  <c:v>49</c:v>
                </c:pt>
                <c:pt idx="2">
                  <c:v>44</c:v>
                </c:pt>
                <c:pt idx="3">
                  <c:v>41</c:v>
                </c:pt>
                <c:pt idx="4">
                  <c:v>33</c:v>
                </c:pt>
              </c:numCache>
            </c:numRef>
          </c:val>
          <c:extLst>
            <c:ext xmlns:c16="http://schemas.microsoft.com/office/drawing/2014/chart" uri="{C3380CC4-5D6E-409C-BE32-E72D297353CC}">
              <c16:uniqueId val="{00000000-5F40-4020-B427-C2668E5DABD5}"/>
            </c:ext>
          </c:extLst>
        </c:ser>
        <c:dLbls>
          <c:showLegendKey val="0"/>
          <c:showVal val="0"/>
          <c:showCatName val="0"/>
          <c:showSerName val="0"/>
          <c:showPercent val="1"/>
          <c:showBubbleSize val="0"/>
          <c:showLeaderLines val="1"/>
        </c:dLbls>
        <c:firstSliceAng val="0"/>
        <c:holeSize val="50"/>
      </c:doughnutChart>
      <c:spPr>
        <a:solidFill>
          <a:srgbClr val="FFFFFF"/>
        </a:solid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1000" b="1" i="0" u="none" strike="noStrike" kern="1200" baseline="0">
              <a:solidFill>
                <a:srgbClr val="6B7280"/>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rgbClr val="E5E7EB"/>
      </a:solidFill>
      <a:prstDash val="solid"/>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100" baseline="0">
                <a:solidFill>
                  <a:srgbClr val="1B2A4A"/>
                </a:solidFill>
                <a:effectLst>
                  <a:outerShdw blurRad="50800" dist="38100" dir="5400000" algn="t" rotWithShape="0">
                    <a:prstClr val="black">
                      <a:alpha val="40000"/>
                    </a:prstClr>
                  </a:outerShdw>
                </a:effectLst>
                <a:latin typeface="Calibri"/>
                <a:ea typeface="Calibri"/>
                <a:cs typeface="Calibri"/>
              </a:defRPr>
            </a:pPr>
            <a:r>
              <a:rPr lang="en-US"/>
              <a:t>Transactions &amp; Success Rate by Provider</a:t>
            </a:r>
          </a:p>
        </c:rich>
      </c:tx>
      <c:overlay val="0"/>
      <c:spPr>
        <a:noFill/>
        <a:ln w="25400">
          <a:noFill/>
        </a:ln>
        <a:effectLst/>
      </c:spPr>
      <c:txPr>
        <a:bodyPr rot="0" spcFirstLastPara="1" vertOverflow="ellipsis" vert="horz" wrap="square" anchor="ctr" anchorCtr="1"/>
        <a:lstStyle/>
        <a:p>
          <a:pPr>
            <a:defRPr sz="1100" b="1" i="0" u="none" strike="noStrike" kern="1200" spc="100" baseline="0">
              <a:solidFill>
                <a:srgbClr val="1B2A4A"/>
              </a:solidFill>
              <a:effectLst>
                <a:outerShdw blurRad="50800" dist="38100" dir="5400000" algn="t" rotWithShape="0">
                  <a:prstClr val="black">
                    <a:alpha val="40000"/>
                  </a:prstClr>
                </a:outerShdw>
              </a:effectLst>
              <a:latin typeface="Calibri"/>
              <a:ea typeface="Calibri"/>
              <a:cs typeface="Calibri"/>
            </a:defRPr>
          </a:pPr>
          <a:endParaRPr lang="en-US"/>
        </a:p>
      </c:txPr>
    </c:title>
    <c:autoTitleDeleted val="0"/>
    <c:plotArea>
      <c:layout/>
      <c:barChart>
        <c:barDir val="col"/>
        <c:grouping val="clustered"/>
        <c:varyColors val="0"/>
        <c:ser>
          <c:idx val="0"/>
          <c:order val="0"/>
          <c:tx>
            <c:strRef>
              <c:f>Dashboards!$C$16</c:f>
              <c:strCache>
                <c:ptCount val="1"/>
                <c:pt idx="0">
                  <c:v>Transactions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solidFill>
                <a:srgbClr val="2E86AB"/>
              </a:solidFill>
              <a:prstDash val="solid"/>
            </a:ln>
            <a:effectLst>
              <a:outerShdw blurRad="57150" dist="19050" dir="5400000" algn="ctr" rotWithShape="0">
                <a:srgbClr val="000000">
                  <a:alpha val="63000"/>
                </a:srgbClr>
              </a:outerShdw>
            </a:effectLst>
          </c:spPr>
          <c:invertIfNegative val="0"/>
          <c:dPt>
            <c:idx val="0"/>
            <c:invertIfNegative val="0"/>
            <c:bubble3D val="0"/>
            <c:spPr>
              <a:solidFill>
                <a:srgbClr val="2E86AB"/>
              </a:solidFill>
              <a:ln>
                <a:solidFill>
                  <a:srgbClr val="2E86AB"/>
                </a:solidFill>
                <a:prstDash val="soli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0-1E4B-49A9-82B2-57D0BD1B5262}"/>
              </c:ext>
            </c:extLst>
          </c:dPt>
          <c:dPt>
            <c:idx val="1"/>
            <c:invertIfNegative val="0"/>
            <c:bubble3D val="0"/>
            <c:spPr>
              <a:solidFill>
                <a:srgbClr val="2E86AB"/>
              </a:solidFill>
              <a:ln>
                <a:solidFill>
                  <a:srgbClr val="2E86AB"/>
                </a:solidFill>
                <a:prstDash val="soli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E4B-49A9-82B2-57D0BD1B5262}"/>
              </c:ext>
            </c:extLst>
          </c:dPt>
          <c:dPt>
            <c:idx val="2"/>
            <c:invertIfNegative val="0"/>
            <c:bubble3D val="0"/>
            <c:spPr>
              <a:solidFill>
                <a:srgbClr val="2E86AB"/>
              </a:solidFill>
              <a:ln>
                <a:solidFill>
                  <a:srgbClr val="2E86AB"/>
                </a:solidFill>
                <a:prstDash val="soli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1E4B-49A9-82B2-57D0BD1B5262}"/>
              </c:ext>
            </c:extLst>
          </c:dPt>
          <c:dPt>
            <c:idx val="3"/>
            <c:invertIfNegative val="0"/>
            <c:bubble3D val="0"/>
            <c:spPr>
              <a:solidFill>
                <a:srgbClr val="2E86AB"/>
              </a:solidFill>
              <a:ln>
                <a:solidFill>
                  <a:srgbClr val="2E86AB"/>
                </a:solidFill>
                <a:prstDash val="soli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E4B-49A9-82B2-57D0BD1B5262}"/>
              </c:ext>
            </c:extLst>
          </c:dPt>
          <c:dPt>
            <c:idx val="4"/>
            <c:invertIfNegative val="0"/>
            <c:bubble3D val="0"/>
            <c:spPr>
              <a:solidFill>
                <a:srgbClr val="2E86AB"/>
              </a:solidFill>
              <a:ln>
                <a:solidFill>
                  <a:srgbClr val="2E86AB"/>
                </a:solidFill>
                <a:prstDash val="soli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1E4B-49A9-82B2-57D0BD1B5262}"/>
              </c:ext>
            </c:extLst>
          </c:dPt>
          <c:cat>
            <c:strRef>
              <c:f>Dashboards!$B$17:$B$21</c:f>
              <c:strCache>
                <c:ptCount val="5"/>
                <c:pt idx="0">
                  <c:v>Checkout.com</c:v>
                </c:pt>
                <c:pt idx="1">
                  <c:v>PaySafe</c:v>
                </c:pt>
                <c:pt idx="2">
                  <c:v>Worldpay</c:v>
                </c:pt>
                <c:pt idx="3">
                  <c:v>Adyen</c:v>
                </c:pt>
                <c:pt idx="4">
                  <c:v>Stripe</c:v>
                </c:pt>
              </c:strCache>
            </c:strRef>
          </c:cat>
          <c:val>
            <c:numRef>
              <c:f>Dashboards!$C$17:$C$21</c:f>
              <c:numCache>
                <c:formatCode>#,##0</c:formatCode>
                <c:ptCount val="5"/>
                <c:pt idx="0">
                  <c:v>221</c:v>
                </c:pt>
                <c:pt idx="1">
                  <c:v>210</c:v>
                </c:pt>
                <c:pt idx="2">
                  <c:v>194</c:v>
                </c:pt>
                <c:pt idx="3">
                  <c:v>189</c:v>
                </c:pt>
                <c:pt idx="4">
                  <c:v>186</c:v>
                </c:pt>
              </c:numCache>
            </c:numRef>
          </c:val>
          <c:extLst>
            <c:ext xmlns:c16="http://schemas.microsoft.com/office/drawing/2014/chart" uri="{C3380CC4-5D6E-409C-BE32-E72D297353CC}">
              <c16:uniqueId val="{00000000-B9D2-4F68-8553-4DFE7BBC70F1}"/>
            </c:ext>
          </c:extLst>
        </c:ser>
        <c:dLbls>
          <c:showLegendKey val="0"/>
          <c:showVal val="0"/>
          <c:showCatName val="0"/>
          <c:showSerName val="0"/>
          <c:showPercent val="0"/>
          <c:showBubbleSize val="0"/>
        </c:dLbls>
        <c:gapWidth val="182"/>
        <c:axId val="1210267552"/>
        <c:axId val="1210265752"/>
      </c:barChart>
      <c:lineChart>
        <c:grouping val="stacked"/>
        <c:varyColors val="0"/>
        <c:ser>
          <c:idx val="1"/>
          <c:order val="1"/>
          <c:tx>
            <c:strRef>
              <c:f>Dashboards!$D$16</c:f>
              <c:strCache>
                <c:ptCount val="1"/>
                <c:pt idx="0">
                  <c:v>Success Rate</c:v>
                </c:pt>
              </c:strCache>
            </c:strRef>
          </c:tx>
          <c:spPr>
            <a:ln w="34925" cap="rnd">
              <a:solidFill>
                <a:srgbClr val="D75A0D"/>
              </a:solidFill>
              <a:prstDash val="solid"/>
              <a:round/>
            </a:ln>
            <a:effectLst>
              <a:outerShdw blurRad="57150" dist="19050" dir="5400000" algn="ctr" rotWithShape="0">
                <a:srgbClr val="000000">
                  <a:alpha val="63000"/>
                </a:srgbClr>
              </a:outerShdw>
            </a:effectLst>
          </c:spPr>
          <c:marker>
            <c:symbol val="circle"/>
            <c:size val="5"/>
            <c:spPr>
              <a:solidFill>
                <a:srgbClr val="FFFFFF"/>
              </a:solidFill>
              <a:ln w="9525">
                <a:solidFill>
                  <a:srgbClr val="D75A0D"/>
                </a:solidFill>
                <a:prstDash val="solid"/>
                <a:round/>
              </a:ln>
              <a:effectLst>
                <a:outerShdw blurRad="57150" dist="19050" dir="5400000" algn="ctr" rotWithShape="0">
                  <a:srgbClr val="000000">
                    <a:alpha val="63000"/>
                  </a:srgbClr>
                </a:outerShdw>
              </a:effectLst>
            </c:spPr>
          </c:marker>
          <c:dPt>
            <c:idx val="0"/>
            <c:marker>
              <c:symbol val="circle"/>
              <c:size val="5"/>
              <c:spPr>
                <a:solidFill>
                  <a:srgbClr val="FFFFFF"/>
                </a:solidFill>
                <a:ln w="9525">
                  <a:solidFill>
                    <a:srgbClr val="D75A0D"/>
                  </a:solidFill>
                  <a:prstDash val="solid"/>
                  <a:round/>
                </a:ln>
                <a:effectLst>
                  <a:outerShdw blurRad="57150" dist="19050" dir="5400000" algn="ctr" rotWithShape="0">
                    <a:srgbClr val="000000">
                      <a:alpha val="63000"/>
                    </a:srgbClr>
                  </a:outerShdw>
                </a:effectLst>
              </c:spPr>
            </c:marker>
            <c:bubble3D val="0"/>
            <c:spPr>
              <a:ln w="34925" cap="rnd">
                <a:solidFill>
                  <a:srgbClr val="D75A0D"/>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E4B-49A9-82B2-57D0BD1B5262}"/>
              </c:ext>
            </c:extLst>
          </c:dPt>
          <c:dPt>
            <c:idx val="1"/>
            <c:marker>
              <c:symbol val="circle"/>
              <c:size val="5"/>
              <c:spPr>
                <a:solidFill>
                  <a:srgbClr val="FFFFFF"/>
                </a:solidFill>
                <a:ln w="9525">
                  <a:solidFill>
                    <a:srgbClr val="D75A0D"/>
                  </a:solidFill>
                  <a:prstDash val="solid"/>
                  <a:round/>
                </a:ln>
                <a:effectLst>
                  <a:outerShdw blurRad="57150" dist="19050" dir="5400000" algn="ctr" rotWithShape="0">
                    <a:srgbClr val="000000">
                      <a:alpha val="63000"/>
                    </a:srgbClr>
                  </a:outerShdw>
                </a:effectLst>
              </c:spPr>
            </c:marker>
            <c:bubble3D val="0"/>
            <c:spPr>
              <a:ln w="34925" cap="rnd">
                <a:solidFill>
                  <a:srgbClr val="D75A0D"/>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1E4B-49A9-82B2-57D0BD1B5262}"/>
              </c:ext>
            </c:extLst>
          </c:dPt>
          <c:dPt>
            <c:idx val="2"/>
            <c:marker>
              <c:symbol val="circle"/>
              <c:size val="5"/>
              <c:spPr>
                <a:solidFill>
                  <a:srgbClr val="FFFFFF"/>
                </a:solidFill>
                <a:ln w="9525">
                  <a:solidFill>
                    <a:srgbClr val="D75A0D"/>
                  </a:solidFill>
                  <a:prstDash val="solid"/>
                  <a:round/>
                </a:ln>
                <a:effectLst>
                  <a:outerShdw blurRad="57150" dist="19050" dir="5400000" algn="ctr" rotWithShape="0">
                    <a:srgbClr val="000000">
                      <a:alpha val="63000"/>
                    </a:srgbClr>
                  </a:outerShdw>
                </a:effectLst>
              </c:spPr>
            </c:marker>
            <c:bubble3D val="0"/>
            <c:spPr>
              <a:ln w="34925" cap="rnd">
                <a:solidFill>
                  <a:srgbClr val="D75A0D"/>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E4B-49A9-82B2-57D0BD1B5262}"/>
              </c:ext>
            </c:extLst>
          </c:dPt>
          <c:dPt>
            <c:idx val="3"/>
            <c:marker>
              <c:symbol val="circle"/>
              <c:size val="5"/>
              <c:spPr>
                <a:solidFill>
                  <a:srgbClr val="FFFFFF"/>
                </a:solidFill>
                <a:ln w="9525">
                  <a:solidFill>
                    <a:srgbClr val="D75A0D"/>
                  </a:solidFill>
                  <a:prstDash val="solid"/>
                  <a:round/>
                </a:ln>
                <a:effectLst>
                  <a:outerShdw blurRad="57150" dist="19050" dir="5400000" algn="ctr" rotWithShape="0">
                    <a:srgbClr val="000000">
                      <a:alpha val="63000"/>
                    </a:srgbClr>
                  </a:outerShdw>
                </a:effectLst>
              </c:spPr>
            </c:marker>
            <c:bubble3D val="0"/>
            <c:spPr>
              <a:ln w="34925" cap="rnd">
                <a:solidFill>
                  <a:srgbClr val="D75A0D"/>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8-1E4B-49A9-82B2-57D0BD1B5262}"/>
              </c:ext>
            </c:extLst>
          </c:dPt>
          <c:dPt>
            <c:idx val="4"/>
            <c:marker>
              <c:symbol val="circle"/>
              <c:size val="5"/>
              <c:spPr>
                <a:solidFill>
                  <a:srgbClr val="FFFFFF"/>
                </a:solidFill>
                <a:ln w="9525">
                  <a:solidFill>
                    <a:srgbClr val="D75A0D"/>
                  </a:solidFill>
                  <a:prstDash val="solid"/>
                  <a:round/>
                </a:ln>
                <a:effectLst>
                  <a:outerShdw blurRad="57150" dist="19050" dir="5400000" algn="ctr" rotWithShape="0">
                    <a:srgbClr val="000000">
                      <a:alpha val="63000"/>
                    </a:srgbClr>
                  </a:outerShdw>
                </a:effectLst>
              </c:spPr>
            </c:marker>
            <c:bubble3D val="0"/>
            <c:spPr>
              <a:ln w="34925" cap="rnd">
                <a:solidFill>
                  <a:srgbClr val="D75A0D"/>
                </a:solidFill>
                <a:prstDash val="solid"/>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E4B-49A9-82B2-57D0BD1B5262}"/>
              </c:ext>
            </c:extLst>
          </c:dPt>
          <c:cat>
            <c:strRef>
              <c:f>Dashboards!$B$17:$B$21</c:f>
              <c:strCache>
                <c:ptCount val="5"/>
                <c:pt idx="0">
                  <c:v>Checkout.com</c:v>
                </c:pt>
                <c:pt idx="1">
                  <c:v>PaySafe</c:v>
                </c:pt>
                <c:pt idx="2">
                  <c:v>Worldpay</c:v>
                </c:pt>
                <c:pt idx="3">
                  <c:v>Adyen</c:v>
                </c:pt>
                <c:pt idx="4">
                  <c:v>Stripe</c:v>
                </c:pt>
              </c:strCache>
            </c:strRef>
          </c:cat>
          <c:val>
            <c:numRef>
              <c:f>Dashboards!$D$17:$D$21</c:f>
              <c:numCache>
                <c:formatCode>0.0%</c:formatCode>
                <c:ptCount val="5"/>
                <c:pt idx="0">
                  <c:v>0.58823529411764708</c:v>
                </c:pt>
                <c:pt idx="1">
                  <c:v>0.5714285714285714</c:v>
                </c:pt>
                <c:pt idx="2">
                  <c:v>0.54123711340206182</c:v>
                </c:pt>
                <c:pt idx="3">
                  <c:v>0.51851851851851849</c:v>
                </c:pt>
                <c:pt idx="4">
                  <c:v>0.543010752688172</c:v>
                </c:pt>
              </c:numCache>
            </c:numRef>
          </c:val>
          <c:smooth val="0"/>
          <c:extLst>
            <c:ext xmlns:c16="http://schemas.microsoft.com/office/drawing/2014/chart" uri="{C3380CC4-5D6E-409C-BE32-E72D297353CC}">
              <c16:uniqueId val="{00000001-B9D2-4F68-8553-4DFE7BBC70F1}"/>
            </c:ext>
          </c:extLst>
        </c:ser>
        <c:dLbls>
          <c:showLegendKey val="0"/>
          <c:showVal val="0"/>
          <c:showCatName val="0"/>
          <c:showSerName val="0"/>
          <c:showPercent val="0"/>
          <c:showBubbleSize val="0"/>
        </c:dLbls>
        <c:marker val="1"/>
        <c:smooth val="0"/>
        <c:axId val="1254641304"/>
        <c:axId val="1254639864"/>
      </c:lineChart>
      <c:catAx>
        <c:axId val="1210267552"/>
        <c:scaling>
          <c:orientation val="minMax"/>
        </c:scaling>
        <c:delete val="0"/>
        <c:axPos val="b"/>
        <c:numFmt formatCode="General" sourceLinked="1"/>
        <c:majorTickMark val="none"/>
        <c:minorTickMark val="none"/>
        <c:tickLblPos val="nextTo"/>
        <c:spPr>
          <a:noFill/>
          <a:ln w="12700" cap="flat" cmpd="sng" algn="ctr">
            <a:solidFill>
              <a:srgbClr val="E5E7EB"/>
            </a:solidFill>
            <a:prstDash val="solid"/>
            <a:round/>
          </a:ln>
          <a:effectLst/>
        </c:spPr>
        <c:txPr>
          <a:bodyPr rot="0" spcFirstLastPara="1" vertOverflow="ellipsis" wrap="square" anchor="ctr" anchorCtr="1"/>
          <a:lstStyle/>
          <a:p>
            <a:pPr>
              <a:defRPr sz="900" b="0" i="0" u="none" strike="noStrike" kern="1200" baseline="0">
                <a:solidFill>
                  <a:srgbClr val="6B7280"/>
                </a:solidFill>
                <a:latin typeface="Calibri"/>
                <a:ea typeface="Calibri"/>
                <a:cs typeface="Calibri"/>
              </a:defRPr>
            </a:pPr>
            <a:endParaRPr lang="en-US"/>
          </a:p>
        </c:txPr>
        <c:crossAx val="1210265752"/>
        <c:crosses val="autoZero"/>
        <c:auto val="1"/>
        <c:lblAlgn val="ctr"/>
        <c:lblOffset val="100"/>
        <c:noMultiLvlLbl val="0"/>
      </c:catAx>
      <c:valAx>
        <c:axId val="1210265752"/>
        <c:scaling>
          <c:orientation val="minMax"/>
        </c:scaling>
        <c:delete val="0"/>
        <c:axPos val="l"/>
        <c:majorGridlines>
          <c:spPr>
            <a:ln w="9525" cap="flat" cmpd="sng" algn="ctr">
              <a:solidFill>
                <a:srgbClr val="F3F4F6"/>
              </a:solidFill>
              <a:prstDash val="solid"/>
              <a:round/>
            </a:ln>
            <a:effectLst/>
          </c:spPr>
        </c:majorGridlines>
        <c:numFmt formatCode="#,##0" sourceLinked="1"/>
        <c:majorTickMark val="none"/>
        <c:minorTickMark val="none"/>
        <c:tickLblPos val="nextTo"/>
        <c:spPr>
          <a:noFill/>
          <a:ln>
            <a:solidFill>
              <a:srgbClr val="E5E7EB"/>
            </a:solidFill>
            <a:prstDash val="solid"/>
          </a:ln>
          <a:effectLst/>
        </c:spPr>
        <c:txPr>
          <a:bodyPr rot="-60000000" spcFirstLastPara="1" vertOverflow="ellipsis" vert="horz" wrap="square" anchor="ctr" anchorCtr="1"/>
          <a:lstStyle/>
          <a:p>
            <a:pPr>
              <a:defRPr sz="900" b="0" i="0" u="none" strike="noStrike" kern="1200" baseline="0">
                <a:solidFill>
                  <a:srgbClr val="6B7280"/>
                </a:solidFill>
                <a:latin typeface="Calibri"/>
                <a:ea typeface="Calibri"/>
                <a:cs typeface="Calibri"/>
              </a:defRPr>
            </a:pPr>
            <a:endParaRPr lang="en-US"/>
          </a:p>
        </c:txPr>
        <c:crossAx val="1210267552"/>
        <c:crosses val="autoZero"/>
        <c:crossBetween val="between"/>
      </c:valAx>
      <c:valAx>
        <c:axId val="1254639864"/>
        <c:scaling>
          <c:orientation val="minMax"/>
        </c:scaling>
        <c:delete val="0"/>
        <c:axPos val="r"/>
        <c:numFmt formatCode="0%" sourceLinked="0"/>
        <c:majorTickMark val="out"/>
        <c:minorTickMark val="none"/>
        <c:tickLblPos val="nextTo"/>
        <c:spPr>
          <a:noFill/>
          <a:ln>
            <a:solidFill>
              <a:srgbClr val="D75A0D"/>
            </a:solidFill>
            <a:prstDash val="solid"/>
          </a:ln>
          <a:effectLst/>
        </c:spPr>
        <c:txPr>
          <a:bodyPr rot="-60000000" spcFirstLastPara="1" vertOverflow="ellipsis" vert="horz" wrap="square" anchor="ctr" anchorCtr="1"/>
          <a:lstStyle/>
          <a:p>
            <a:pPr>
              <a:defRPr sz="900" b="1" i="0" u="none" strike="noStrike" kern="1200" baseline="0">
                <a:solidFill>
                  <a:srgbClr val="D75A0D"/>
                </a:solidFill>
                <a:latin typeface="Calibri"/>
                <a:ea typeface="Calibri"/>
                <a:cs typeface="Calibri"/>
              </a:defRPr>
            </a:pPr>
            <a:endParaRPr lang="en-US"/>
          </a:p>
        </c:txPr>
        <c:crossAx val="1254641304"/>
        <c:crosses val="max"/>
        <c:crossBetween val="between"/>
      </c:valAx>
      <c:catAx>
        <c:axId val="1254641304"/>
        <c:scaling>
          <c:orientation val="minMax"/>
        </c:scaling>
        <c:delete val="1"/>
        <c:axPos val="b"/>
        <c:numFmt formatCode="General" sourceLinked="1"/>
        <c:majorTickMark val="out"/>
        <c:minorTickMark val="none"/>
        <c:tickLblPos val="nextTo"/>
        <c:crossAx val="1254639864"/>
        <c:crosses val="autoZero"/>
        <c:auto val="1"/>
        <c:lblAlgn val="ctr"/>
        <c:lblOffset val="100"/>
        <c:noMultiLvlLbl val="0"/>
      </c:cat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6B7280"/>
              </a:solidFill>
              <a:latin typeface="Calibri"/>
              <a:ea typeface="Calibri"/>
              <a:cs typeface="Calibri"/>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a:solidFill>
        <a:srgbClr val="E5E7EB"/>
      </a:solidFill>
      <a:prstDash val="soli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[PSP_Performance_Architecture_2024_V2.xlsx]Pivot Tables!Revenue_Trend</c:name>
    <c:fmtId val="3"/>
  </c:pivotSource>
  <c:chart>
    <c:autoTitleDeleted val="1"/>
    <c:pivotFmts>
      <c:pivotFmt>
        <c:idx val="0"/>
        <c:spPr>
          <a:solidFill>
            <a:srgbClr val="1E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D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97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4ECD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6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E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D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97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4ECD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6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8899A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D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97B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4ECD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006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76686418423738E-2"/>
          <c:y val="0.10363172589408501"/>
          <c:w val="0.94473918683277713"/>
          <c:h val="0.82124088281786511"/>
        </c:manualLayout>
      </c:layout>
      <c:barChart>
        <c:barDir val="col"/>
        <c:grouping val="clustered"/>
        <c:varyColors val="0"/>
        <c:ser>
          <c:idx val="0"/>
          <c:order val="0"/>
          <c:tx>
            <c:strRef>
              <c:f>'Pivot Tables'!$B$3:$B$4</c:f>
              <c:strCache>
                <c:ptCount val="1"/>
                <c:pt idx="0">
                  <c:v>Adyen</c:v>
                </c:pt>
              </c:strCache>
            </c:strRef>
          </c:tx>
          <c:spPr>
            <a:solidFill>
              <a:srgbClr val="8899AA"/>
            </a:solidFill>
            <a:ln>
              <a:noFill/>
            </a:ln>
            <a:effectLst/>
          </c:spPr>
          <c:invertIfNegative val="0"/>
          <c:cat>
            <c:strRef>
              <c:f>'Pivot Tables'!$A$5:$A$8</c:f>
              <c:strCache>
                <c:ptCount val="3"/>
                <c:pt idx="0">
                  <c:v>January</c:v>
                </c:pt>
                <c:pt idx="1">
                  <c:v>February</c:v>
                </c:pt>
                <c:pt idx="2">
                  <c:v>March</c:v>
                </c:pt>
              </c:strCache>
            </c:strRef>
          </c:cat>
          <c:val>
            <c:numRef>
              <c:f>'Pivot Tables'!$B$5:$B$8</c:f>
              <c:numCache>
                <c:formatCode>[$€-2]\ #,##0</c:formatCode>
                <c:ptCount val="3"/>
                <c:pt idx="0">
                  <c:v>15574.309999999998</c:v>
                </c:pt>
                <c:pt idx="1">
                  <c:v>10240.508594000001</c:v>
                </c:pt>
                <c:pt idx="2">
                  <c:v>17571.850573000003</c:v>
                </c:pt>
              </c:numCache>
            </c:numRef>
          </c:val>
          <c:extLst>
            <c:ext xmlns:c16="http://schemas.microsoft.com/office/drawing/2014/chart" uri="{C3380CC4-5D6E-409C-BE32-E72D297353CC}">
              <c16:uniqueId val="{00000000-29C3-4447-8E40-B94296B5E33D}"/>
            </c:ext>
          </c:extLst>
        </c:ser>
        <c:ser>
          <c:idx val="1"/>
          <c:order val="1"/>
          <c:tx>
            <c:strRef>
              <c:f>'Pivot Tables'!$C$3:$C$4</c:f>
              <c:strCache>
                <c:ptCount val="1"/>
                <c:pt idx="0">
                  <c:v>Checkout.com</c:v>
                </c:pt>
              </c:strCache>
            </c:strRef>
          </c:tx>
          <c:spPr>
            <a:solidFill>
              <a:srgbClr val="00D4FF"/>
            </a:solidFill>
            <a:ln>
              <a:noFill/>
            </a:ln>
            <a:effectLst/>
          </c:spPr>
          <c:invertIfNegative val="0"/>
          <c:cat>
            <c:strRef>
              <c:f>'Pivot Tables'!$A$5:$A$8</c:f>
              <c:strCache>
                <c:ptCount val="3"/>
                <c:pt idx="0">
                  <c:v>January</c:v>
                </c:pt>
                <c:pt idx="1">
                  <c:v>February</c:v>
                </c:pt>
                <c:pt idx="2">
                  <c:v>March</c:v>
                </c:pt>
              </c:strCache>
            </c:strRef>
          </c:cat>
          <c:val>
            <c:numRef>
              <c:f>'Pivot Tables'!$C$5:$C$8</c:f>
              <c:numCache>
                <c:formatCode>[$€-2]\ #,##0</c:formatCode>
                <c:ptCount val="3"/>
                <c:pt idx="0">
                  <c:v>18869.097766399998</c:v>
                </c:pt>
                <c:pt idx="1">
                  <c:v>18733.816770000001</c:v>
                </c:pt>
                <c:pt idx="2">
                  <c:v>20022.457297100002</c:v>
                </c:pt>
              </c:numCache>
            </c:numRef>
          </c:val>
          <c:extLst>
            <c:ext xmlns:c16="http://schemas.microsoft.com/office/drawing/2014/chart" uri="{C3380CC4-5D6E-409C-BE32-E72D297353CC}">
              <c16:uniqueId val="{0000006F-DF75-41A6-9347-ED7A026D4AB8}"/>
            </c:ext>
          </c:extLst>
        </c:ser>
        <c:ser>
          <c:idx val="2"/>
          <c:order val="2"/>
          <c:tx>
            <c:strRef>
              <c:f>'Pivot Tables'!$D$3:$D$4</c:f>
              <c:strCache>
                <c:ptCount val="1"/>
                <c:pt idx="0">
                  <c:v>PaySafe</c:v>
                </c:pt>
              </c:strCache>
            </c:strRef>
          </c:tx>
          <c:spPr>
            <a:solidFill>
              <a:srgbClr val="0097B2"/>
            </a:solidFill>
            <a:ln>
              <a:noFill/>
            </a:ln>
            <a:effectLst/>
          </c:spPr>
          <c:invertIfNegative val="0"/>
          <c:cat>
            <c:strRef>
              <c:f>'Pivot Tables'!$A$5:$A$8</c:f>
              <c:strCache>
                <c:ptCount val="3"/>
                <c:pt idx="0">
                  <c:v>January</c:v>
                </c:pt>
                <c:pt idx="1">
                  <c:v>February</c:v>
                </c:pt>
                <c:pt idx="2">
                  <c:v>March</c:v>
                </c:pt>
              </c:strCache>
            </c:strRef>
          </c:cat>
          <c:val>
            <c:numRef>
              <c:f>'Pivot Tables'!$D$5:$D$8</c:f>
              <c:numCache>
                <c:formatCode>[$€-2]\ #,##0</c:formatCode>
                <c:ptCount val="3"/>
                <c:pt idx="0">
                  <c:v>9562.84</c:v>
                </c:pt>
                <c:pt idx="1">
                  <c:v>18757.011780000001</c:v>
                </c:pt>
                <c:pt idx="2">
                  <c:v>5377.1330190000008</c:v>
                </c:pt>
              </c:numCache>
            </c:numRef>
          </c:val>
          <c:extLst>
            <c:ext xmlns:c16="http://schemas.microsoft.com/office/drawing/2014/chart" uri="{C3380CC4-5D6E-409C-BE32-E72D297353CC}">
              <c16:uniqueId val="{00000070-DF75-41A6-9347-ED7A026D4AB8}"/>
            </c:ext>
          </c:extLst>
        </c:ser>
        <c:ser>
          <c:idx val="3"/>
          <c:order val="3"/>
          <c:tx>
            <c:strRef>
              <c:f>'Pivot Tables'!$E$3:$E$4</c:f>
              <c:strCache>
                <c:ptCount val="1"/>
                <c:pt idx="0">
                  <c:v>Stripe</c:v>
                </c:pt>
              </c:strCache>
            </c:strRef>
          </c:tx>
          <c:spPr>
            <a:solidFill>
              <a:srgbClr val="4ECDC4"/>
            </a:solidFill>
            <a:ln>
              <a:noFill/>
            </a:ln>
            <a:effectLst/>
          </c:spPr>
          <c:invertIfNegative val="0"/>
          <c:cat>
            <c:strRef>
              <c:f>'Pivot Tables'!$A$5:$A$8</c:f>
              <c:strCache>
                <c:ptCount val="3"/>
                <c:pt idx="0">
                  <c:v>January</c:v>
                </c:pt>
                <c:pt idx="1">
                  <c:v>February</c:v>
                </c:pt>
                <c:pt idx="2">
                  <c:v>March</c:v>
                </c:pt>
              </c:strCache>
            </c:strRef>
          </c:cat>
          <c:val>
            <c:numRef>
              <c:f>'Pivot Tables'!$E$5:$E$8</c:f>
              <c:numCache>
                <c:formatCode>[$€-2]\ #,##0</c:formatCode>
                <c:ptCount val="3"/>
                <c:pt idx="0">
                  <c:v>7774.4611730000006</c:v>
                </c:pt>
                <c:pt idx="1">
                  <c:v>16302.441846400003</c:v>
                </c:pt>
                <c:pt idx="2">
                  <c:v>20915.745018499998</c:v>
                </c:pt>
              </c:numCache>
            </c:numRef>
          </c:val>
          <c:extLst>
            <c:ext xmlns:c16="http://schemas.microsoft.com/office/drawing/2014/chart" uri="{C3380CC4-5D6E-409C-BE32-E72D297353CC}">
              <c16:uniqueId val="{00000071-DF75-41A6-9347-ED7A026D4AB8}"/>
            </c:ext>
          </c:extLst>
        </c:ser>
        <c:ser>
          <c:idx val="4"/>
          <c:order val="4"/>
          <c:tx>
            <c:strRef>
              <c:f>'Pivot Tables'!$F$3:$F$4</c:f>
              <c:strCache>
                <c:ptCount val="1"/>
                <c:pt idx="0">
                  <c:v>Worldpay</c:v>
                </c:pt>
              </c:strCache>
            </c:strRef>
          </c:tx>
          <c:spPr>
            <a:solidFill>
              <a:srgbClr val="006E8A"/>
            </a:solidFill>
            <a:ln>
              <a:noFill/>
            </a:ln>
            <a:effectLst/>
          </c:spPr>
          <c:invertIfNegative val="0"/>
          <c:cat>
            <c:strRef>
              <c:f>'Pivot Tables'!$A$5:$A$8</c:f>
              <c:strCache>
                <c:ptCount val="3"/>
                <c:pt idx="0">
                  <c:v>January</c:v>
                </c:pt>
                <c:pt idx="1">
                  <c:v>February</c:v>
                </c:pt>
                <c:pt idx="2">
                  <c:v>March</c:v>
                </c:pt>
              </c:strCache>
            </c:strRef>
          </c:cat>
          <c:val>
            <c:numRef>
              <c:f>'Pivot Tables'!$F$5:$F$8</c:f>
              <c:numCache>
                <c:formatCode>[$€-2]\ #,##0</c:formatCode>
                <c:ptCount val="3"/>
                <c:pt idx="0">
                  <c:v>13840.2151916</c:v>
                </c:pt>
                <c:pt idx="1">
                  <c:v>37973.004051600001</c:v>
                </c:pt>
                <c:pt idx="2">
                  <c:v>6685.7463847999998</c:v>
                </c:pt>
              </c:numCache>
            </c:numRef>
          </c:val>
          <c:extLst>
            <c:ext xmlns:c16="http://schemas.microsoft.com/office/drawing/2014/chart" uri="{C3380CC4-5D6E-409C-BE32-E72D297353CC}">
              <c16:uniqueId val="{00000072-DF75-41A6-9347-ED7A026D4AB8}"/>
            </c:ext>
          </c:extLst>
        </c:ser>
        <c:dLbls>
          <c:showLegendKey val="0"/>
          <c:showVal val="0"/>
          <c:showCatName val="0"/>
          <c:showSerName val="0"/>
          <c:showPercent val="0"/>
          <c:showBubbleSize val="0"/>
        </c:dLbls>
        <c:gapWidth val="219"/>
        <c:overlap val="-27"/>
        <c:axId val="525883663"/>
        <c:axId val="525884023"/>
      </c:barChart>
      <c:catAx>
        <c:axId val="525883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lumMod val="85000"/>
                  </a:schemeClr>
                </a:solidFill>
                <a:latin typeface="+mn-lt"/>
                <a:ea typeface="+mn-ea"/>
                <a:cs typeface="+mn-cs"/>
              </a:defRPr>
            </a:pPr>
            <a:endParaRPr lang="en-US"/>
          </a:p>
        </c:txPr>
        <c:crossAx val="525884023"/>
        <c:crosses val="autoZero"/>
        <c:auto val="1"/>
        <c:lblAlgn val="ctr"/>
        <c:lblOffset val="100"/>
        <c:noMultiLvlLbl val="0"/>
      </c:catAx>
      <c:valAx>
        <c:axId val="525884023"/>
        <c:scaling>
          <c:orientation val="minMax"/>
        </c:scaling>
        <c:delete val="0"/>
        <c:axPos val="l"/>
        <c:majorGridlines>
          <c:spPr>
            <a:ln w="9525" cap="flat" cmpd="sng" algn="ctr">
              <a:solidFill>
                <a:srgbClr val="8899AA"/>
              </a:solidFill>
              <a:round/>
            </a:ln>
            <a:effectLst/>
          </c:spPr>
        </c:majorGridlines>
        <c:numFmt formatCode="[$€-2]\ #,##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lumMod val="85000"/>
                  </a:schemeClr>
                </a:solidFill>
                <a:latin typeface="+mn-lt"/>
                <a:ea typeface="+mn-ea"/>
                <a:cs typeface="+mn-cs"/>
              </a:defRPr>
            </a:pPr>
            <a:endParaRPr lang="en-US"/>
          </a:p>
        </c:txPr>
        <c:crossAx val="525883663"/>
        <c:crosses val="autoZero"/>
        <c:crossBetween val="between"/>
      </c:valAx>
      <c:spPr>
        <a:noFill/>
        <a:ln>
          <a:noFill/>
        </a:ln>
        <a:effectLst/>
      </c:spPr>
    </c:plotArea>
    <c:legend>
      <c:legendPos val="r"/>
      <c:layout>
        <c:manualLayout>
          <c:xMode val="edge"/>
          <c:yMode val="edge"/>
          <c:x val="0.34910405838334491"/>
          <c:y val="6.1497106123790729E-3"/>
          <c:w val="0.30217931451420088"/>
          <c:h val="8.575162817282173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[PSP_Performance_Architecture_2024_V2.xlsx]Pivot Tables!Geo</c:name>
    <c:fmtId val="3"/>
  </c:pivotSource>
  <c:chart>
    <c:autoTitleDeleted val="0"/>
    <c:pivotFmts>
      <c:pivotFmt>
        <c:idx val="0"/>
        <c:spPr>
          <a:solidFill>
            <a:srgbClr val="00D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ECD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D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ECD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D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ECD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539444764732667E-2"/>
          <c:y val="3.0867318169621502E-2"/>
          <c:w val="0.86991519967223552"/>
          <c:h val="0.93209190002683273"/>
        </c:manualLayout>
      </c:layout>
      <c:barChart>
        <c:barDir val="bar"/>
        <c:grouping val="clustered"/>
        <c:varyColors val="0"/>
        <c:ser>
          <c:idx val="0"/>
          <c:order val="0"/>
          <c:tx>
            <c:strRef>
              <c:f>'Pivot Tables'!$Q$3</c:f>
              <c:strCache>
                <c:ptCount val="1"/>
                <c:pt idx="0">
                  <c:v>Sum of Net Amount EUR</c:v>
                </c:pt>
              </c:strCache>
            </c:strRef>
          </c:tx>
          <c:spPr>
            <a:solidFill>
              <a:srgbClr val="00D4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Tables'!$P$4:$P$14</c:f>
              <c:strCache>
                <c:ptCount val="10"/>
                <c:pt idx="0">
                  <c:v>CY</c:v>
                </c:pt>
                <c:pt idx="1">
                  <c:v>DE</c:v>
                </c:pt>
                <c:pt idx="2">
                  <c:v>ES</c:v>
                </c:pt>
                <c:pt idx="3">
                  <c:v>FR</c:v>
                </c:pt>
                <c:pt idx="4">
                  <c:v>GB</c:v>
                </c:pt>
                <c:pt idx="5">
                  <c:v>IT</c:v>
                </c:pt>
                <c:pt idx="6">
                  <c:v>NL</c:v>
                </c:pt>
                <c:pt idx="7">
                  <c:v>NO</c:v>
                </c:pt>
                <c:pt idx="8">
                  <c:v>PL</c:v>
                </c:pt>
                <c:pt idx="9">
                  <c:v>SE</c:v>
                </c:pt>
              </c:strCache>
            </c:strRef>
          </c:cat>
          <c:val>
            <c:numRef>
              <c:f>'Pivot Tables'!$Q$4:$Q$14</c:f>
              <c:numCache>
                <c:formatCode>[$€-2]\ #,##0</c:formatCode>
                <c:ptCount val="10"/>
                <c:pt idx="0">
                  <c:v>149085.69999999992</c:v>
                </c:pt>
                <c:pt idx="1">
                  <c:v>95077.999999999985</c:v>
                </c:pt>
                <c:pt idx="2">
                  <c:v>110471.49000000003</c:v>
                </c:pt>
                <c:pt idx="3">
                  <c:v>174641.67</c:v>
                </c:pt>
                <c:pt idx="4">
                  <c:v>157459.87920000005</c:v>
                </c:pt>
                <c:pt idx="5">
                  <c:v>120668.87000000002</c:v>
                </c:pt>
                <c:pt idx="6">
                  <c:v>157032.23000000004</c:v>
                </c:pt>
                <c:pt idx="7">
                  <c:v>11471.263902000004</c:v>
                </c:pt>
                <c:pt idx="8">
                  <c:v>35323.966199999995</c:v>
                </c:pt>
                <c:pt idx="9">
                  <c:v>9803.1029416000019</c:v>
                </c:pt>
              </c:numCache>
            </c:numRef>
          </c:val>
          <c:extLst>
            <c:ext xmlns:c16="http://schemas.microsoft.com/office/drawing/2014/chart" uri="{C3380CC4-5D6E-409C-BE32-E72D297353CC}">
              <c16:uniqueId val="{00000000-F52F-46DC-B694-844FDF7B9B9A}"/>
            </c:ext>
          </c:extLst>
        </c:ser>
        <c:ser>
          <c:idx val="1"/>
          <c:order val="1"/>
          <c:tx>
            <c:strRef>
              <c:f>'Pivot Tables'!$R$3</c:f>
              <c:strCache>
                <c:ptCount val="1"/>
                <c:pt idx="0">
                  <c:v>Sum of Fee Amount EUR</c:v>
                </c:pt>
              </c:strCache>
            </c:strRef>
          </c:tx>
          <c:spPr>
            <a:solidFill>
              <a:srgbClr val="4ECD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Tables'!$P$4:$P$14</c:f>
              <c:strCache>
                <c:ptCount val="10"/>
                <c:pt idx="0">
                  <c:v>CY</c:v>
                </c:pt>
                <c:pt idx="1">
                  <c:v>DE</c:v>
                </c:pt>
                <c:pt idx="2">
                  <c:v>ES</c:v>
                </c:pt>
                <c:pt idx="3">
                  <c:v>FR</c:v>
                </c:pt>
                <c:pt idx="4">
                  <c:v>GB</c:v>
                </c:pt>
                <c:pt idx="5">
                  <c:v>IT</c:v>
                </c:pt>
                <c:pt idx="6">
                  <c:v>NL</c:v>
                </c:pt>
                <c:pt idx="7">
                  <c:v>NO</c:v>
                </c:pt>
                <c:pt idx="8">
                  <c:v>PL</c:v>
                </c:pt>
                <c:pt idx="9">
                  <c:v>SE</c:v>
                </c:pt>
              </c:strCache>
            </c:strRef>
          </c:cat>
          <c:val>
            <c:numRef>
              <c:f>'Pivot Tables'!$R$4:$R$14</c:f>
              <c:numCache>
                <c:formatCode>[$€-2]\ #,##0</c:formatCode>
                <c:ptCount val="10"/>
                <c:pt idx="0">
                  <c:v>3941.8400000000006</c:v>
                </c:pt>
                <c:pt idx="1">
                  <c:v>2415.8999999999996</c:v>
                </c:pt>
                <c:pt idx="2">
                  <c:v>2994.6099999999997</c:v>
                </c:pt>
                <c:pt idx="3">
                  <c:v>4468.82</c:v>
                </c:pt>
                <c:pt idx="4">
                  <c:v>3959.7297599999997</c:v>
                </c:pt>
                <c:pt idx="5">
                  <c:v>2991.8000000000011</c:v>
                </c:pt>
                <c:pt idx="6">
                  <c:v>3948.2799999999997</c:v>
                </c:pt>
                <c:pt idx="7">
                  <c:v>283.29171300000007</c:v>
                </c:pt>
                <c:pt idx="8">
                  <c:v>962.18567999999993</c:v>
                </c:pt>
                <c:pt idx="9">
                  <c:v>256.67399439999991</c:v>
                </c:pt>
              </c:numCache>
            </c:numRef>
          </c:val>
          <c:extLst>
            <c:ext xmlns:c16="http://schemas.microsoft.com/office/drawing/2014/chart" uri="{C3380CC4-5D6E-409C-BE32-E72D297353CC}">
              <c16:uniqueId val="{00000001-F52F-46DC-B694-844FDF7B9B9A}"/>
            </c:ext>
          </c:extLst>
        </c:ser>
        <c:dLbls>
          <c:dLblPos val="outEnd"/>
          <c:showLegendKey val="0"/>
          <c:showVal val="1"/>
          <c:showCatName val="0"/>
          <c:showSerName val="0"/>
          <c:showPercent val="0"/>
          <c:showBubbleSize val="0"/>
        </c:dLbls>
        <c:gapWidth val="130"/>
        <c:axId val="410239431"/>
        <c:axId val="410240871"/>
      </c:barChart>
      <c:catAx>
        <c:axId val="41023943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lumMod val="85000"/>
                  </a:schemeClr>
                </a:solidFill>
                <a:latin typeface="+mn-lt"/>
                <a:ea typeface="+mn-ea"/>
                <a:cs typeface="+mn-cs"/>
              </a:defRPr>
            </a:pPr>
            <a:endParaRPr lang="en-US"/>
          </a:p>
        </c:txPr>
        <c:crossAx val="410240871"/>
        <c:crosses val="autoZero"/>
        <c:auto val="1"/>
        <c:lblAlgn val="ctr"/>
        <c:lblOffset val="100"/>
        <c:noMultiLvlLbl val="0"/>
      </c:catAx>
      <c:valAx>
        <c:axId val="410240871"/>
        <c:scaling>
          <c:orientation val="minMax"/>
        </c:scaling>
        <c:delete val="1"/>
        <c:axPos val="t"/>
        <c:numFmt formatCode="[$€-2]\ #,##0" sourceLinked="1"/>
        <c:majorTickMark val="none"/>
        <c:minorTickMark val="none"/>
        <c:tickLblPos val="nextTo"/>
        <c:crossAx val="410239431"/>
        <c:crosses val="autoZero"/>
        <c:crossBetween val="between"/>
      </c:valAx>
      <c:spPr>
        <a:noFill/>
        <a:ln>
          <a:noFill/>
        </a:ln>
        <a:effectLst/>
      </c:spPr>
    </c:plotArea>
    <c:legend>
      <c:legendPos val="r"/>
      <c:layout>
        <c:manualLayout>
          <c:xMode val="edge"/>
          <c:yMode val="edge"/>
          <c:x val="0.67606349626042306"/>
          <c:y val="0.87015188664937437"/>
          <c:w val="0.23087970401421062"/>
          <c:h val="0.1116342081828045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[PSP_Performance_Architecture_2024_V2.xlsx]Pivot Tables!Decline_ANL</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97B2"/>
          </a:solidFill>
          <a:ln w="19050">
            <a:solidFill>
              <a:schemeClr val="lt1"/>
            </a:solidFill>
          </a:ln>
          <a:effectLst/>
        </c:spPr>
      </c:pivotFmt>
      <c:pivotFmt>
        <c:idx val="2"/>
        <c:spPr>
          <a:solidFill>
            <a:srgbClr val="4ECDC4"/>
          </a:solidFill>
          <a:ln w="19050">
            <a:solidFill>
              <a:schemeClr val="lt1"/>
            </a:solidFill>
          </a:ln>
          <a:effectLst/>
        </c:spPr>
      </c:pivotFmt>
      <c:pivotFmt>
        <c:idx val="3"/>
        <c:spPr>
          <a:solidFill>
            <a:srgbClr val="00D4FF"/>
          </a:solidFill>
          <a:ln w="19050">
            <a:solidFill>
              <a:schemeClr val="lt1"/>
            </a:solidFill>
          </a:ln>
          <a:effectLst/>
        </c:spPr>
      </c:pivotFmt>
      <c:pivotFmt>
        <c:idx val="4"/>
        <c:spPr>
          <a:solidFill>
            <a:srgbClr val="2AB5A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97B2"/>
          </a:solidFill>
          <a:ln w="19050">
            <a:solidFill>
              <a:schemeClr val="lt1"/>
            </a:solidFill>
          </a:ln>
          <a:effectLst/>
        </c:spPr>
      </c:pivotFmt>
      <c:pivotFmt>
        <c:idx val="7"/>
        <c:spPr>
          <a:solidFill>
            <a:srgbClr val="4ECDC4"/>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rgbClr val="00D4FF"/>
          </a:solidFill>
          <a:ln w="19050">
            <a:solidFill>
              <a:schemeClr val="lt1"/>
            </a:solidFill>
          </a:ln>
          <a:effectLst/>
        </c:spPr>
      </c:pivotFmt>
      <c:pivotFmt>
        <c:idx val="10"/>
        <c:spPr>
          <a:solidFill>
            <a:srgbClr val="2AB5A0"/>
          </a:solidFill>
          <a:ln w="19050">
            <a:solidFill>
              <a:schemeClr val="lt1"/>
            </a:solidFill>
          </a:ln>
          <a:effectLst/>
        </c:spPr>
      </c:pivotFmt>
      <c:pivotFmt>
        <c:idx val="11"/>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1E3A5F"/>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97B2"/>
          </a:solidFill>
          <a:ln w="19050">
            <a:noFill/>
          </a:ln>
          <a:effectLst/>
        </c:spPr>
      </c:pivotFmt>
      <c:pivotFmt>
        <c:idx val="13"/>
        <c:spPr>
          <a:solidFill>
            <a:srgbClr val="4ECDC4"/>
          </a:solidFill>
          <a:ln w="19050">
            <a:noFill/>
          </a:ln>
          <a:effectLst/>
        </c:spPr>
      </c:pivotFmt>
      <c:pivotFmt>
        <c:idx val="14"/>
        <c:spPr>
          <a:solidFill>
            <a:srgbClr val="006E8A"/>
          </a:solidFill>
          <a:ln w="19050">
            <a:noFill/>
          </a:ln>
          <a:effectLst/>
        </c:spPr>
      </c:pivotFmt>
      <c:pivotFmt>
        <c:idx val="15"/>
        <c:spPr>
          <a:solidFill>
            <a:srgbClr val="00D4FF"/>
          </a:solidFill>
          <a:ln w="19050">
            <a:noFill/>
          </a:ln>
          <a:effectLst/>
        </c:spPr>
      </c:pivotFmt>
      <c:pivotFmt>
        <c:idx val="16"/>
        <c:spPr>
          <a:solidFill>
            <a:schemeClr val="accent1"/>
          </a:solidFill>
          <a:ln w="19050">
            <a:noFill/>
          </a:ln>
          <a:effectLst/>
        </c:spPr>
      </c:pivotFmt>
    </c:pivotFmts>
    <c:plotArea>
      <c:layout>
        <c:manualLayout>
          <c:layoutTarget val="inner"/>
          <c:xMode val="edge"/>
          <c:yMode val="edge"/>
          <c:x val="0.2257093175853018"/>
          <c:y val="1.4737360456584586E-2"/>
          <c:w val="0.54407633420822399"/>
          <c:h val="0.9799498702437055"/>
        </c:manualLayout>
      </c:layout>
      <c:doughnutChart>
        <c:varyColors val="1"/>
        <c:ser>
          <c:idx val="0"/>
          <c:order val="0"/>
          <c:tx>
            <c:strRef>
              <c:f>'Pivot Tables'!$AA$3</c:f>
              <c:strCache>
                <c:ptCount val="1"/>
                <c:pt idx="0">
                  <c:v>Total</c:v>
                </c:pt>
              </c:strCache>
            </c:strRef>
          </c:tx>
          <c:spPr>
            <a:ln>
              <a:noFill/>
            </a:ln>
          </c:spPr>
          <c:dPt>
            <c:idx val="0"/>
            <c:bubble3D val="0"/>
            <c:spPr>
              <a:solidFill>
                <a:srgbClr val="0097B2"/>
              </a:solidFill>
              <a:ln w="19050">
                <a:noFill/>
              </a:ln>
              <a:effectLst/>
            </c:spPr>
            <c:extLst>
              <c:ext xmlns:c16="http://schemas.microsoft.com/office/drawing/2014/chart" uri="{C3380CC4-5D6E-409C-BE32-E72D297353CC}">
                <c16:uniqueId val="{00000001-6045-46F0-8150-D27ECD0243F7}"/>
              </c:ext>
            </c:extLst>
          </c:dPt>
          <c:dPt>
            <c:idx val="1"/>
            <c:bubble3D val="0"/>
            <c:spPr>
              <a:solidFill>
                <a:srgbClr val="4ECDC4"/>
              </a:solidFill>
              <a:ln w="19050">
                <a:noFill/>
              </a:ln>
              <a:effectLst/>
            </c:spPr>
            <c:extLst>
              <c:ext xmlns:c16="http://schemas.microsoft.com/office/drawing/2014/chart" uri="{C3380CC4-5D6E-409C-BE32-E72D297353CC}">
                <c16:uniqueId val="{00000003-6045-46F0-8150-D27ECD0243F7}"/>
              </c:ext>
            </c:extLst>
          </c:dPt>
          <c:dPt>
            <c:idx val="2"/>
            <c:bubble3D val="0"/>
            <c:spPr>
              <a:solidFill>
                <a:srgbClr val="006E8A"/>
              </a:solidFill>
              <a:ln w="19050">
                <a:noFill/>
              </a:ln>
              <a:effectLst/>
            </c:spPr>
            <c:extLst>
              <c:ext xmlns:c16="http://schemas.microsoft.com/office/drawing/2014/chart" uri="{C3380CC4-5D6E-409C-BE32-E72D297353CC}">
                <c16:uniqueId val="{00000005-6045-46F0-8150-D27ECD0243F7}"/>
              </c:ext>
            </c:extLst>
          </c:dPt>
          <c:dPt>
            <c:idx val="3"/>
            <c:bubble3D val="0"/>
            <c:spPr>
              <a:solidFill>
                <a:srgbClr val="00D4FF"/>
              </a:solidFill>
              <a:ln w="19050">
                <a:noFill/>
              </a:ln>
              <a:effectLst/>
            </c:spPr>
            <c:extLst>
              <c:ext xmlns:c16="http://schemas.microsoft.com/office/drawing/2014/chart" uri="{C3380CC4-5D6E-409C-BE32-E72D297353CC}">
                <c16:uniqueId val="{00000007-6045-46F0-8150-D27ECD0243F7}"/>
              </c:ext>
            </c:extLst>
          </c:dPt>
          <c:dPt>
            <c:idx val="4"/>
            <c:bubble3D val="0"/>
            <c:spPr>
              <a:solidFill>
                <a:schemeClr val="accent5"/>
              </a:solidFill>
              <a:ln w="19050">
                <a:noFill/>
              </a:ln>
              <a:effectLst/>
            </c:spPr>
            <c:extLst>
              <c:ext xmlns:c16="http://schemas.microsoft.com/office/drawing/2014/chart" uri="{C3380CC4-5D6E-409C-BE32-E72D297353CC}">
                <c16:uniqueId val="{00000009-6045-46F0-8150-D27ECD0243F7}"/>
              </c:ext>
            </c:extLst>
          </c:dPt>
          <c:dLbls>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rgbClr val="1E3A5F"/>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Tables'!$Z$4:$Z$9</c:f>
              <c:strCache>
                <c:ptCount val="5"/>
                <c:pt idx="0">
                  <c:v>Card Declined</c:v>
                </c:pt>
                <c:pt idx="1">
                  <c:v>Expired Card</c:v>
                </c:pt>
                <c:pt idx="2">
                  <c:v>Fraud Suspected</c:v>
                </c:pt>
                <c:pt idx="3">
                  <c:v>Insufficient Funds</c:v>
                </c:pt>
                <c:pt idx="4">
                  <c:v>Technical Error</c:v>
                </c:pt>
              </c:strCache>
            </c:strRef>
          </c:cat>
          <c:val>
            <c:numRef>
              <c:f>'Pivot Tables'!$AA$4:$AA$9</c:f>
              <c:numCache>
                <c:formatCode>0.0%</c:formatCode>
                <c:ptCount val="5"/>
                <c:pt idx="0">
                  <c:v>0.22477064220183487</c:v>
                </c:pt>
                <c:pt idx="1">
                  <c:v>0.18807339449541285</c:v>
                </c:pt>
                <c:pt idx="2">
                  <c:v>0.23394495412844038</c:v>
                </c:pt>
                <c:pt idx="3">
                  <c:v>0.15137614678899083</c:v>
                </c:pt>
                <c:pt idx="4">
                  <c:v>0.20183486238532111</c:v>
                </c:pt>
              </c:numCache>
            </c:numRef>
          </c:val>
          <c:extLst>
            <c:ext xmlns:c16="http://schemas.microsoft.com/office/drawing/2014/chart" uri="{C3380CC4-5D6E-409C-BE32-E72D297353CC}">
              <c16:uniqueId val="{0000000A-6045-46F0-8150-D27ECD0243F7}"/>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[PSP_Performance_Architecture_2024_V2.xlsx]Pivot Tables!Payment_Methods</c:name>
    <c:fmtId val="3"/>
  </c:pivotSource>
  <c:chart>
    <c:autoTitleDeleted val="1"/>
    <c:pivotFmts>
      <c:pivotFmt>
        <c:idx val="0"/>
        <c:spPr>
          <a:solidFill>
            <a:srgbClr val="006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D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AB5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E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ECD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6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D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2AB5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E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4ECD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6E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D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AB5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1E3A5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4ECD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1E3A5F"/>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220066795597585E-2"/>
          <c:y val="3.2142388451443571E-2"/>
          <c:w val="0.97704846538247148"/>
          <c:h val="0.79579363517060364"/>
        </c:manualLayout>
      </c:layout>
      <c:barChart>
        <c:barDir val="col"/>
        <c:grouping val="clustered"/>
        <c:varyColors val="0"/>
        <c:ser>
          <c:idx val="0"/>
          <c:order val="0"/>
          <c:tx>
            <c:strRef>
              <c:f>'Pivot Tables'!$AE$3:$AE$4</c:f>
              <c:strCache>
                <c:ptCount val="1"/>
                <c:pt idx="0">
                  <c:v>Bank Transfer</c:v>
                </c:pt>
              </c:strCache>
            </c:strRef>
          </c:tx>
          <c:spPr>
            <a:solidFill>
              <a:srgbClr val="006E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Tables'!$AD$5:$AD$15</c:f>
              <c:strCache>
                <c:ptCount val="10"/>
                <c:pt idx="0">
                  <c:v>CY</c:v>
                </c:pt>
                <c:pt idx="1">
                  <c:v>DE</c:v>
                </c:pt>
                <c:pt idx="2">
                  <c:v>ES</c:v>
                </c:pt>
                <c:pt idx="3">
                  <c:v>FR</c:v>
                </c:pt>
                <c:pt idx="4">
                  <c:v>GB</c:v>
                </c:pt>
                <c:pt idx="5">
                  <c:v>IT</c:v>
                </c:pt>
                <c:pt idx="6">
                  <c:v>NL</c:v>
                </c:pt>
                <c:pt idx="7">
                  <c:v>NO</c:v>
                </c:pt>
                <c:pt idx="8">
                  <c:v>PL</c:v>
                </c:pt>
                <c:pt idx="9">
                  <c:v>SE</c:v>
                </c:pt>
              </c:strCache>
            </c:strRef>
          </c:cat>
          <c:val>
            <c:numRef>
              <c:f>'Pivot Tables'!$AE$5:$AE$15</c:f>
              <c:numCache>
                <c:formatCode>[$€-2]\ #,##0</c:formatCode>
                <c:ptCount val="10"/>
                <c:pt idx="0">
                  <c:v>36554.85</c:v>
                </c:pt>
                <c:pt idx="1">
                  <c:v>20269.649999999998</c:v>
                </c:pt>
                <c:pt idx="2">
                  <c:v>26764.370000000003</c:v>
                </c:pt>
                <c:pt idx="3">
                  <c:v>27974.700000000004</c:v>
                </c:pt>
                <c:pt idx="4">
                  <c:v>33407.50821</c:v>
                </c:pt>
                <c:pt idx="5">
                  <c:v>28038.180000000004</c:v>
                </c:pt>
                <c:pt idx="6">
                  <c:v>27450.789999999997</c:v>
                </c:pt>
                <c:pt idx="7">
                  <c:v>1363.0141395000001</c:v>
                </c:pt>
                <c:pt idx="8">
                  <c:v>10994.240735999998</c:v>
                </c:pt>
                <c:pt idx="9">
                  <c:v>2609.8630887999998</c:v>
                </c:pt>
              </c:numCache>
            </c:numRef>
          </c:val>
          <c:extLst>
            <c:ext xmlns:c16="http://schemas.microsoft.com/office/drawing/2014/chart" uri="{C3380CC4-5D6E-409C-BE32-E72D297353CC}">
              <c16:uniqueId val="{00000000-1442-4CB7-963C-0443DAFE72BA}"/>
            </c:ext>
          </c:extLst>
        </c:ser>
        <c:ser>
          <c:idx val="1"/>
          <c:order val="1"/>
          <c:tx>
            <c:strRef>
              <c:f>'Pivot Tables'!$AF$3:$AF$4</c:f>
              <c:strCache>
                <c:ptCount val="1"/>
                <c:pt idx="0">
                  <c:v>Credit Card</c:v>
                </c:pt>
              </c:strCache>
            </c:strRef>
          </c:tx>
          <c:spPr>
            <a:solidFill>
              <a:srgbClr val="00D4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Tables'!$AD$5:$AD$15</c:f>
              <c:strCache>
                <c:ptCount val="10"/>
                <c:pt idx="0">
                  <c:v>CY</c:v>
                </c:pt>
                <c:pt idx="1">
                  <c:v>DE</c:v>
                </c:pt>
                <c:pt idx="2">
                  <c:v>ES</c:v>
                </c:pt>
                <c:pt idx="3">
                  <c:v>FR</c:v>
                </c:pt>
                <c:pt idx="4">
                  <c:v>GB</c:v>
                </c:pt>
                <c:pt idx="5">
                  <c:v>IT</c:v>
                </c:pt>
                <c:pt idx="6">
                  <c:v>NL</c:v>
                </c:pt>
                <c:pt idx="7">
                  <c:v>NO</c:v>
                </c:pt>
                <c:pt idx="8">
                  <c:v>PL</c:v>
                </c:pt>
                <c:pt idx="9">
                  <c:v>SE</c:v>
                </c:pt>
              </c:strCache>
            </c:strRef>
          </c:cat>
          <c:val>
            <c:numRef>
              <c:f>'Pivot Tables'!$AF$5:$AF$15</c:f>
              <c:numCache>
                <c:formatCode>[$€-2]\ #,##0</c:formatCode>
                <c:ptCount val="10"/>
                <c:pt idx="0">
                  <c:v>19348.260000000002</c:v>
                </c:pt>
                <c:pt idx="1">
                  <c:v>8445.67</c:v>
                </c:pt>
                <c:pt idx="2">
                  <c:v>22899.940000000002</c:v>
                </c:pt>
                <c:pt idx="3">
                  <c:v>28161.95</c:v>
                </c:pt>
                <c:pt idx="4">
                  <c:v>7441.6478699999989</c:v>
                </c:pt>
                <c:pt idx="5">
                  <c:v>27945.020000000004</c:v>
                </c:pt>
                <c:pt idx="6">
                  <c:v>39927.57</c:v>
                </c:pt>
                <c:pt idx="7">
                  <c:v>2808.0472590000004</c:v>
                </c:pt>
                <c:pt idx="8">
                  <c:v>4486.209648</c:v>
                </c:pt>
                <c:pt idx="9">
                  <c:v>1432.0242391999998</c:v>
                </c:pt>
              </c:numCache>
            </c:numRef>
          </c:val>
          <c:extLst>
            <c:ext xmlns:c16="http://schemas.microsoft.com/office/drawing/2014/chart" uri="{C3380CC4-5D6E-409C-BE32-E72D297353CC}">
              <c16:uniqueId val="{00000045-F3C3-44CB-BDF9-AEBDAF32A9F8}"/>
            </c:ext>
          </c:extLst>
        </c:ser>
        <c:ser>
          <c:idx val="2"/>
          <c:order val="2"/>
          <c:tx>
            <c:strRef>
              <c:f>'Pivot Tables'!$AG$3:$AG$4</c:f>
              <c:strCache>
                <c:ptCount val="1"/>
                <c:pt idx="0">
                  <c:v>Crypto</c:v>
                </c:pt>
              </c:strCache>
            </c:strRef>
          </c:tx>
          <c:spPr>
            <a:solidFill>
              <a:srgbClr val="2AB5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Tables'!$AD$5:$AD$15</c:f>
              <c:strCache>
                <c:ptCount val="10"/>
                <c:pt idx="0">
                  <c:v>CY</c:v>
                </c:pt>
                <c:pt idx="1">
                  <c:v>DE</c:v>
                </c:pt>
                <c:pt idx="2">
                  <c:v>ES</c:v>
                </c:pt>
                <c:pt idx="3">
                  <c:v>FR</c:v>
                </c:pt>
                <c:pt idx="4">
                  <c:v>GB</c:v>
                </c:pt>
                <c:pt idx="5">
                  <c:v>IT</c:v>
                </c:pt>
                <c:pt idx="6">
                  <c:v>NL</c:v>
                </c:pt>
                <c:pt idx="7">
                  <c:v>NO</c:v>
                </c:pt>
                <c:pt idx="8">
                  <c:v>PL</c:v>
                </c:pt>
                <c:pt idx="9">
                  <c:v>SE</c:v>
                </c:pt>
              </c:strCache>
            </c:strRef>
          </c:cat>
          <c:val>
            <c:numRef>
              <c:f>'Pivot Tables'!$AG$5:$AG$15</c:f>
              <c:numCache>
                <c:formatCode>[$€-2]\ #,##0</c:formatCode>
                <c:ptCount val="10"/>
                <c:pt idx="0">
                  <c:v>27807.32</c:v>
                </c:pt>
                <c:pt idx="1">
                  <c:v>15982.45</c:v>
                </c:pt>
                <c:pt idx="2">
                  <c:v>13313.150000000001</c:v>
                </c:pt>
                <c:pt idx="3">
                  <c:v>51710.049999999988</c:v>
                </c:pt>
                <c:pt idx="4">
                  <c:v>36354.084239999996</c:v>
                </c:pt>
                <c:pt idx="5">
                  <c:v>21073.010000000002</c:v>
                </c:pt>
                <c:pt idx="6">
                  <c:v>27302.250000000004</c:v>
                </c:pt>
                <c:pt idx="7">
                  <c:v>3363.8074065000005</c:v>
                </c:pt>
                <c:pt idx="8">
                  <c:v>7364.7304320000003</c:v>
                </c:pt>
                <c:pt idx="9">
                  <c:v>1464.3056343999999</c:v>
                </c:pt>
              </c:numCache>
            </c:numRef>
          </c:val>
          <c:extLst>
            <c:ext xmlns:c16="http://schemas.microsoft.com/office/drawing/2014/chart" uri="{C3380CC4-5D6E-409C-BE32-E72D297353CC}">
              <c16:uniqueId val="{00000046-F3C3-44CB-BDF9-AEBDAF32A9F8}"/>
            </c:ext>
          </c:extLst>
        </c:ser>
        <c:ser>
          <c:idx val="3"/>
          <c:order val="3"/>
          <c:tx>
            <c:strRef>
              <c:f>'Pivot Tables'!$AH$3:$AH$4</c:f>
              <c:strCache>
                <c:ptCount val="1"/>
                <c:pt idx="0">
                  <c:v>Debit Card</c:v>
                </c:pt>
              </c:strCache>
            </c:strRef>
          </c:tx>
          <c:spPr>
            <a:solidFill>
              <a:srgbClr val="1E3A5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Tables'!$AD$5:$AD$15</c:f>
              <c:strCache>
                <c:ptCount val="10"/>
                <c:pt idx="0">
                  <c:v>CY</c:v>
                </c:pt>
                <c:pt idx="1">
                  <c:v>DE</c:v>
                </c:pt>
                <c:pt idx="2">
                  <c:v>ES</c:v>
                </c:pt>
                <c:pt idx="3">
                  <c:v>FR</c:v>
                </c:pt>
                <c:pt idx="4">
                  <c:v>GB</c:v>
                </c:pt>
                <c:pt idx="5">
                  <c:v>IT</c:v>
                </c:pt>
                <c:pt idx="6">
                  <c:v>NL</c:v>
                </c:pt>
                <c:pt idx="7">
                  <c:v>NO</c:v>
                </c:pt>
                <c:pt idx="8">
                  <c:v>PL</c:v>
                </c:pt>
                <c:pt idx="9">
                  <c:v>SE</c:v>
                </c:pt>
              </c:strCache>
            </c:strRef>
          </c:cat>
          <c:val>
            <c:numRef>
              <c:f>'Pivot Tables'!$AH$5:$AH$15</c:f>
              <c:numCache>
                <c:formatCode>[$€-2]\ #,##0</c:formatCode>
                <c:ptCount val="10"/>
                <c:pt idx="0">
                  <c:v>29775.81</c:v>
                </c:pt>
                <c:pt idx="1">
                  <c:v>30483.4</c:v>
                </c:pt>
                <c:pt idx="2">
                  <c:v>24396.280000000006</c:v>
                </c:pt>
                <c:pt idx="3">
                  <c:v>30725.789999999997</c:v>
                </c:pt>
                <c:pt idx="4">
                  <c:v>51073.785360000009</c:v>
                </c:pt>
                <c:pt idx="5">
                  <c:v>15123.32</c:v>
                </c:pt>
                <c:pt idx="6">
                  <c:v>36465.89</c:v>
                </c:pt>
                <c:pt idx="7">
                  <c:v>2379.8269800000003</c:v>
                </c:pt>
                <c:pt idx="8">
                  <c:v>7787.6931120000008</c:v>
                </c:pt>
                <c:pt idx="9">
                  <c:v>1586.8416048000001</c:v>
                </c:pt>
              </c:numCache>
            </c:numRef>
          </c:val>
          <c:extLst>
            <c:ext xmlns:c16="http://schemas.microsoft.com/office/drawing/2014/chart" uri="{C3380CC4-5D6E-409C-BE32-E72D297353CC}">
              <c16:uniqueId val="{00000047-F3C3-44CB-BDF9-AEBDAF32A9F8}"/>
            </c:ext>
          </c:extLst>
        </c:ser>
        <c:ser>
          <c:idx val="4"/>
          <c:order val="4"/>
          <c:tx>
            <c:strRef>
              <c:f>'Pivot Tables'!$AI$3:$AI$4</c:f>
              <c:strCache>
                <c:ptCount val="1"/>
                <c:pt idx="0">
                  <c:v>E-Wallet</c:v>
                </c:pt>
              </c:strCache>
            </c:strRef>
          </c:tx>
          <c:spPr>
            <a:solidFill>
              <a:srgbClr val="4ECD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Tables'!$AD$5:$AD$15</c:f>
              <c:strCache>
                <c:ptCount val="10"/>
                <c:pt idx="0">
                  <c:v>CY</c:v>
                </c:pt>
                <c:pt idx="1">
                  <c:v>DE</c:v>
                </c:pt>
                <c:pt idx="2">
                  <c:v>ES</c:v>
                </c:pt>
                <c:pt idx="3">
                  <c:v>FR</c:v>
                </c:pt>
                <c:pt idx="4">
                  <c:v>GB</c:v>
                </c:pt>
                <c:pt idx="5">
                  <c:v>IT</c:v>
                </c:pt>
                <c:pt idx="6">
                  <c:v>NL</c:v>
                </c:pt>
                <c:pt idx="7">
                  <c:v>NO</c:v>
                </c:pt>
                <c:pt idx="8">
                  <c:v>PL</c:v>
                </c:pt>
                <c:pt idx="9">
                  <c:v>SE</c:v>
                </c:pt>
              </c:strCache>
            </c:strRef>
          </c:cat>
          <c:val>
            <c:numRef>
              <c:f>'Pivot Tables'!$AI$5:$AI$15</c:f>
              <c:numCache>
                <c:formatCode>[$€-2]\ #,##0</c:formatCode>
                <c:ptCount val="10"/>
                <c:pt idx="0">
                  <c:v>35599.46</c:v>
                </c:pt>
                <c:pt idx="1">
                  <c:v>19896.829999999998</c:v>
                </c:pt>
                <c:pt idx="2">
                  <c:v>23097.750000000004</c:v>
                </c:pt>
                <c:pt idx="3">
                  <c:v>36069.18</c:v>
                </c:pt>
                <c:pt idx="4">
                  <c:v>29182.853520000001</c:v>
                </c:pt>
                <c:pt idx="5">
                  <c:v>28489.34</c:v>
                </c:pt>
                <c:pt idx="6">
                  <c:v>25885.730000000003</c:v>
                </c:pt>
                <c:pt idx="7">
                  <c:v>1556.568117</c:v>
                </c:pt>
                <c:pt idx="8">
                  <c:v>4691.0922719999999</c:v>
                </c:pt>
                <c:pt idx="9">
                  <c:v>2710.0683743999998</c:v>
                </c:pt>
              </c:numCache>
            </c:numRef>
          </c:val>
          <c:extLst>
            <c:ext xmlns:c16="http://schemas.microsoft.com/office/drawing/2014/chart" uri="{C3380CC4-5D6E-409C-BE32-E72D297353CC}">
              <c16:uniqueId val="{00000048-F3C3-44CB-BDF9-AEBDAF32A9F8}"/>
            </c:ext>
          </c:extLst>
        </c:ser>
        <c:dLbls>
          <c:dLblPos val="outEnd"/>
          <c:showLegendKey val="0"/>
          <c:showVal val="1"/>
          <c:showCatName val="0"/>
          <c:showSerName val="0"/>
          <c:showPercent val="0"/>
          <c:showBubbleSize val="0"/>
        </c:dLbls>
        <c:gapWidth val="219"/>
        <c:overlap val="-27"/>
        <c:axId val="410241231"/>
        <c:axId val="410246631"/>
      </c:barChart>
      <c:catAx>
        <c:axId val="410241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lumMod val="85000"/>
                  </a:schemeClr>
                </a:solidFill>
                <a:latin typeface="+mn-lt"/>
                <a:ea typeface="+mn-ea"/>
                <a:cs typeface="+mn-cs"/>
              </a:defRPr>
            </a:pPr>
            <a:endParaRPr lang="en-US"/>
          </a:p>
        </c:txPr>
        <c:crossAx val="410246631"/>
        <c:crosses val="autoZero"/>
        <c:auto val="1"/>
        <c:lblAlgn val="ctr"/>
        <c:lblOffset val="100"/>
        <c:noMultiLvlLbl val="0"/>
      </c:catAx>
      <c:valAx>
        <c:axId val="410246631"/>
        <c:scaling>
          <c:orientation val="minMax"/>
        </c:scaling>
        <c:delete val="1"/>
        <c:axPos val="l"/>
        <c:numFmt formatCode="[$€-2]\ #,##0" sourceLinked="1"/>
        <c:majorTickMark val="none"/>
        <c:minorTickMark val="none"/>
        <c:tickLblPos val="nextTo"/>
        <c:crossAx val="410241231"/>
        <c:crosses val="autoZero"/>
        <c:crossBetween val="between"/>
      </c:valAx>
      <c:spPr>
        <a:noFill/>
        <a:ln>
          <a:noFill/>
        </a:ln>
        <a:effectLst/>
      </c:spPr>
    </c:plotArea>
    <c:legend>
      <c:legendPos val="r"/>
      <c:layout>
        <c:manualLayout>
          <c:xMode val="edge"/>
          <c:yMode val="edge"/>
          <c:x val="0.42459549413970615"/>
          <c:y val="0.91787368766404198"/>
          <c:w val="0.14933735047165297"/>
          <c:h val="7.7959645669291339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[PSP_Performance_Architecture_2024_V2.xlsx]Pivot Tables!Fees_&amp;_Revenue</c:name>
    <c:fmtId val="5"/>
  </c:pivotSource>
  <c:chart>
    <c:autoTitleDeleted val="0"/>
    <c:pivotFmts>
      <c:pivotFmt>
        <c:idx val="0"/>
        <c:spPr>
          <a:solidFill>
            <a:srgbClr val="00D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4ECD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D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ECD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D4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4ECDC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40718305243991"/>
          <c:y val="3.7063784199101238E-2"/>
          <c:w val="0.79740768321993627"/>
          <c:h val="0.89891695218426937"/>
        </c:manualLayout>
      </c:layout>
      <c:barChart>
        <c:barDir val="bar"/>
        <c:grouping val="clustered"/>
        <c:varyColors val="0"/>
        <c:ser>
          <c:idx val="0"/>
          <c:order val="0"/>
          <c:tx>
            <c:strRef>
              <c:f>'Pivot Tables'!$V$3</c:f>
              <c:strCache>
                <c:ptCount val="1"/>
                <c:pt idx="0">
                  <c:v>Sum of Net Amount EUR</c:v>
                </c:pt>
              </c:strCache>
            </c:strRef>
          </c:tx>
          <c:spPr>
            <a:solidFill>
              <a:srgbClr val="00D4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Tables'!$U$4:$U$9</c:f>
              <c:strCache>
                <c:ptCount val="5"/>
                <c:pt idx="0">
                  <c:v>Checkout.com</c:v>
                </c:pt>
                <c:pt idx="1">
                  <c:v>PaySafe</c:v>
                </c:pt>
                <c:pt idx="2">
                  <c:v>Adyen</c:v>
                </c:pt>
                <c:pt idx="3">
                  <c:v>Stripe</c:v>
                </c:pt>
                <c:pt idx="4">
                  <c:v>Worldpay</c:v>
                </c:pt>
              </c:strCache>
            </c:strRef>
          </c:cat>
          <c:val>
            <c:numRef>
              <c:f>'Pivot Tables'!$V$4:$V$9</c:f>
              <c:numCache>
                <c:formatCode>[$€-2]\ #,##0</c:formatCode>
                <c:ptCount val="5"/>
                <c:pt idx="0">
                  <c:v>248501.67203610003</c:v>
                </c:pt>
                <c:pt idx="1">
                  <c:v>215259.44346330006</c:v>
                </c:pt>
                <c:pt idx="2">
                  <c:v>192481.55369870001</c:v>
                </c:pt>
                <c:pt idx="3">
                  <c:v>192114.78323180007</c:v>
                </c:pt>
                <c:pt idx="4">
                  <c:v>172678.71981369998</c:v>
                </c:pt>
              </c:numCache>
            </c:numRef>
          </c:val>
          <c:extLst>
            <c:ext xmlns:c16="http://schemas.microsoft.com/office/drawing/2014/chart" uri="{C3380CC4-5D6E-409C-BE32-E72D297353CC}">
              <c16:uniqueId val="{00000000-55AC-4309-8193-FFCA465E54A4}"/>
            </c:ext>
          </c:extLst>
        </c:ser>
        <c:ser>
          <c:idx val="1"/>
          <c:order val="1"/>
          <c:tx>
            <c:strRef>
              <c:f>'Pivot Tables'!$W$3</c:f>
              <c:strCache>
                <c:ptCount val="1"/>
                <c:pt idx="0">
                  <c:v>Sum of Fee Amount EUR</c:v>
                </c:pt>
              </c:strCache>
            </c:strRef>
          </c:tx>
          <c:spPr>
            <a:solidFill>
              <a:srgbClr val="4ECDC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Tables'!$U$4:$U$9</c:f>
              <c:strCache>
                <c:ptCount val="5"/>
                <c:pt idx="0">
                  <c:v>Checkout.com</c:v>
                </c:pt>
                <c:pt idx="1">
                  <c:v>PaySafe</c:v>
                </c:pt>
                <c:pt idx="2">
                  <c:v>Adyen</c:v>
                </c:pt>
                <c:pt idx="3">
                  <c:v>Stripe</c:v>
                </c:pt>
                <c:pt idx="4">
                  <c:v>Worldpay</c:v>
                </c:pt>
              </c:strCache>
            </c:strRef>
          </c:cat>
          <c:val>
            <c:numRef>
              <c:f>'Pivot Tables'!$W$4:$W$9</c:f>
              <c:numCache>
                <c:formatCode>[$€-2]\ #,##0</c:formatCode>
                <c:ptCount val="5"/>
                <c:pt idx="0">
                  <c:v>4812.9445466999996</c:v>
                </c:pt>
                <c:pt idx="1">
                  <c:v>7116.0221623000007</c:v>
                </c:pt>
                <c:pt idx="2">
                  <c:v>4128.8469748999987</c:v>
                </c:pt>
                <c:pt idx="3">
                  <c:v>5737.6872859999994</c:v>
                </c:pt>
                <c:pt idx="4">
                  <c:v>4427.6301775000011</c:v>
                </c:pt>
              </c:numCache>
            </c:numRef>
          </c:val>
          <c:extLst>
            <c:ext xmlns:c16="http://schemas.microsoft.com/office/drawing/2014/chart" uri="{C3380CC4-5D6E-409C-BE32-E72D297353CC}">
              <c16:uniqueId val="{00000001-55AC-4309-8193-FFCA465E54A4}"/>
            </c:ext>
          </c:extLst>
        </c:ser>
        <c:dLbls>
          <c:dLblPos val="outEnd"/>
          <c:showLegendKey val="0"/>
          <c:showVal val="1"/>
          <c:showCatName val="0"/>
          <c:showSerName val="0"/>
          <c:showPercent val="0"/>
          <c:showBubbleSize val="0"/>
        </c:dLbls>
        <c:gapWidth val="182"/>
        <c:axId val="410244471"/>
        <c:axId val="410250231"/>
      </c:barChart>
      <c:catAx>
        <c:axId val="41024447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lumMod val="85000"/>
                  </a:schemeClr>
                </a:solidFill>
                <a:latin typeface="+mn-lt"/>
                <a:ea typeface="+mn-ea"/>
                <a:cs typeface="+mn-cs"/>
              </a:defRPr>
            </a:pPr>
            <a:endParaRPr lang="en-US"/>
          </a:p>
        </c:txPr>
        <c:crossAx val="410250231"/>
        <c:crosses val="autoZero"/>
        <c:auto val="1"/>
        <c:lblAlgn val="ctr"/>
        <c:lblOffset val="100"/>
        <c:noMultiLvlLbl val="0"/>
      </c:catAx>
      <c:valAx>
        <c:axId val="410250231"/>
        <c:scaling>
          <c:orientation val="minMax"/>
        </c:scaling>
        <c:delete val="1"/>
        <c:axPos val="t"/>
        <c:numFmt formatCode="[$€-2]\ #,##0" sourceLinked="1"/>
        <c:majorTickMark val="none"/>
        <c:minorTickMark val="none"/>
        <c:tickLblPos val="nextTo"/>
        <c:crossAx val="410244471"/>
        <c:crosses val="autoZero"/>
        <c:crossBetween val="between"/>
      </c:valAx>
      <c:spPr>
        <a:noFill/>
        <a:ln>
          <a:noFill/>
        </a:ln>
        <a:effectLst/>
      </c:spPr>
    </c:plotArea>
    <c:legend>
      <c:legendPos val="r"/>
      <c:layout>
        <c:manualLayout>
          <c:xMode val="edge"/>
          <c:yMode val="edge"/>
          <c:x val="0.6300517258649927"/>
          <c:y val="0.90472758496612682"/>
          <c:w val="0.3629589951215284"/>
          <c:h val="9.0133180231870183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plotArea>
      <cx:plotAreaRegion>
        <cx:series layoutId="regionMap" uniqueId="{B9D1D02E-4C31-4B6C-8716-BF32F3B70660}">
          <cx:tx>
            <cx:txData>
              <cx:f>_xlchart.v5.2</cx:f>
              <cx:v>Net Revenue (€)</cx:v>
            </cx:txData>
          </cx:tx>
          <cx:dataId val="0"/>
          <cx:layoutPr>
            <cx:geography projectionType="mercator" viewedRegionType="dataOnly" cultureLanguage="en-US" cultureRegion="GB" attribution="Powered by Bing">
              <cx:geoCache provider="{E9337A44-BEBE-4D9F-B70C-5C5E7DAFC167}">
                <cx:binary>zHtZc9y2uu1fcfn50iGIidi1cx7AHtUaLU/xC0uWZA4gABIECYK//n6K7VxbxyfZVTdVOSpX2yKb
TXB901oL7X/fL/+67x7v3ItFd2b81/3y68va+/5fv/wy3teP+m58pZt7Z0f72b+6t/oX+/lzc//4
y4O7C42pfslSRH65r++cf1xe/te/4dOqR3tu7+98Y83N9Oji68dx6vz4J+d+eurFvZ2Mf7q8gk/6
9eVtf9eYly8ejW98fBP7x19f/vCOly9+ef45/+2eLzpYlp8e4FqSvsIiRSlD4stP/vJFZ0319XSC
X1FKMGMIpV9+0Ld7X95puP4vl/P7Yu4eHtzjOL74+vcfl/2w8j+ONqMtvjx0YZ/WuL39/aF++RHU
//r3swPwmM+OfIf7c0z+6tRz2Hfuztw/fnv2vwF39oplJE9Fxn8APHtFaI45y/nXeIhv9/yC91+v
4+eAf7vuGeLfDj+HfPf6n4f88tHXj667Mw/jNwz+/3Gn2auMUEY4yX6W7xSiwgQRXHxNd/zt1l/g
/w/X9PMY/HDxs0D8cO55NC7P/xdEw7pwF7+h8TcEQrwSCGOcpvkfjeW7xoPSVxznggnoR1963dcA
/OUy/gfsv173HPavh/8b4lf/POLX9in3vz3+34A4pD6iAhNOvyCe/dB5kHiFMCFZBiH5/edZp//r
5fwc+W/XPUP+2+HnyF//L8j1IvZu+hubDiavRA64YpZ9gRa6yne5jvErRCjCKWI/Rf6vl/Nz5L9d
9wz5b4efI1/89s/n/FvT+MeHFyegVA9W/425j18JgnOc4Z/TnAxoTgpjIf1aGinUxvdt5z9f189D
8fz6ZyF5fvp5aPbynw/N0d91f2P/J8AsMwqo5+SPpP+uJlD26ks1fJ0O6bNu9Jer+Xkcvl72DP6v
R5+jfnzzz6N+Gx4fHv9Gvk/FK8aB32T0p/wHEYhKmtOc06+F8mMd/PVyfo77t+ueAf/t8HPkb7f/
PPL7R6fvzN+Y8RS9SgUSOWfpF2x/ZP7AeHAOZIjn/48Qfd+C/oP1/Bz7Py58Bv4fx5+jv/lb0P+f
tdgfenRz5++2vwvZ7+TYn5/9/RFBWj+79M/08BcQjw+/vszJ72n1RUc+fcIPPf6bFvrx/Y93o//1
pXhFiQBdwAjUBcQPAy0Nj09nEgq0ieeZ4HlKec6A0758Yazz9a8vnyIOwaQipQjmO+MwVUY7PZ0i
6BWGKmM5YRhoF2fsD9cAmFGsrPkDh6+/vzCTvraN8eOvL9nLF/2Xdz09FgU1Q3L+RC+eJhiBDILz
93evYYrCm9H/UQMtXdmbVLJ6WNRhQe36jigqzozT47lSU5oW30Hzn9wRXIEMYZplkM4ADeTy93dM
ddL70Y6z7IwzBa4pt3INAaWFXZzrdzRr1ps/vyWCaP34lBS0MTAlCMXTHw5Af39PO9DGlqma5MJW
7WQ7R13KcSlbLNds5cVS9XzLOCvbbdd01YeJ2ITIWJHPC3bdp9Bnsy0qjJf3wuOQ7/58eU9P/EMM
qEAIZGNGCcGgXWBgfb86bCdW+go7qWxcRzmbkcVNuY7siiKbNHLtQr4x1MZp8+c3Rk/P/cOdwUmA
HEIkg0wTnD3h9l30m4nxtnaJlXGmCVgraY73VYdXJ3tbT+mxsek0yoZl7mqqeodOQzOJoejImKDC
VQNTMg5T072mSPnkCxX5UkM/SRRE//vqqIDFMQJFAtUBNfD96shCrA7MWtmXdslkghG7dmRcpHWq
baQbdMMPiUtys6HMRbbPeG0/25xALimdjB8n6psbPRmVXNRjUyWbyBLR/+UyhfhhoTxLGc7SLOWM
o5zilKU/LlTnDRMLBTBaWtJjU5VuC0/TnpTq0gNP3YPt2nWLiHDv6iqQT4NpKydJx/2Vy013HtuK
/sZ8TRqJzDzeJAvHRRs7lckpdwM7DnNFP+AmGepN39QobsaZorvJieiLNsxdIVRU9X6oRFdvljzx
63WIoltuiGjQp7W0jBz6rJzKTvaTM+p6bTNTyURYjG9aoddsi53HjZHa5m0ms6a2YpC+csu86xBa
2+uahWbZV9yYVpaVIuPGQ3OrqJw94/6WO9ojCNSSf+LJlHYb1wzJeJy6xO/mSLXZ+7lvVVH6hFMp
EO9DQVvIuWT11h3d1I/ZVZxNGY8r47yUqfXJKDtHl7ZgfE4cjIOw3FW8ZlquRkAxsBqR5jw2dA0S
r0ptoeHAJ659TL2c05n0sux1duPGWG06r6guWj42F2TlxF0YGG6pzNIFXpOly6oiUawKRWWVUjJ1
BKD0di2H/SAWX0m7ZtZJPTftso9Jmn6qGC0bKbIV3lhRPRVdB+JQ0lANZ31ZIbLzq6m7N/Pox1M+
BpzIoOo2Xk0ppq1EdujeIU7GfCMqkT90ceVBUofrQqNpWQotVv4pjW7sJO/bvJMV6ZZrRjz06bVM
6SmZ/aJll9QZlWk+QkvrbZ7e565WatcKUV7kVU52LPaxkrqaMdkm1OSb0Yq1WKfg5+0Sq+lI1qSC
HMymtAh+Mass26m+WXOcPzQ2hETGhkm3jobJUSN0Q0Xm3VnZquAlaqlY3kxktpV02NZip+scFZUw
wzWtFuPkkHnzPoHOMh9KXLPbnvZ2OdJkzrVsdRVuckWaKOelUkgiJxq6NW62x4H2/T5RHp3hLr/T
OtGLZIlVd6snSXbfs9LtxlS1D7GldJAJU9CqHI4L2tLJDNtGm+kUV3YKvV8fUDelcpj8uMdNNt9T
m7UXqWvTN9ynei2wyAysYV38wQeHL31J9bFi0/ieuglvsC8r2TVIb+xC6qIevd1RP8PzxyWLEPi8
2lZjPWipEjvvhKp1Kw0lkLuk92i3aF/Wcsxb6ONhRPdrlbtG+qbM3iNTl1QiZQIu7Ny6g6N0mmQJ
c2KHUv7IfNW+SVoiPg/JQGPh4XpRjGOn39g+xUjinDdnyC1JEVXON8TgfkvXsb9tSRI7OXjTvlc2
VZvG5XO1DUPGoc1AuDPZR1Wl27QSVOpxhP61hrie8TjRW7K29FOzRHPllmwp2DCUspoMPw6Nh90L
y1gi+5TaU08z6Cp2YHgurFet37HWULfrJtLv4oCSR5sLdzHwZd1OqO+XwtiyPgsk1ljmdlKf7bg2
xVpi1RaxTmYhVUjU9eKqXOwXbulmbNz6OlV9U6A2JydVjW2xtGNSX0SfTOLUDYkq0NyhWU5+YcWY
pW7bh2YUhUlhcqXpeqVEwmGqeR8+9JhDspaswhfZWPPdOA3VdW5Qs2+VSpVMSj9uZ+qzG1WtfgPI
4AMfc1KQydJ3g+htUzSxEY2sbbLuhMtmJJsss7tpaPNDW1dcFVMgzVmchrhPh476c1t15IhNGvdt
bbNemmQei7oz0y1M/u5Tzhp80SI377ReyvLGozXUGyxyN8thzYbXOsXCHZJ1mm4iZnVapE3JTnQW
uTrN3tTbOS7rdWKWVtI0NKvM0w56WT0OBWTx+hFXI5mksYTtVsGfpk9lSX6jJquTGw2Z3h+bIFZx
gIGclMcZSkFvwrjUuwEyFmpbkcuRZ6oQgYXtnKVh07I6KTLVTptkpOPZ0tHrOQ9HMFPe2DLPztUc
4y4kfp+pbD9wdK+79XWfiscR9a+RFVumsk+xqq7cGnZkba6bxJMjdeNwRbBDtezGfJJ4qqCn1ui2
69mFR2mzG5tZ0qULZ4se4F8K62LgBktSBrRFUM1vyyCW3ZBRtjO9aA9zHNHmyWY7wqTjm6Rq2sey
R/WWJNWwhxzkW8WC/zSTYTnNcAsO08eyrcsBR5Lj4Z1tXZlufJoc6rgu4y51Oeskxd40Z47GKRau
E/1patGspEu7vnA2mzpJ1HTXDusOLSZtLphWU9igpE53vAmuGyUAWlZ3CV2mqcjLPLntm6raQX+u
q2PTMgxUC+uOHsqySvOLkCuabwWtxzc2haaatT0ChJXehnWYytdmwOuGVLgMEpKwL0BTltWZNmMG
XNfT83ko1x33zTLugWqEQriF1gVuwnKpQiuCzMUU3DmO/bJt5nTtC4bTdt6IYR7GLWxjzgeUO3o5
sAHoe8Sk54W1mtVFXHhMZerX9XVbAubQBilGBak1/W2YeC22ma7rYh3SFcm2q7J5x4FHvYWaHc7b
mMZQmCTni3SzYZs26v56hQa0a3ESzXYeq+4hrzx+wohvo0NZvsF9pEQOtmnfcOD2QvqgR1JErFm2
z0NCbnjSlEXXCvW5R1Xydpj6ZtqqrjHHsa6qarsS5QrF+ViISmVvF4bzD3VG9HQ2WNGbovUNsUff
4BImxxzDvk7tcCBmNptlrsTGNIO7slqb+gDTpLvKE7H8NmW6f01a6s6iTvObGU5fYIrez3k7nnFF
sguLu+pdFoOWU5159BF8RXoSjIlDVXboczti/raa3Lh1tpzuAVn6m0dleoLAQcbA45Vuo12W+KLp
qHvPBouUZMuKtzGZuk007tOS2WW7gpYrFJ76w5gpF6Xq9bKB2gcW0JEEh8NUdehjr3wjc6fEGRos
72U+wzpVwMbsFJk91L01xWrrBeK9LGdMj/N+GoLahN7O2zL0zfuWA/Nbe5afpboaUMH7BSI5CRx3
JKETkCukwvnM8Kmp2vlMl47JcmXwkgb+KaZTW+Q9lNtUTscSt9We5GukW+hd4dIifAqxs6+njoa1
iBWej2FZqu2Q9Pl1oB69UTU1J+3RcBl5H69jr4kHyWTETgVrtiVioC/T5ZjEWX0EaVoXowjLjYCp
sQdXJSm3XJP1qsbGy7RvgxwoBkUEmnF4MBkpzzWa0cm5ZHyLQasf2kiGMy18fZEFW10PqTpV7XjF
19Kc93FKsw0IgLOKJ0fTOvWBlTbc0XKybycgO/uuYzepavZA4qJMazvuSZIOMudzd+4mOhZ9qkdZ
I5bt0ICmizXRfEPXrIWB1oWd7TTddU74bZsmIBgH3b/BATS6zXG3jyb2RZbXtWwahfYh9ue869FW
VH66FIqbIjBdnzLeucIPeS4RXsYrrFR5DGyqodeGeIpj78/6OSRvgHKhjaMmOc2hXmspINwQ98G1
m6Gu+SY6kr2L1dDtc9yvp2BM2JiJfqr7WgMPmYZtEHreatXMe1Xix4E4K3aTWvW2KUl5GpK1lXU9
CmnqmF0lOto3qB7NhTYpW2BCNXy71BjYdEwWuU4q7HJe+1PsOSuWJMaD4gnd9MkUT5qY8U29qs8i
5OODDkJtqnkRVtZZlUveZEE2Uyj3fdV2+y71CdD92ogNM/Zc1/ohlrbcAfc2J8JWC43ZK+nxgD8q
XMai6vsK+s44XvKFJtJ2doScYk1R49ZJZoB5lCso9Zm1EOJG7Uei1psp99kbTur2sAyz2XVhqIGC
mEFcTO24SjO5tRjbAfIAu3aXQt+9F8AMH7nrVjnNCOZMWWZHPZbJBcmZ2seR5G8FKUE7ed+FU9L1
07aeu3f5WkHPpVTLsjNNMYvMvUfWbxJftmfeinyWATOQVmiG0d8NqQbhEqrzxM30iRWn22ZY1vOy
Z2gXfHULMVlkjRu8Kety3E0ivMtLaooYl+64xPR6JGjd4gSGNLIm7jrN93VszBY3XvfF0EOKzMzG
TZohaC86zjsTGmhHCmQMgtnypmkafEiASh1z4Bcg6Ay+71iqd3oKr7HvaYRZIOr3aZNcd1Wz7pIs
f2Qpzc4g2mibw2g5iqbZi36KWzf4y9gt4QS9AKRbSPQt8LX1oIjvijrLYJYuzXk20Ril0STXRSn4
tBVDF/dzYjuZChjvFZT3Aayvcgfk+DfNQ72HXWb8XrdcXAxxBmZlayapWacdDxP0ESU+jSK/zeYe
FX3ZuqLv0VQg1Nkdy+IhgQKSJhB8vqi8fTBdF94HnQMES7Usxzw4ieNqrru207oIXPHbMvb9bvZc
T5LpFEgNrcsDXdcPDa3X3UjwBGKMTlHCANPbYe67YsU5m475whYi9TR5K5WfIYTDWltJOKgmMoBE
kHkF5CPtzKfS2/fdsuQPQ/TtCS7UV3ycanYsh4lekKpvjaydIx+qyZIzNtv5MulovFMJctcB9cso
yxCHQ0rpHelT5guWu/5iZozcdSTtr1mbtmcDSciFywy+JqMmRWpBXgTUpDcgKOlZmSuz783Un2FE
ei2rpEZH47rpLDF5uPCNW25s3bnLoRHwqw5WTlOCb71eErA2SPjoyIw+6eD1Jk385PbUBMWlGlU8
CGUUliM4XkfK+AgvoARGPITtALTubc/X9KFMyLoVUx4fMGT4PtB82TluA5JjjbqTLs1Y0GTq90sH
ImgrSjVAVyAE+U3KuKhhqi3NIN2o8Vue4TBtS0uBdK5evLdrh5qC65Q+zsk4+WIqh+Fm7Lv2HV7h
Tpu2n6ebkifxbHEcjFCl3H05LOKgEMIfrA32rDL0IWk6c0aiGIuEYf4GaPttN9PmfGhB0UqG15uQ
4/R9zYDK1v0yHWC7rP6kSK4e+76H/pYxoFnO722XjmezXsW5dwY4klf9m3we8puUO7NtIWkOok3T
TWhVJZe+nQsz+WxvY5W8zoK5WWJfbwidbiaboftuXKoCaxsu1Bx+Q6noMAys1KfSLkn/SaRkTvfQ
kVxhla38BlQSrWXaLOVBT0n/YXF02ASrklPFWuWfAO/llFYXGo18w7rEDLJpW3aGzRKwXLQGIwdY
LNmVeQf57pepKuDLCvnBRxfL130XlTrMWPhkt7pl2fdZZI88sHU7oNBe9JW91bhc7H3tFzJ3cs6o
QTeV5nMEV2c0V7PqaLkNdAioWFyKztDkBmDn05rlWweNhWwrpJb63QDuU5CI9eknJHoWd2UXpo8C
iJfazW4Q+9JPCWQhX7MTA0P6ZlYO7KU8avDOIiGJyGTVZ4RVksdWNQfseFXvwMEDdqxjx/ITHeYy
FJlTMT8IUwp/NCsYLud9VoGVZpNyziQaaNZuHELJpvU5qCwUumoPky820gYxXUM7Nepu8KEBm1ux
ppVPSUs/hBqk0GWt5o59BgdO9Q7WMfsI+rX10Dxl0pGp3GENlFsq5np0RVhXYmgs89juWmAtDzPC
+k0GgkBQ0U2vBYzq8sRJ6N557bp3oJ6GDqidJh9Xp9i0b0xO18t0tlmzb2hfbykN5HKCKgN53ma0
3gxL3ehtBNV6Udm4jEcNXmIE56Icr11WluaMZ5MfpDVZs0mI0eem65MoRV4/0U3bLWZv8roBqjlX
NzUteSehJagWUqtZ+sKYvvssJvBcNwhRRt8iwX23t42Dnl6jrOu2VdaDc5jlyA/bMYRQSp8QbC9R
upgO4ukY2PBgTKoDHhjsILgsg/ebdYW4jlrA/sk6Dsv1vM5Q3qxiZH5dN5nPrpZxhLdzoJ2mUGDl
vSl7SM8dmtO4yj6MwW3V6pEv1qomc8FLBzZePTsgEyYmq5wT2Oze2erJHWmzZLlg7cjXokJ8eg8b
HuEwq7qjr5lNhOxKmgwFpiVzMDegrG6pwfkFsPL6oqpgA6LA06LrjW1g66kYISHSogH2yYu2UkEV
fCLtKlGu6lR2oQUXfRbalHJFap023eKbvvDAwDbCNoHfrLgh3Mi8bNgRzw0GU6PH4bqiVQLImMFL
zVZlCtb6dIS2whk4Tq1Z3rQ14cCSV0YqyeYIA2QmzcKOqwml35SZhp6x2P6hJg7pYgLB/VtwZX09
YmwePO+mdywLAjzwfrwiY4pGmVneNZKuSylbo5ewn3BJyYGyEo3HumNLfrTOgU9bO2KDnAMdz8eh
Q7IGWnUNX2yKtJhm073DwN/fx2xZL4XlQhf90AsMA9XStzSNaVc4sXCYzVPN79YhiF0CTjlM6cXk
TOY9n/X7xpsSCL0eefN5FjNY9qjmkzqMgQDlB//Z6B3YMKM4r2De7gV1dS+bvIzLDlaO7+ZZUC9x
UuaQ8ZE222nhkH1YZeHMLWvzIVute5NX2F8ip6o9+AyQMmnOeL7xwB+rg/d0Vac1qjQUtq+afGNx
pbtNQzSUcrtqnO31kgKxShKUXdOBa3yKnemc9Ixm3THJGjMVyTxwGNxltZQbDm58LGqkxWkxI1j1
eUygsXk1dkUXPT2bGo/1WcqAJW5Bq0Fyhxb4/obRKf3Y0Cfa2aQ63BJfG1zUdoKqSEG4Q81NOjnG
cYZWHzoOlCKWAKVtagHZ4hu2HWs2Al0tF6cPq9Pqcsy9yK4wbKBmYEggoFZ9ZLorEk7gERxU5Vyw
PgEZmP2e72le1Y+LajO2JSDzLjN4SLzpZ9jlzEdkq2KZnP040oBHOQSGrCxH392Cn5vfNYNXH2M2
1Mu+7XH3LgPS2UOxKvxuTcELkJNZUjDXuVbgLi7zVQ7l14Ik4Mt7FNUYNqMAc+WYNsGAsB4TWCHX
mWLb2naeyrYqWy0zXKWXxBn6qZzBeNZ+gAKdKg+hq9GS1nseaN/JZgbaDXcUOtlgUhpwuiPudyq3
wF7bIdHnsIcZ+40ghFwSMcCjTV2a7oN3CexvlgnbphxXeNMMfVJDxqPSH9MsG8PeIIuXfUrXDiaG
q2F3ZTYz6bY2dHEs9NwHu+3gcYKExtXx7aSz4coIAT0PhvC0AZ9jKXcgcLQ5n9oQzkey5qATuefr
B0a0vY+c03EDYzyLJwr6aLkZa1MBPdUhG4o4rjFsXG6Ht8Hz3haDtrDPEZM2n1//vosVNdL6mK4N
wdLAJtgnOwZxObe5i7txyXID6j2rYNdW9NWtaucsOzw1zy2DYuMyqSfxTpHIG9CjuX8tGvBNjrkL
xm4bUT2OImsKbCvgdLYh4ljPYBfJ1ef+HaXlumzc5PAqrdIUfO4BRp00Awnn5ZCJftePRuxpkoPJ
78HlN4d5zGAy1KyrrKyMOS9RZsqTyoVmDxMf63jdCj9Ul455KF6ql9Wfp8s8QAWCUZKdRsXb9WBn
D1uJoJ9xd6TCl+tmcEk/QoC0++xsUnnYPkvUux4PaTyFRWXlb9nK1kHIbCm7Ix6R83dpk6r1XVY+
sYMcBZ5vqZoF3+bgUQy3pGxjDVNQbXvkxVQwm9dkAw5QszFsBN9nLgeYGbCJ0tRHASiBvAz9pHyh
OUyKT2Stm3WVS3B6ugZXvh1v9NBkb9dptXw7DgIvu9SOFS3ygU70akqSDthc1WzyOT0pg7LXU2XU
zoE1+J53ar2vmrS8oKtFIH8pPbmmWt8Tahtg2OP4mlerPfQxp5JWDHZzPMsPCujS1ZA1bpP1KO03
plz5OZA5uFPWp9MGdmX5LfxfBX+vNK8gfUTD92ldD9ewj909ot7Nn8e1Whqoqlhu1m4eXjdt34pT
mHR+Yv3A3CZRITRFAl+OKkJVxvc8XZrD2PZbnwnfbFS98o8LEeVvY8rF2wSo74Z7SAWu6mHTJhV9
1I3OiRSYZxdzbP2Rzya9qgmm/FDDdxeys1BG1MnO9m7T2NYfoBnQA8gq10uwSuynvu4ZNPApJMsu
ptjAHBrqO7yS9pB0CzgAeRAnhslyRuHbGwVDiTiLtYadw0Xxy1r02ZZF7/Ni0WupNmShJPm/zJ3J
dtw61qVfqJiLINFOasAmGnVWY1mWJ1z2tUWw70GAT1+bcjaWMtOuf1KrZlfXcgSDQQDn7P3tYxgh
GTk2td4edOFxHz5W69MoB6ZyLTdqTzUUwq/BPOmYCFV9wArqvUToGkWl0NPy1xqqGrohrCiY3qa8
mmnAg7iCjDLAli5aFeXodA9GDapKO9HoDxv01jwq+gnWKstdG1HSmzwKhqx52FitX+BlY7MjBh2b
bny/jCEp92E8NjqItdHzGjla0RR1bXuxzn04JUNV6Giolw5fK6ni0hTZ2am1jkopl2e+kTpZhmW8
CrYtP5OuhjlGsicmIW6dHcu8Mhak61i6lev45FbyIgta3vSLeRSMOByFXZU6KFpX8E/dB9vrysYe
HYv7bl5ZIka5dBFUzzIes4ldzBaQBA+95aN2VH519dpdESAWtxBT8eBv69AefDb6iWUDng2VF0E0
ZuBeYlyaylFfBdm5Fj4N48x460HwnneJavxBf2vCybuA8RZLM/Zj7JXFeNTbOs3gI7wloXItebSi
O44ryx58K5srkCRdBMdaigj7KT0FuGdwq9Ho39LFuTXq2dpdb1mvzmiQ609wHJpkrpYAIlur4dNn
sghjuip1WbZL98UWBqfY6nT3uPZS3BRb6Z5VPwSpkjCZSgj0Ty3xVii6M47UohshWISVX+jDskLI
isamvmQeTnLXBjw/5H4wJqvXv3giMCfW9nOd7IhQ/L/0Shy+6qyMNk9BF13oHKS47cLFrBhRs+VZ
d1EWEKWmoMzjWq7tT0Ltv0Iob9kcoB0gf5FwEiASAhbycOenfiFkRuyXfttr7LnlgJ1ahiG73LLF
/LWyAH6b34gP5Rqgsvw9mfMWy3p9Wwae5BXtRuXG3r1tuxSWbW6God16QkZN7WiW1NC8saU2Es2B
aI38w3sSf8d9/oUD4V2V9LkMhICv44P1fAfcjBNXc1PDfZ4N3dXMsvPhQ/nYvCIQRPN40HZdPtps
holLUFMDhpDlCaY/Oj5T8W1OteP+N1dPyqCBKnw0r2Ky/RMLZuaduQfFvIYwU3bsG+xm1NA9o+VL
U9WuhPktQakwv0V94Eoy/yVUBwtoYVwRnMyqbU4MGPBdCVnDi4d6C28M6ZdHiS53jZsZZe1dN3IC
DMhf+vmkl8Ys6VyuzqXVmokhITODPVeiMRq+KUd3gsTrK+yiWHSQyhB2+6iKBQ7qUM7e2c9c5cFV
Woc+FtxsZxa2/N6GZY2lhV7h22pXnHXaSmiwKK0OoYfiMh5yGtKkzL0NZaHXZBM0OO7zZNQ+YWdZ
+EYnbmrdmdc+ejbLGNQPQD79Ban4AN8E/fUTyMehTXrWeT+aVhaoNawV4gjHqnjmdRuwY1EaOac0
I+6vWtrCj73RLkNUGTv5aWkswIBBbzyZeyjRaDQ7iy0A6pgX+2W4DOe6mfsK3UwF4ViJcbxUW4Vj
Rm5rWYMgGgG85KJzVdL3akQ/5hXtMW8mAHMdD8MmLfm8GIgNuoYsQCqF7RvYDItcvYwXlNS+OgzW
bedeOd8eXxfH37HPv5NhPyHGv7re4YDXf08//vPH//2xA9/QvMb2/vU/9/Dkv366/kfq8re/dfzR
7fmg6f0v7Vfzz9fCxfz96nb2880PwI4Qp/yFQv0vnOnPEOd/+cP/Owg1INid/pnR/DcK9U2gcqc7
X3//J4VK/wbmkkgFQjgUkOR+oVCJ/BsR+8qnLKSK4Nf+SaGCtBfwA4GZKAFCkVD80fSTQg3E30Bv
YrfA3kTAK5H/EYVK3hJ0UGGBlocg+n0FHFUASH27za5yGXM9gD9jtdlL69xbt5PwWh7GS9/wIxqu
yQd74AjaJ+PZJbFYkkuSVw4V8gywDVQnqpolCTKmxpTWTT6hSSnkmEI6Rx/bOXCuSeeLBv1Rs2p5
/8u9/k+0Ij77m+0THyKkIYAtKgjYVjSf7z4EsLOpqGrzsjAizR3e1PS71zjjnJ/VtKLv22CYcOfA
Anoh7BaQa7CqA/ojU0GdP2dttoRHPjbhAj8P/ftTLoaNJFPQogKv3LZTLmG4fF3AGy/gHwnHEg5d
x2PWi9HGpmYLP5BiC8aH3stUVNI67G49kZPwaJuCG4gJlE3HzWTo8yz8eBMFfICu0W4Nb2JVg87D
2m5MUjSbHOKC9MOtF2gl4aN4jiT+UAJJ0X5pYbKW2UKTIeu9R83d0MZ5U2TjcUZV9RK2kw7niAfl
cFOQYniW6HnJ5WwdRFI9WlSnK/rYCEJcV8cmK3sNhb/YlrQAZlInfef5QYoXucrGnAZp3a7ufvV7
nMGh7d2zF+BsSuxkFu9hG8DsHUrAMPzC2XV16FTL4mMBnTbNeV3AuW9zh51LooJMRq9qdTLNdrBf
8Ldxzi29NetHrTru3anB9sthzJhfxLBn/fuyGQi7NkXeuEM4T3C+zaZwIA5TNjzPPgl2oWSCSqad
Gb+jVcrEg4ab1UTwR/rtJBffWECadn1mbVHXBy0dyePe5nq7XUIyVAcJfgnk30DyPNoKooqYzkRf
sNXMC7p9IW5yH1bkvdgGUyRZWeBTzGXQP3co/9UZh1twt4JMBcCLnfQC5sCWp9QYjS5BwaTFmWTs
cDPrsAcRuU7UJTJXQ5OGzPg4CvjO2IYAZy5EMBQQe/1afl7QqKvEGJrVScgW/aRbkYmopj0qb5ZB
zTh7+WQhpkFxG57Xoilful7XACVbmpPvHRvtrZj1VkJn6DxbREFLv5IByc0LGbA1O0BkaSQERVe4
dJqWckhGrCmd+h3L9WPPqvVb0JVLEHWBP2Ml1Zu/JUWV9TMq0mwJPmwjwYvlluDFaNFNkLFHB7A9
HQoP3Wg04IPh7pqNZ5edHbCBoGOX5PAqW7Rq8An0idV4DzWdJT1Lj2CxzURuONiaBi8KpxGVHdg6
e2sDv3IUaNm+FOd5NOg3ytLgJXrWTvaL7XbBUXtuK8uo06GF9jKDh2y+0yqsAaiit7beiDO46LoS
FbdW6pPVHVy7pAC9QYBm2P5ZThVE47pqTHb4+bgC/srY54UseN/GA88R/3zoxlU36iB7cK5JMEHw
v9Jo2rE6OBq2uJzkV0FzwxL6Sg2PO0AcQF7h55auIHxzB8S4Z+jWcU/CIirQqTzDLq6u2I4lc7J6
Q1RDqf1mvRVKWpt138sdZw52sFnviDM0DnZe9jqdv5bsuUT1njftS77YMdleS3u+V/miDgRAyNcG
oHxtBsxrY7D5bE3bMvOfrCGAvMA7p+XeS9i9q+hQeD8qI6v9OMi7LytqisvawTeO3WtbsuwdytJm
TTLuXYv/2r/snQz8UTQ1zd7fhK+tjitleMrJ3gBZJ/Rjjc5IajsSfFNFkcfUN/N8J4N1WRKFV0CH
kosywP2Z0GksqMZJzEGsJsFreza9tmqoedC2ub2D64lw91U3ejoJ9jaPkwYNn+zxHexN4LK3g9Pe
GLq9RZSv3WK/N445QwsJcw3dJN8by21vMXN4Y6nc205Vz48VRIQbF7gXf29N5c8u9bVj5a/dq2m6
7Ani5sOyjfl53ptcfPo6MXJZnu3eAhd7M1wpCPz93iD3e6tsXrtmsTfQKCopcK+9q/Ys0N3utddG
GgkrFzwbevBtb8f9vTFfOtc8YMducqDeirdRuTfx/ms/3++t/fra5a/DMB5YDmME+8WuA2icCUGM
Dqq82hTNdSx35UC+igjbq6AAxiz72m0qPJGmDb5AHu50RD0xfCteVYks893DsA786Bf54EU1UmpV
Il7VDEXLIO1yzm+2uq7OPjqkI3aS5aqBJRxDccwvMFBhONWt2L4Y185xvgRLA7Vyl1NyH8oKjkaA
HNUwF6dyV16aXYPJN5hU0SxbGlxAdYRMUzdA1iNIg7qK7FyZ7x544B9cm5fM38brvIboM+/yj9uF
IOlX4osn7VokdOq/ze3a9uiOQaWNfgb6OReGJAWeC7xVpcRl+So5+bv6RHcdCtI2JKlRrf0PEO3T
CxCy4RY7/AB7AWvvBv3q/Bchs3hYIFcm46vg1e3a19LSrU/GOqjjMAvkHSwn8bUZ3XBXery4x4bZ
pAhEbE8VWdnlLDXBbtODF9/1t2lX4hZUXIdgmuY7hkYx7t0MSsd3XdLwPjfPc1ZAxu+FGqebJtDb
x63pwzLuK7mXY9PYm1MVMqaeOxSV6A1qr9RpWZG2Av4xSmj/pXHXusv4c1VtWOzBBvB3C+Hipx4l
wQgmb6lf0NtRGpVrP32SI8fZj+1A1nEBxRHnSQZQRxdzcGg1Wr04gPK04KTFQxS1vA3FAciJhSdf
eNVTxSGsHuZqM5eUtUYkPXzrI8h8qUGPGrAt3dDN/p3r5AQDpYFaV+bdxaaxuUcMyR8e14TX21ET
QUAyBg6WpUIxBsHD4juQj0YRN0USWSy/jGrR7ZBGyeTnYMBFx9ZnJUsaZtHjZgHNa0CzRk8piqAq
6SgWF7xJyFxJl7Xej0AsgERXmRdZktdOGbAIwZAYBBEOq83yLda9KRSOux57N/EE+m0f6CFAxUkt
V2gcFyiS2TgtyTSgXb5fRUGmpIPsm6cS5+YEb44A/4PWTb4soXD2dkGnBg+a0v6ItBT3cAb4xge/
Ygadjpvpl1tQwuBoSAagD+vfBfNFzhaQQgG28+pKlWr6XDja3+FEluYCiGkHLgpVRwlfucDJ5ca+
/77ALqqPPuy14FhZMNUHYUMoPjUiQKewXJv8WBrABFQr0cdmA+oTrSsDbz6FPqpWCNac3NUDhX1X
KGNu2SoadL6gCGD7Veqy6Rcl0wAF3pQs7eqf3N53YDMp+KXL+t30rGx5CrO8vP9pENGeshcURze8
KcmAexgM4oKECIhFgm8weVSvJotHsvCag5fZ8nKtuvCymWRPjz64xQpq2lTRyw7w9pgi7ACdQXkr
GH8wZsOz6PNMRhS6380eCWKxsd0dzRASSPzFVwDveh9FhzWhhf/poRQDH04deNfKYbHXaN1S9DMo
1jeUAV/HNp8fkCjaOcdprK5HsvAfcISng/O0i+EC2yK1JfduqrrpvyiSK3RHusbfB+LDSaRoD/y0
mE1ZRRVkTahb6MMDMGwFd5GeEHc/tW2HBn+FryvhT6xQ6Bt/GwZkrPIgjJaNeVd+W8oh2RbmkQs0
PjOP+3ApPikgpGxPgMjPazPmScGog1yoC/lpCH2N9M6EvSeeuerPpdHhRdBL2ceqgcsfj7zFZeqw
Cz5JmMVXqrW4/y6c2e5Pl+KKw7Yb09xf6GM4V90zrXvQhbMqv9AiRDEP+Mp+B1c73Mmhg+GaDTqj
5wUEzbkNwmk9+7XfVjEyFv6XDGDxFK2vTYCuiQ2uQJJ8KvNQZumoNoDbZls7cCZy7cGXexTAu8my
lYFkyl5CthaXMFfsGee/PJNQzldqarsyHrx66ZNGh1uYLMrz2736A+6/BeH2pMm4fVqIW2hK+LI9
CDOKKdUKHmzNquJ7EGbdHA0AtG6BMkq46jUlMWSjKWVkDIO4o2Y6jUE+PqD8NpGH5Q/CZC1OPVjX
Ct5qXka48dW1CmQH1hnRqV4IfQaW+Z3xuY/godkzFh1oFwRXTFSNfoMvefb4SRdZdfBkr+9owcof
I23oy4Js4H2jivGLslo95C7LU4HzNQkECLcYPJwEXzK24pZj+f7IVuvpqEfL8nmGs9PHHdjRELT0
WkPvH514JmMXmoRPvou8vf+SK+H4uZOD+2ACpeNAd/NBgleFW1IjdFVbg4RH2CJCZALaXjgw7LBj
weo69JSyFmKOszD3+oj79tZH5XEs1fhUCJE/Ei/gl8FIsVn4YXDaGnuC0O4+UG8IPrN+7beoGVZ9
SRBDCVMUJ+ORu6C9DbxwHCM87bDYLbULsMd6OmhHzKOtiTiKHAX84IeHDo7gh2kOwM9mU6iu4I5+
7ywBu1FlGkG0TW3NpWyL8jSbDWskyxewHKoI5EWBWOMZp88Pveb5d+4N5uQ0CVOJTbWFC+DxK78U
Y5ggull08cxKSKFzPet77JL1dQPrPAWBrbBF9Hg6cdYrpPpCTLI4rK7knzs4m/Ey5SVoeYLS1g9l
3KDxi4fSjLdNAWBTh6u5Xrf6B5vxtwwCNeeRh/UlLT34pxmPQQI0FCCV1/yQcMDTQiCfoeqJb6jw
uhGM/tgYdtRVO99QGHR3bZZVRyDh3sXo5XmdTsCGIw8hAAGiM/dZNM5DjzSV2sJDDeYXdNxU67iU
XXnhz5m5C6b265b39gLlxXyqHB+v6kWAogol/RA0U/3JNNoMKVTKAmczDvqntbTuCPBnQnkRzHM8
SlWsh7Au8Czh+Txn/Qjc1Lar+kbbortvJ3/Glx9mJupHXc+XAKgyxPOKwVfw80rzUo8DGheCqgb7
JPJc0dgD61097r6JldYfJhB2ywVgInM7CQ+LSAcbtnvYdON33+oRBXM1byhm5/BpnNET0nEh7RFx
A/stq1qJGASqDqxeBLo9CMVoUPAYbxO8JJr70WqL5QGgqneG8YW4k/ZZFocg2VaciD5L+7DVNJ2Q
uzsMWfBMh4FctiWCSU1L5gNAtpIfrOd98a0vjoEB+U3K0l5Cp87PFv0HkBavT1Gj4Gwdy9lEsiLZ
eXAavQGZW3caRUge7SyKOsa+wKqUz7hmi2lvT71sszmGx2UhR6nqNrfd8IXlLQdhUk3dR2ezj+OU
zx9qy8V4XkcPCwfRh6X8OLamYZFQiw8oEqz0bUGNl31wzMjYgPf91Pr1mErur2Cd82o7WMRlOboV
34ESK+t71INI06xhMESCsPFbxdrx61LlIxSzwfxl17kakyXcUld49dE0NT2i8vQkoi0rvbBm6OGf
GO8GB+DwbSHImWmWD3DtTIcWbFuD6wCtf3f0oBaeVwC75w5N0l1jEFgRtdwSkbv621bMvYtx9Koz
0c1lFUqH5GKmTwTpkbNdNn0ClYbjD8X6Erd8kT/G1QdHwQSatmTeE3ax4R7QTOvz7U5sZvmMcJ87
dUswzbcO9N+h0/MXHMfNQylbm8qqqW8bp88LPu1x8RYsdLBLyw+KPBa72Mp58xE6QMw0HcDIgr1j
w2fZzDd9GTRpB/02tqEoPhd569+PY9nEYIQCCGh+8ayqqT95+QK9UHgPXUYtbNOxcSfUzAqJw9BD
tY0+GQ4C8gNXZtmqM9rJ9hiOGf/iNQVJqjzU1yW+pbkDA5/MPDMAyDfWnqH1zAiSBe68aOrdTyVO
ItQ8DEshvAfFtlxA9MtjjWPqMHpghjM6u6uuEJ5Og20GC6qQiEE0UQKniQVbiht/VOQ5W1DZrVM3
ZumC0OWl6oyFNte3X4QOUcPV7oWAp0IMrC4+BXW4oLDKChBSrLywSo/XCPfxG0QhHjeEYmOker4L
pGc/smnCCpoaYKE1IlF0tdOnmba6uELOfP40UeZdDK2cn2XrI/7LwqoLbkvUEfZLy2QOEVbs8ec5
W8olQT/EIXetRQ5uB8EUfEZIfYjGFlsDMVXUOHkS7Q/TRwFWzkTIAawbCBYoQRkt/OGoQwPhcgC+
Bepu7nwvKmrPf3QDXZLBaDBBuTb00mt9/AIae34LNrpBEEIjSshbuE3waLqcIbKQQx4waEaaBLzD
0F/OM3KYCWL+pQAGV61FyiyxPYzqRQHcmUdsM5YKNF34TiXEJ91U5g/Z+f+kmGM0A9vnJ8Gt4Lv7
+ou7OnTI7GHw0g9YoO5CNovPTm6juoodwOGYdkvWQdAf3Y2oAA7/XrD/N8sh5FIFIcfwBY7RKTAw
3ry35GYaSLd9lR0SJ4UKl2PuSJlsEF2TggzLCUGt5d7LKorY+OL5h9+//b9bHlLgxFLBPlwKszzo
u8+uBdOe5VCSN59onYL2FxAQgZe5v7KGMvOxfx1koH2Fr8DCvv9WliWdQKlD3UzXcYE+g5p/KBNA
grY6ZwvivpdLl2fBkekAiBitdia12wgsdwR+Q+/nALX/6o2/H6sBZBgjIzDvR0rM1GAYk/X2Fnog
zyFmU1A2JKv4UY8aOrjXtgHIUQN1Lp0BtNcolSp4OrqVMGOQOdutGs+un+hUNc1xGz1rEvLq2niD
x+vbP9znt6Y2XBnMV8F0DYaqB88YrvPtRYYhNluRwaHmSKWYYxZ6vLtsTI7rwsF9N+u1+KEQmejj
stpwk19dJNUpNHLBkIMZ1GVeQO4RoOIgH7JN/WER7C7eL7Y7AwgeYipJIDGiBOg3GIm3VwhhW/cZ
CBZAy7Uy9z8X3RRMGDRAduTnBvsGmw6ICDMDEhOTLs65nbb6RrXaWkS83UzQHdsK5UM9tHhcJhvi
SUGkgCAZVQzhmsPIBil1/ft7G76b0IErD/Ctg5bkAfMpRtS9vfK+BC+o9FBFAYZZ0FNYuVp+qfOh
N6nnsLC/NoBsa7AdmlbXeRDkBDNOAl3e5I53+hKDWnJ2wtiEDD5WoIv6AAtsyhPguXTDKASNTbPc
3SAoAZrF6+yCncYD3qzGmsOtnsqKHpCLN3YHEBE8Ekg1HD3ZNR1esPFe0DGV9xivB60VJCckXbtJ
72uvV7nerQBLPyobsjoK57nv/rA6grcMx/61wtknkmKwisJ/sXcLHDwZaQRMHQx00VbfeIVEa7PM
xZbFBWqmLsVIFxpeTyOGC6RjUYB72BTPq4ufDATSteID1P8JIacWFi2QC0b7EzbRqrz0ucNkh4b7
SKPB2Q12AmqBdSObHC8TWPCzqJBaX62JHJdSfu0RPt7OUF3KzxD4fffx90/C280U5AgHGw8+Y38Y
fPqTLPllI/8Xp9PsCA4q6Dyudiyn8Zv+gu+oTo4EEGqJHeBxryzP7y8geLvMcQW4yeB2mR8qDiTk
1Zz95Qo2bZlrgR9G4BEn5K9yQlFEbhKawk9LB7dZ0LPKqP5ceN1soxqwKnZWkgd/Mc0Q+K17VtAk
gDgLLLmGVnloEOz50pY4BNF9ZtnZM2s2pBj0RI9sqeo+GdDsgtRniGmaqAkyL2UUQuXxDx/u/e2F
wx4SKfd0AoaqAAB9u86Y5rmf8fk7OpPhGkpLW8c/sW8oBOoaXeSSgZcT4UUG2vBr77eQE4UYqyz1
pcxC5DDbmUSdz9UHB2U0AX5YPgTWzg6eEmEPanHlJV9a7ClgLtsyhnvTjonvr+S6sFLEkIQhm0sX
liBCWuS2oOWxKW1UP97TDM1Q/PtPvEMHv+yJIsAnBqrAA4EoAGHAFt5+4toD0c+6+vv8CvKHYPPQ
Q3TTrp2BSmhjjNIYzAHPWHddG5CbR9ZBd0VNjrZmHkJt/8CBvTP39wvCECLwWAHsfR6E4l250FBa
4JzBIJV5xXF+7pbeeyhL1QqMxSDZkFjkKx/NYAic3LnOinRlTmZXSrUgZhkGjyzRCqMac19ypl5a
LUtkeBuf34iwCslh6avmZSyQWLhk/dBcI40w1A/+Ki36q93gxEbTPwf9xD6yBXp95MBFotvd/69n
WA+x3jeeQELaFCbJPVnVB+RG8YB34Iwj30xo39jUIRjH+gbFInDqqY9X2Nh5nCHKURwBXE94ok0L
ta5GUa7xkit1cYNdZP6s2g4vVr86kEFDw/zUimU4hZySg4Ttj0YSKecs7SQ6WticGNmUgpUauqQV
jaLn1pW71e4F1ZVDJvlxUg6KMOvQ+0RVOSKyYxp1XfuIoMZtgHBQGs4NyleGxDQmQOHuYg4NWWA3
vT5p/89gov8POSEU0r+stn/jhN4MjP7XyLrXv/WTFhJ/A8CisJFiLh1mKSDC9Y+ZdeHf9qMeIwkw
7wqipmKoCP4xsm4f+I4/wV+kTAD3xSb1d1iIYSQz6q99iBdOiRCV4v9kZF2w73a/YIo+ICEK8AgT
O7iPl/P33fKXrR4G/WRdNapo6gfvo5tYAGIREgECphk0f1HNcCYxoWpOJ6H1saR+2aQY/wKxCN1G
hJFPIPZAbV5InqnnrbTtE+RWjEuBBCrrA4Y2VRwxPZV9RN52hALjIxDphDv8ctf/AzH0blPfPwYG
tsME23f0MAjebXE+dXIIYQZHsoQU1oc77eHnFDMe8jlLMOBnuN+nDZ1WT8HU3JAI+f37h/sbvLuP
+86KuAsqOBRv7+pOzDHomnF1MpqyurzCMKTqGiwlcrozSqUoy0JImlNusgu0sd4JGSaX6By0BM+n
c9u71GyjiEO1nXCV04fNVMOHQGG4yLonIXs5jWdMjSY0RYOFnF0LTAgKpBcXqIGfSwylodcIeJU8
dgJKD1vn7OLnrW6Q3/n9R31XYov9XnNU2Ni3MX2QYo7720emzYVvRIUZRktR9ffVVKqbCZbcdNi2
XvGD7jZ7s0oFdLqyUhpAZ3ZuALFnISRyxNCVWeuvAnIHnEsbqgmDnvK1BkaBSIOH3GyJJ+4Pl+y/
La73a+YSbCtXDBoJ1Kx3J84aIqsKLS5EWzDUN4TYH8jtbrBHMcFDBZW5RAQ3u5iVxUmOsLtoVgSy
8pl9c41pPsBLauukw66dEKuHY4Yttr8pKrVcUri+jyiT5F/5BGM37aBcOhzozfBItxbeOmbBXDgY
docQbsytdN0BU13oEV/jcPCamSdtPwEoK6rhW2Xn8ZqocHyqkKJ76ULl3Q+kqS9EoZZDlvXBTe9N
Hnp56qUCEk2M0Np0iRC5QIasldAg1/ZBgN36Duf6cazk9glYU/vUAaL65ImaJwsJMeAkrwfMD5lU
mi2Du0V0qHbwgTEMM6oae9FsJb/pXT9dd0BhPowIbO2iXvgUIkB6xcgG905V98Js0002F6C4kERA
cmqs14cw9FDVaEw9GiwG1UUbXgyQoVuv0SBeyYDO5xwjqm4QbvlganVAfnmLYRREkDFxIg862FMG
c1Jaz+Yw7gJwubXy70jh1jaCfcWP1rI8aawsr3MM5km4AbCbqQ5rm8N4i4axq6DA9k9I1UGE52a+
HcRUpZWPWTTVQA6jbbo/FDTv9AeBf7ljr2IQk8YEUILl8W776XmO4om5PJ6kwSQCbnuF43gysPj6
fnxZQDyd9sYyQcTAfVj9arx2XDzNXuCBuKkMRspY9OskwVygMuFhjqAsgqGn1xx0IJopcaBK/9BU
va8L96sGhI+Z5xzMKAXM+m4hSxMK0RmkpXvPR5Ae7qRaN1jQvlMniydINIX5QTKDORygHlM/d1Oi
6iJ7/v3y3N/n171zvw4As8BwMNUVAtK7vdNiRAwCPxgmYyAqAxvH91uKoUg0mLFDgJmNHynyVH/6
zv79XXFYCCCmGLaEQELwblKoT3geeIj/RI0LtEm1WYfPVIz5X0sFFCHiTd6uR1Zu7WNVdQAtfdZU
fYTpUtmzGRyNZq0oBjJN05WnIAr1aDou+WCTCvLh9ocNDP/Sy/t7BF1jP97QlmFuMeIMb7+rEVGz
FloV3236FjWw+ICL/6bBLCBSG4jsqLQEXTdA4ewL1h1BaFwazGvpYlsDy4BLTGKvDb72lHa3rMA0
iAocS8pHJMk9VpNkpdn4rQ29Exq64sKYeYxr1j6FbvBjSpANL9ope+A8aM58aPyjqOkjTKkVsB3y
tkfqtyTJ8l4+QLsHebFCnpgIxtiAVxLLjfTxQxwoxJbJ5NGjyusri5FNkUebHSSD6A8gc3maghCT
kIAr3DLiY1LakvmYlZdxeQCwqL8UCtpmx6U8giwaYYfl2aHKK8x+yWXHDh6YpofJdf4J0z2zY9Ug
ec8KPqbKb3EyD5o+M71iTtdW48W3kvDPFmPnoPp0/4e98+iNHGm39F8Z3PVlgwyaCG5mkUwnk/Km
ShtCKkPvgp6/fh6qG+gqdd+u6RlggAsMvk3jQ0lUMmkiznvOc9ap0gxaqUQ2NwLpted6FPrGdZv2
tjPK4SsEHWvP4yy7WqOR4TZ0huW8iPtpwbgl5JbR07SVU2OfYlfcVi3wmlrYNcyiBtxtGGExavvk
xkhtcR4hzexSFn9nzGHC3VQBUpgqgfSTFfF56+nlHE1mOBS2H10X9cAozjMj0B7hWJlgR6VbHVcH
9VvbeNaui7xFMRWM7J2b2gPoPLtODmt+fKPJ2ASzY7THqVXzTiUZJpiy1PWrFVU11FH2oeaSnhVR
0l/Nyeht2X5Ml4AQzqDodfsCu6QwQ/vCbuInL0qNjdA+BLQhOamZlWJTiGVj4l+9yg23unSWtjtk
qHpvBW+bQ+k1CodXXuFIgQpcbe0BI8/iVurUKf24zHl4aqtOXWMr9YMhK/MTMT64plbtHlpp3pit
8QJsdrqbNfYkI22ZftbDILZxk5NlhhLDJS8OqYVBq03DTySJK5gonrrO8VBvoMDAr2tm64lltDhj
lm9fmFF2ZtuLOlhz3AVo9fMDupoRRHld33XzlJHJVnNQp95zaYx54BnOeKM9YFiDbyQrUcVh7s1y
Nq/UIcyHMah7cvyrRRAf39AX5OAHBeYr99ttmkBxwtjbvfAdjvewC1/COk/O/W4SN8OQuJdu0Vbn
vObkpyYDwZYKD7kFc9a2iAwmzX3+bTZmg+0kwfUAfW2QhPJzcU4stYUOOoUQAZic6Cb+ViEHYSIs
ZLKfMnfij7EewnKGrxgtzak3WZ3utaiM244bBo/zkr2VVXRi1zvtNDSpL6zFMGoTs+cKUhDIbKcQ
d07s6mBB93oqG3Gf1pFzXogWyhYwPWsdCIe7hXylSzg0hu8IFuiY8wVclciUrxYP/WeDWO6x4tnz
qPKlvq5bUX1iqRrvFjudL1s7YiBMlkamBy9FgO1Ac5WY1ZN4ZPYqU0SC1BL4Cf04/GR0nrfP0jT5
phnlE6yLQcIlLR6JpHLGM2B44sA11rwZU/NFMlrCICoUYfYZsGjsewcri+YLGUXdRcK2/LoV2r2Q
LqlzJZdnO/G+V9zx+3QNw0rpr2m6Yp323oi8Lxj3T/4Wrpx36H3pvA6Jd6z8XARmPekjq5lMPkGz
aQh7+aXPAm1Jxid8OI29nXw337q4rJo9BrrueiRO/mXOqn5HjASDB1Z4wGrlsBz6CA4jclC48+su
BCXDGHldClzFsWdy58HzvBrRFe7jtDR4LNRImjlrB9bXZnQM8TThWiYFP1gdCRA1T29zH6mLpq7K
k5G4WR2oXKW7bpjyr4lHbKnVS/GsymhieO05b3049/dxb/Dgn51d2Brq1R+c8ZR6jT5yQ1tXGQau
3Sh9vpnBlYa3xVdTeufDBA0nyvAVBfB2PHOTOJMOCdvn5FN5/1ef52YG/zp7oz63eI6lAVqrwR2w
3vs4ACBP5Ml0NMGdXCfYl6G0uVbo74bQFvMumUoxPSaey+7OLKFaTG5vTsxTTevrSDzausYpldS/
HyllZH8CMU6CPVxvg1kp2I3NjGGi7y0QEbxGRnGrE0ztX3s/zIOKv/hqqEL4l+jI+bCJPJNQSYm9
v+de22HeVFtzcXkB41RPVtzSdDOWc6uCxqugneI6v5K4lLeLNu2z1OXh25MCAUXFIPCmlJXgQYyy
g92gjiCzt3pybGA1SbOCpFijXFRJn3O9dgVnd6XaUXiXEDRR6pL3uP/EwfMGcmucpm/hVEawoLwG
QdZhMZKxCrbqfJ9A1mzhmai6x41ddF+H2hxZycCpqcm2Ht//VLzWzlmtu+Qwi9F6gJGnyYnm1lWB
1fxo6ci6gn00wpXmZczmTasthlX7LOQtc4mhuPVIJfDpk2n0dwUcjjvQ2Q5rblFVj9WyoEyJaGYJ
ZDNFvulczpbREfq7m0DgXcVLRZKc5aQDzLPi0rBwkROJNNzQ2qdsKPGQMT89tO8MOMRXfWwn7V+6
LrOMxbbzz5il+TuGDJ6oNHX92e8xwcAIVfWdqH3ZBFYeEcvGOccFW8X41ZKeD9KSyimClhlItxWG
9Eb+e03ApGkFeVXxJeWaHRGQ7RE8XTwCD8YXfF2xTkTNtnxkvrL0q4t8Mtdps2v4Tz6enaOLX5zR
ihbtVwcf5tO8zHGDxsuQlBXF5L7moWU+W/7QAkiypgnAAaazmxRJ5Dvzk/Tk+JXauyKSG9ziXKDx
tFWiOK912Oigj13/pvQXgwGHdLcjbKAKwGqX7/2EoX67YmFjs7w19QIwzLXEyZ2xiRjgLFpoTGsE
Jz4nPzlexfiaiT8NC0a1SYYPdp7paQdd8wvmCAteCLsp6NA5yC+dZ9fSTuvbPhfOafHNblvlJT/X
2fp8hMeFBu6vO7XW97dYkqu9Is7yZkGB4elDPvLYtHl9YTFi2sowyb+2klVHg0WVAWwKE1WxUqn7
4mhZsvxeztV0KsLOfKjjGPcnSUvgEF6nrWRfNnX/eekYDnS4rpBFK4s3SJgl7iYhSyRwOZfzQTf2
EVUF4ruQdauBIi85fos4nHmD2skFg/oxkB2MijR3fDKqtaU52xa2hw0SaXgETCQv4IlM3xx84Vsn
F9aZts3p3EoH6y51tACEzM7/WDlLdAJEW+BgHuYnzMfPrDHvZRzd6hjohdHU+qKdTeuQ992dY0s0
V9CdiD/6LapsbGeyckk3yei6nlhIzS7EYGOcWaWTTGXEYtzGo+kHfsxeEqsQYR47JF4+8KLvhDtd
R93QXxB6qa7bYpmOqAjqxY5LcVN0fhWYY2Zfp5EqyXUX8Htd5PJx1tGpzbPwypt6HGVxkz4Ohv1c
VyZDxlZVV3bZvxpDWD2BnU+8wIhrH4RVkmyB0SRHP2yfIpDUn4ncQH7D0/dVJw7B+0XhuPY73WwW
b1QsDJVzEEa9X4j7884kBAKexiR1Xa2hXsuWBww5Dt++/TUp3UdfzKelA6tX4VL6z6TCjgWQGhJF
q67YvETQUkCmsBJ9LFl2JrN5bRLIJbzLjs229FvrdXeqd7+IzHoucW9sGrO+02F/nxnpQ8x4OcpA
LcTm4/te9f+ZxP1jEvZ//jfKy5JY/WFT/xcdHIn2h5a8NTD7/gO/S+DCWZvVGEKxtZfk/gXWlfHb
WttC0RFjepOoLK4U00NP/FMCd34DF6Asaa4Rek+umssfErjj/4ZobiO3orMqxT/6NxK49VG6taSL
msk6931Kpnz+hh8lcFMuljajgdj3Ui+QOJfU7MhhR/gvyM5KuSlkiwexzjz/ZmlibwfkFb6P6Lnk
tz+ctL+RsT/KlPwptsmZctcCGdf+KFMCzWaIBE8A1JCe8XdIDFla380qEr9QFH51pA/aT1vh8C0j
zCUl7/lDYw4YSUQc3zE9+pVg/FGbXz8U3gbGFahjPgr5z+c3l5jN2gICWgQC9LCwEwomQJVbbKX5
rlzTNtNAuAJTjH9hKLI+//6c/nj4D8rJ4vRtyuzDDGIZJ9e23fhsrvrhTtrMrf/5UOuv+knIWj8p
k3Pqh2BlWe8VMT8MU5j5EXatuJJ8I1OXlbQrsm4qM8S25BYwNsCKtLH/52P+RcbimHKV4hlpM39Q
Hz6eayyZA9LdxHGTMTjE9jPuhAGRijChcWVkbBpCqELHfz7qXxVPDqtwY7BG94A5yPVL/+GjQiqe
S1wSVlBQ5/OsrL6/jGJsVCxJRo+8pT0h92vJ9HHrKs0ygVW2eaZnrYaXeTEL7+hGKJNYtTzdIK2X
iwMStqR+phji2DzVOsPEY8BFGW5kmkNH/+cP8HfXPwF9bGOItmse/+e/P89KjHgKrrp0EMJgUYXZ
EWl3nDaIf9UvLsEP3UDow75tKuqZGD9wYXAb/Hy0FZtVs7eItzmEs7vFrVMobYKNzzKHuGrtfpYQ
kn2RkpAzWYF4sq2u6smI9uSujQfRZs2pXSN0v7h4/nLB8ncx+hP49nw2496HbzHx3RbSRETU0p4/
08YCjLeq4F72UbKTy2Le/PNJ/5vDOS59VZYQzKpwYPx8GrKo0V4/eQnB0CLDjMhCeoghd3rK/q7o
TD388+HWs/rT7cj0FOwL083VaGC+21x+uEYdwQMuMV2Mqgtc2temCrV6QtatQNeRLn6Ro2FB9iRA
tFvczvvFl85hPh6fu9KxuD94rvGm+si7wX1J9AC/X4DGyGS+9YTweZkkyW2lMC2ACMertoUMZ+TB
GAl5Kd1GAHuh1QWk0xKCWouMCoIpEx5Cklbc4Sg1HE+yD+hks+nx63dHRHy7BGbWUaaSLt30MMfa
Ir2thupxgKNUPIJ5w7xPCLBIgtTtkEJlRKSdJoS6+S7YvGO9tVR5Q/Qvm7YutUklHKYknbezrQiC
yJqp2pEloq62KgWUTNKKzemNrtiOHOtGjXFQ6saCGlhmy0tZTexFi9QR7kmrXsesvRl1andAXijc
uN6HNhzWbZtBuwzsZmQHHNYgsNjmqC9WZJZQrBpLY8NTjboDjjMctOxdOpQsOIKASBtspZ6BH3wn
xGhk26m3sk+d2fg3vc1OAkebUz+6gqXFaRyG6tbNGrc4zFVf8TLPF/nodzXuYmRwcS1123zmNLl4
wEfRf8VgyHS6R+6lGmBZ0Q6thDc2oknnRJUG7HVDnrdfPPh3z0nRe5+o0posNm9Qdmu3I/Mp0mXe
5EAAP7lZuVzhQ46+WWy2b4dKS/YsTZiBQleV2q58RYTpaGaxnE0CY3BVu08zMQ90Uzxe96kmOhbU
S2XeLwYRkJ0Kq+Ge8Za6W9BKy00+UH+wmVLVOZtW5MuRvGJeIqWAr96MpsJhOSvEi02pJSg7g9Bi
RRJtkF88IIPpYcmM5HuXOlaypeMmu3Qg1HXAIzN/2C6zKYdrEkDivEmTEXAwt98dyyOZ7zyREKzc
sON1lidSlOZw8IzJ8c5jelGc80QNAlzPUowDup6t0scy1EIGipk81SnpiP25qqR+bAVC9kZmxOiO
jsOU/8xhd0WOcWg9Qssq1t0mTFK3J4daQWiAFOC0ibgay2JBNrDaiBSjxuq1Y+Q63UYmzCP2+vHQ
bBADTDuwQtvD0ThV+RebZw1dDprZwUaD3eg3PsDeF9ptemaxBpShoBskCiYARZdbxZEpNv5Odo82
qxYi5DaD3GDpBrjgS7Jkcseqtn3NGwqqLhsH/XYEgeRQfZSiHAOON67wmofuUcQN00sNy3Y8ZUut
GfqKWowHB/v/tFdFzRi4sUMuBQgOpkmehVdJeeGOrps+Vg0r501nDPBBSg8x6jAzV59PIRqWcRKa
gP7zpGx/2JV1g3hZl900fQvbOJ3OojHmfxsJwJnEqJBT/ia4yRzoL3l7VYH/7Z9aL4yHa9GJLL5G
JEY5ZhleXThoOC2J6qg3b7GG2M8ugSLFXm+u9MEw4dICQSnLOMDdW8mgS3VKQMgEcHTFJeA/m0yQ
vTNnXtEpoYFdOMDY7C9k6GJNpY+/JHewJCaAGDJ27kEXxs5GjAmNXUbtm6dBtNi548xsCPwlM17E
qvGN/sjsml3xYJk8QXhoEsZ4dg07viEWOr5Zbr8Mn8KiTmS3yTAZNi+VxzSlC6qxz0rzFIuhEQiN
lnaLi9AOG3msvMQbJB5rjC54o3QjamvDMEs610Vm9LNL1KvNyV7pKLHRBfCBQYlIosR7yHuXWKc/
LZJlDw1V9YZOLjGeRL+asUen5iLsBWWAcEaiXgWjNXUPDXac+Eg2dqoJo6qB8A6/jESknLLn2TWX
EH95rShz63rE7sHuo0MVTllxIveeiWMLyay6R2cvKu6j0nvKem948IbSv4QpH58YIS7EqIkgSUYt
TnQBJGLa48KJYSnba3iaoVhMBPmxrezw3omnAaxmA91iXCyvJx9YlK9hnIf7aWywxiFy3rVx3T4y
ja0uybB0W7b7w1NozPTsROskTFLvQ9RmB0rxlMfNdJWm+StxhJzBGi6PXUkwEEiMXjZdmycwaP1h
74gRkGgYMcuhxW6EkVjkD7QRkZJ2e8u8mFf0SKaynVkjMIzp5yj1oi3SrDKRyDr3WBV9sje073/K
iIVuFokEM3Ruckxq97JYC9sSEMa7xC737hBHpMBM78LQCih7tQw0/QzZuddj2FvmhaoAuVVgZtug
xGiAIG96O6r8MuT5YTfI9sD4PSk2zuBybaiIMqJ4aPfkdON9Z9ZHgGjPa0UAj6J6Uq8EXhQLqbw4
9mXXn2U6zD/7NH8dR5S/A3Q1/obJVesQlKeKtJZ5VzvTF9TFZ+pD8iO4ht1sw8gfBAI9GICh3jOk
SE+4q8AbS7tFrKptRvZW+OKMDshJgin+pkeGe2MNe8YYNzxmpfhC1pasL7rrS5MtRtDNKOQSo/cB
JoQZb6oUmwuFkM/hNHrPYbtQgMJTj4D8om7Br9i7YqCdw5b99xTv/M7w44u2bb6gH+rt0OS3Veme
oYKmB0Okz9KSN6OP0T4veEtn67nK8rzbRTT1IIsThQlCkxyolZfDGdwicw9N6pzB9AORIgfVziK4
XDbNfkxbeUyd0D2fMxEDqG1s2NpQLXvWBrCAGOl/ChO701t4RvPBIot8RbDLqTYNyJitFiPtpHoQ
K0iveXHKJr4vxdATjjW7xt3qcFJiJ6P6hikhHANoGWdsXR6AUlhXY+LyxhFNea0861wn/rGoBUOT
tnqLR3GV+uG50AssuxQatqLT8LyK5DXlRlRA9e1lLGosoNJfo7zrY2WMo5kcjFlc1jjXv7NSpNMR
jXxLIWEYxB65P5P2hIt08VqP30ABnkm9EU8DCUqlpPNirkbex7xOL4EihTDhnBB1Lz6r4Tbcg1m+
JnP0zez5GaKG4ugScBwq8/tYensWad011g6Y4KU6DCS2g9oovoSKuSlEYRoXbOeauOzwaXJbg+rC
+DZD4Mhg9jHMFCIxtiYo99vFFGTBNTFab8n3div1vijltldOydXU7HpvcmlgWQIgfmJD8xilg014
luAQRDhWwy4p59vK0dE+lsVL1A7q3i6t80zRvWKY/aGIyaT5oTqFxAcAFr86PmD+0GjvjSE964jN
tVH8Cffywww0JRgafYF6KbZ1HL0WKe83pCcLo114VeQGJNO6YX7YxBerYmyErHr6zvrSNizBGxLo
ATkCk4wty2U7zNW2hsyIFsHU328F/3iInPAQpam9nvuE4O/MxMCcgcbkaKJxSWFoT8thot/qwmbu
GYpy21JfU9UrVVrOL44ZI3h6/Q7OZndJnpHn7VydHBbEDIWSSG3yJRof4ZEA5O5mQx9KbZO6ML1x
DEak1oHlijZKLncGxYHrQ9rYdqwdP4GDt/llTjy/MVZccKN0M4+9JkwZHGU6WTshltvEC6P7mYHZ
czx6AuyCmzSctSICIQMTSmWbYRTmN3hSBOlSr08YmXDN0Y+WeIwUw6Xoyg2vUk59mRP2YH3ilYQz
W0Gw3XCX/pPfyCUBHuM2/lm9yO4KAEno7K0Qb0nGTCYMmhD6TGG28bngDexs2MwAlddaTGdmlvtH
WllJpi1Lz+S4bMtMgoyM7bcILEgeuGbeJrvUtvV3TmMueUWU5hbQs/9Vz8piPgorbYQwIyOw0pEz
xvsW0PULVCiHEWk5u8NZjYH2qkXW4zQaZviQmsSUtnksxR2QrLwKKNxJr8xubrOtlrZ6xati8SJA
dhRc1G4LOAwCwNq14abhjvlOQ08ao5Bx9buw8hVQlWn3dAQskAGv5RNax31d1BGjJ/S6BFtEk+Po
KOMUnkhU89+DA9eEubwRfwcvgN2jR06ftnVr1N0BjZ2putcbCfSDoXphfDnjew/FEzFLuCzE5trn
ccVLbilR4SxJoVEoKWeiwqBWkXeZ5DZ4vEUMmv87LjVXOq8uyd6uL54IBSZPgNe4UMFnywdwOLzG
VJcpuBpeNOTbJQz1S1u3KedqLpZNEhp9E9SzLG/iufGp7ejDmHdDlE0cHNbci0wbjE9DadVHih/m
/qwTTvMtFDJ5AXIx3OKJHl9U5YBF62sIHFSINfZO5r773Gmcg0FeNsshAxsPZIsi2SmoR9TRjUh9
egxwzVtvQ5z4z07o8zzK3dV/0mVGtGztWXuPbW1Ah9dcmNS+2Pl458im+poNpJfY4DZMdfupmS9J
8SGoOose2K70jtvsYICPw960e7dimzw7LyY+lwfbKxg+VgKDVJCQAghBQPsaXbJnIgitFac992I5
fiXbYeOJgKfXwvhnQEReq7uNaDlNzluOcpePrA5AsYfGcHDcLuN9OXpkv+E00Zxlq+UtLNzqdjaw
9ARQm/OnsBLNlyFfuzVBSFbrbVa7XAxR81CkgrqOzovdkSCpT5zUxZcithGm35S1jMeiZYXUATaA
mvbilSH2FQyHyRcDeDaIBJMEJNwqt4VXF3fJ9zKZ7FssQmyCnE62LThyd/mklqph9KokIeG2A+x0
aEWdP05taEmKlIvyq9H3DqGQSDd3Qz6xQTWXsiI3xqM22uV5aX6FXugsQTibowxaEXnObgTQtuwm
KI09lR8jDcsLyezLxIbEvK3dyficD0pTVbtQXxXoPAxp6VBTm2FhMaCsQrNVnORuZldFubqR7eKR
KTXcBgXwYBC8L+IxjXBOC4o7bMymGKFY4j/ms4RSYVF6yVatq8l4YJcuANl6JnW2htD12dAPc7Sf
u4iUSdp5Fk0pc2TtGbB3037xuhQrEwSN+eQyy6OwDfzik1FBVtnI1IlvJetWa2O4o652Lsxo0h4N
3X+bygbIjgKh2RoZOlu+Kbvtab+CRcQifxiMOxVDkt6Yrcxj3h5aZnu31uMjEXavCiRZSYMVdtnc
WksSZZtkRD0/KrSM4mBSb3qru8l3Aoo8TMAqWTwkXFiCacGQdTjN5djyPA95h7NfGzCs+RQMjbWn
niFkVpSikAaf91Eein7fkjR9/WfJ7W9kVTbprJTYcTvScT8IikSnKxQnxgoz9zN1JqHezJ1nHgiy
jr+YlfxFTJQkJITwTCKHwlfuhwkG0fgMtwuHmvS87JvCzrZ2isHE6rzx2JR5tPvXH239UMTzsP7g
mP0gXsq+hTZUI+4LCZzCDGMQEB2XcWMYf0B5/8sw8F/OIkEMdCbbQvKVgrwtwuIPwqVtjwRkYQwF
9O15gTR5wZUuS0V7sdyL90/1r+aZ/3tw3+v6W3nf6W/futNr/d+A8Ltee/814DeYa923//EHLHgd
WK7//vd5pe38RpbDtZkP2Azh3tMCv88rbfEbcu6aXyMfiltVITn/Edmx3d883/FdJklMY9hlc73+
Ma9cf5/HmJOfwnEMMfjfRXY+WIGJZXJc7NrMLQi6+B9HF5VPW1sbArgvCI0QL/PXfToBNoTCQeX9
KrQOt0amrUu/dsI32JbMhSqHmTkcK8gsKJ6ChAMSKSLE2MAkUd0rBqj6UxvKFfXZW7Lbwe0GiS9h
c5b7UmSLs//hdP/NqPODOM+nkOY6FOR8oR4z4v35Gte1xAOmDStwrbkIdIKzymhTFwnbYR4EWq0t
cJKl/ed/f1gGqIiKpom3Tn6Y+0CDQDQHj0a4b97ged7y0TC8F9fLtJzjLT3hgmt/MRb8cDu/f9Qf
jyl+/qgTlgW77tZjwreyoKbh4wXD3zTi5Z8/nFh/0w8Tj/cjcTYd8R6Ax7P285FMaP6JAaUE1jD5
9qCoxEofptaqwTY6GA/d7DsXBf4TJl4UbFPyBVRpWvpZ76YkQh8xKveoXHMc2DoLN9nUsQ3OHYE0
o+lBWK+Y4A13M9kL6nII6f0Gog777Bo/Vv6L5zs4gb9+Gos01/ow5CZ030PhPzwGLciLAgTYEqSp
uVA+WZMfCMaQEhLfJsKzY+5ZWpuw7OW0k4WtKTQrmuWTv9QS+9zo5hfLOFgnSs8oxQbsNhVkehoI
UQ5d6hsnb9Q9VeX4tAxpwLOmZb3qUSdqg1q6988p1o/MfDA7Iy3EimehjQkVoa4m6G/rqQJG4l34
0bjoXciZpC+e4rT8/fy266lO1pPeZExLaSJZv4sRi/rOMVVobT1HASeyKUKKmYIVzrc5rWCXLjw/
qnOGr7ysq4kV7JY1jLG1lmX67kyonPSkJr3FQsgZF9Y2vv2dNncUibGwkPk7Zr8YM0XosHa3h3DC
KDk66SWT54lfXkxEjwvMh+iuTQqgDksGemAXLcLaSQu3L2Z8m8hcJqwovZ99QjNROu1SRJbhfAQw
G1jeMrm7klczAwH4OM8404AlZYKusT1Dpru4KpyHObOHz41bm+ZlbMmmvTEjn6xAF+bFXZF31Rm6
I02m7tKOy1cXa96yG6c0UZjb/Wm6Qu8kaeuORtLsFNr7XaWqBbKNN/tc3C0p/wNsXrbfuUMxMC2M
a4xAdfhRg77X1gCUuc3PeiJIFHmCnCDZZApKP5NpFvu2JDhPDnycN0k7oCjYkNmzYGQx98BQUp8L
M0HA5ae4TDzZR4Jkno98MC9uSwTCYHZE1Fd8j0OgsBAAB/tblVA+sG1SYbNYz4b+1XHV+FRbuJhW
gZcSuKgBDNciNiSbyYVgGRi8/rE+rHJGwbfG672gm2IXxjXdulmDF5vJudcEqPHNJ4y4HY7jZqIM
ZX10e+tDHJsrz/NyfbRXWJljLk0e+OH66G/Xl4C03e7+Pwu4ulnXaBEA2/Z3dYSSN0VmwmfzY6zT
jjkZFO217/BEL/MfkrRgGv/Pj6b32e5PjyYMPoS6gTJBNuC2/rBco6tEjDG8w2AR8hqk91eVzggd
ChYqgM3LqWfeJ4X4Xvcoyn7Xohh6l46rEQ2j4Q5X5bHJf1VIsq5GP/5NeCZ4k9KUwkv1w+PyzxOT
0API+OH9wytQcxv3/Zy47+cn7yhU3TTraZvXE/h+Yv7/Auw/eA39cI38xTL2WCbdt6//g2dg9LUq
flyJvf/g70sx6zcJxAXnj8XYCxfPeln9vhQz1G8eoBfWP4BB2HypdR30x1rMM39DncXcAUzWJze1
8oD+9I6REJamclAfqIdy/4117L2F4M8LyGVUg7OANZ2A2gLT4COzZSnCylE8K4J9el+c6s1VcLy4
vdh+97fH8Rc3kDB/XvetB4NsZMGGIST3/uF+frkvGQB4C/t6wKZhbig/YJqs9jS6o38QCPYNBoO5
f0Eoq622eIGsJ4v2sD0TfOcsN0OZXC1jpL6HWWV9n2BrngNxjc5mtsr7CVfCg4rGeje1+DHvF942
B6SA+sY0lHcBxNH5VI6NPlQsKTOgDDVYj8qdqSOcuuTFs1KJ0xQ95tnu8hLasgO3iN40urq3qGDE
GxsmwvQxjIZzP2Zp719nQBCAmwFbIyUqJ3oRI3uoB8YJ0HT3RZZC++2VUW6rDkULXzYawt4LC/9b
Del4PHaIodUupHsY0iSO2+mgMwCPlN/hdwm01a4pEhh1zZ4H7+SeGdIZ1B1ETPoPwwQj9pkTFlIi
9bRFdm5KEHdzhuCyHQvMfWVBgvkxdNwEM07e0APpezOH8KfiMwHnnASHcunHG5UxHEuVtzzWFJjp
WtH3yJx8Hk6Fq8I0GJcoh2hb4LkmzoV2H/Kcxi4xRvIyZbRb8T61ZB5M4UBNPRaJNgNV7sxfYdC5
MCJqb3YP9cCo/CYeQ6s7m3EnjjTCg4tGap/z+2r0vWtexiuntqyyk2DkSjo/zifCk8xMh42XOOXn
wXaT+lz79egG87JY+7ad7TerKzx1yxZi1vsuTvmDXaIOOwfJH8kxJ9rF2yyur3k8lv3DQvNNTwyG
3vWdD4miPevqznwzrX4+sCEu8ZHMEF8xg6RyvNCpVp9jJ5J0iIXReDCXdo6ONtv5RxyXqBRpUXW3
FODZYAYZwz74nUQLksIov6BJjV+H2GuQ30fz5FBJekQpkxe9kRUGyvggccFAtC82MdS/M2rTjIeM
LPmdPw1Nvx3nRG4xXDUXTh+RVElyiTqbFxqQk6AzpJsrl0rbMcqeKks3WFns3NuE/ojUkg7MGAF9
jummpNzjFV1v+lI1BlkPX7VEdKqKUKItYXWSU/Y9BiDEVUFfF1YYKGMuX9GhsqOXGvZTY/W+u81x
bXzDGtg6BMuIQmxYImE20KN8jUgLLoFthdUtZJ/6oIG7NztaTuV141PfBPqSgN4GQDWyIMXObIzK
Ih9Bkdph+krNgugPcWqUe00rxsnD5HWTIVCOe2KOtC9hoi9PqnVZptA92UNQRYp2z7zKzU/GlM0m
XfK18ebNBKM2WUGK5Bc+uzW7++cTknQtJkHkGR7QNpsuz/2wzSusrDMd1LVNrimMMY+ejo4/vDX+
ZiP5t0eAP4c0g93KZnP9k1jS4o3TPX0oGwof9SKPZpT+Xx7hgxzj1/1oMwOxWO4GCZ9Bdu3/yRHA
9rElxoosP2pZ1hK1XC4MTHu5Nei+oBjmF0cQP7uc8TfjKV7ZckA+2EqRIv75NEW1GTd2SoCSxbcz
neK+xlIE3f85iRzDujDBGJZ8MlCBIlPlqXSScCdqmZ8sN6JjHBUTDGoz9cXz1ADrQgimvPQTS22z
ODZTqa1D6CbmdGkaEEK2Vp7V4heX0s+CH5+Aq4f2OMQVvNrqL1t30kJT4zUSKXexLs3uq/Kzc6cy
16DAL47084b99yOtspuNX52Fwkf9DWh+G5s58q6Y64dQ6fRikAvRiWL5xR737w8EHIb8u7D54n/+
Upa89DDREKVxem9bJDqwx+op8cdP/3yL/PXMUbgHKYYJ/LqN/ngTTh5h1RkH2saEK2sP/4uw81iS
G1my6A8NzKDFFiJ1qSxBsYEVFbSKCMivn5OcxTTJtuamzV5bv8pMiAgP93vP1TsmL/6npXUP2lz9
5bN+PbTfrh3TMlT7t38E1F+/vfAFxBhbL+h1j/5ybMvdUJLm2G+RKc+595ce0m8Eg58fdlN20qmj
J2tgxfr1+lUugRT+gnJoaYCLuG+6FbNHBORKEDfsTVeRQcK8WPKvQBEoOfzp/1/Yfn40ik8HcAId
wRvb59ePRt0jsp7BbTiYzvjiGRO8k1UEtUfc1Jg9gEderKhbAVgT2FCfMtVuV8ZOXaLkMtgxI/yi
O7DRFw8l6mBCPt2eiQEakpzKzhm1j/3cQN3lBN1EJlviuTTG/pXjL08Ls1n1kq4F5NZNBp9T3y2L
UPrNgP/RGSCzMkYdh1BrYIajgOGgG9tZL7SoZApyKftNHVGg8l8P7jx9qfubWICjGTOI3sdnjJTT
TWqMOFdnbGZ5zZRnE0g12BtwEPyZ1jljUPdF9X3xiLFIbsRlAsOPZlfbTnrvSTu0iqC4Il3CUAU1
Ilz0diS7dAl6P0TsiBzId03jeWZubp5HvzfdE3OK4XnYGKcc6dGJ3Qrq5FuxZurRafPuSDBGeyBw
tk5s1ZArkGOM7WLZT6bYT6Nr3Vn2LCf2YEaxKP19ArURwGp2rFwi0nYL4pIvJRxjBsbj1lN4rqBO
HvoNxlGfmkDCSPSY3lN6Lechw7GbD4P+FOCPejQwTdOQtN2Lv6XMdCbKKdK5xhJ/tqN3YHq6qdmh
H9PH52ypvSIshwEdhAu/ebmTmszmc+bKScvQIkqyL0pJHijjtXx0GHB5Hi61spuf+9YjzEUWfvUp
2ILTzR15cDqCoHNfWE8UhsHzjHvL2htAD5DYAJIbNRKjOO28gQ5JL4ihBpo76Zhd4Gu384mbSbNj
8OgBoSE6MQhdUc+IDLKKTR7Ay8xbk2hD5S50eFk+LmNQIQYzTXiqFwWTZ7/5rvbWkyeCZXYcZcLQ
ZbzFv7kif6R48KJBMgPeuaVLLoUinPRuBMyeSA0KDIJ2URzNPs2766hWvd8tKf2kc8OlfIBWMRzn
NGDzaNt1Xl8qnh1rP/PnXBQORlNRq9SD4wcvyi7qZDSz7SxU60JZ7ucVmUvHsxwWJt7JbO0CQjzJ
JttJhTb1NMxTXu4dXH9QhbrC1M2Hucpk+XXSLXgJKaGb2mF1Ang1ULvKd9lpGDtxLHjHut1a9MRB
V4NSagLnxa1aUVwUEWxdGBRr48TkF5efh02VvYrtEaluPLGr723OZPiRS4UxHrGMpx1bobtj3FFf
fmgrJMm7wiTC3EottcNXHDzndsPob7WZFWPtVu9mbec7GyTJQVtn8bjANKJ8tvsfpjHbBwQM5q4o
Nf9QCjG++4M+J05WSF4uCB9QX+HkEHVcDLcZ85hOCAV97RVGgmmSO9LogAOyMf/WkedxTdOp0CJt
brcPgmFTHXp9vb0HeWl2xIHp7Y4kL+ckzf6mVGPV3U0yVR9dtCPvK61TxuvLaO0x9qvHiYDyhHE1
blxTDM0J2oahvWN0sYw9Jn4tGTOQW/hfblLP3lwyBDoIZOhissgRNrHVEmzE+qEjGJZUHRLPjbbc
vpaIWPz93DRBl3DOR79iNzkk8wWhGTSiPi1e10IQP91I9DNOk2oQFlnEi4RIiubHrFBrVBAwgutE
z4Cgo6CvnbNOwLz5kHuFxBwJJGONK9Re28WBD22Gg5bdUlscEqYOWiE2PXTTdnnihDkP5IKU9fgG
32BOEdvj2IZPo4rejvW2oPE2skTv0pLJblSg9Hvhe7exbfrzO+l+U/9JcVqKgP+zdLTunKM6m8pV
O1sluQwknVGMEeQLUbcdjHlvprMxQNQtu284R+qVgbMp8K8LbY7GVdtuEooCmTF4jGvOXDjb6ZAR
XzdUBa84s51kLdse/peRZzFWjiwefLW++b3lbhdDFvod0r5lfBmEXtFMRcT7qAC7E/hieV/m0UAR
MgZ9bu5ctMpQf7rct15rH71GC8XjXItMIJtVkJCOQ2rMIqm6FdgqjoW1n585+5XbqdbhSe08tZk2
wXW2bD6qdJgHouXMsXgiw7VJdBDVp5EzoPG5HnOjBT3iDPbjTP14wUswPXEC2+yDMcxmejCxJ8fZ
ZGb3hk1ybNtjJY02sBxm5AMoYppSKI3NblgXN3t3Bff13rPHFfVPvS4+6pnNyA5Mu6DeknTSc9By
5+XsiSk7dLIPsrt1MqzsdgwXx9XUumewKwF5IbMq6vONTEZLWe+CxzqbzSBZzBUW67o0NSo9L1gh
USrsFcQv4CaQzAaCsojg8ta7kqkxQCiE+NUZ7RQqoJL+xRVxuBgO5Pya7oG94WYjl11zL4JO7gs9
cz7Ans0b1Fkr2PXUmNRhm43mQ6bN20diEYS3y+yi3dEVRl7IajsdIaKQcoYfRuYAgXJjn+lifFRb
MXmXps8XA1LAT32DXLDsdmtgXW21tVzZBVKN5O3LVCH0MF3T4tmqpM6RANqpW5oQPka/WSFGunCe
m3JFDFgulCNwKm7WkdxhBcNE2ZGdTRoK6jbPOgp9MoxLFbizkqGB+OEKtczrk2qc9OcmdzQEJgH3
PZS6CDzit9bsih6GtQexsA1RLb+yTMMQz/UJNOaQLmP5EatSMN83Wk3EuGyH+6HXbP8CyUynTSRq
gTXa5BS1MyFgIBWiywxuRhcrm6mOUqnpSw15SrmcJkRoUbdRWi2VqpvP2kI8AdkO/kxPBxgHvkSr
QM5nEKqUWAMy3i+aNuBWmzfihzMihg7ETI3VpUnn0jkUvoULBTwyXAsaxQGeGS0YVlo2hiNn6H/v
nOQZAYHRLd9mZRRsY6IO/HvX2MrmLBY/gMKK0xVFX9pmR2L8+BNi2pyPuO/pQ/iZ6vaI3s2KtVZU
xoFg+cI5Zhuq9hMWrjL2h1nlidXIKrsaYECmmA5fNUT+1uBj0dpsFzjuRgXVry++bOX0rDtOZBRF
efKzQcQtvZl4zqzDoDv5fW5v1T6dg3yXqRo5CaysXcbb3zAcJtC+3pblsOB4SmrfEVtMXpx/qQgq
lj8GDUSNOUn6aEMBxafWtJa9tipV6KXERTxNzTxUSTqZVXAAJo5bIGj1T3g3ehhtkGATbZtW4qD6
xWagE9ikrnn6su5mV9r1x5n+CeH0HQwabAqrcTFvAWmhWdjTRV9VZ94FqI0xxIxB/aVkc6Uw0ILs
2FZuhYWgmt3zgkHxsUTl+LispBS8owTPsjcIUX1M9mNQsqW53qeUVMZdbsEIrLsZDtig6Z/wt/h+
RCdaPi2WSfxa00jycBrDp+ngl10SBDMhPkOZ++bOJ3sqyuFgEGk0US7uuq5f2pO9aemXxqwoBhuz
1T5xjEI4axf9qj17mMI8ek4F0n6u/fquyrRav5lemw5fCPoBiDB6DcH0KFFF8+ww1j1MBMB00SiC
nFqLNm7cVb7RxPT6gsS0unUM5bTk0WJK62VcG84JTa+vp5Um4VEziq4JfTvV/As7xnRD5ADV9UhA
+dHaFRU0nU28RdWRKKfzCFqmXVuAiW3gYg1Zoc0fydSqkLrn2aEMyvSB8Oz6pZc7RSkv6QzdaGW8
AGAeFRN2R9GpJt96Be/AgoyMb8tSjhuE1j3NZjkAodhw//tD2TJOtZz7UUc12JED8qMunPqVV87f
ewA0zzLoTaKVpPYD4vTKU6536xFwQjqfnDQf9PO2MFdNWP8zjFr9uB9gU2qvI3hg8jg6PyX5iZEm
omELGTpCq3WJCSxwprc+ICAq7wKEZOAYcX04qBLQxEoRC1VVF1kTc58wE4CHoYbOhAUJKe+IGHvN
jjXQI/SVEjwaAshhimYAUeVRc2fPPIpyyNqLD4EXbDAP7ccCeywaxXrp50RtY9deqnGbz12OGfPI
spgfOVShYqxxhBeJUc7rV3aDso0q4tkZIuY6JLHhdu4qJJQippr5zq0npPOZmqNO71156Mssn68+
GHyaYyjYHlcwwl8GT053wLGdPYxrkEYdytnQHOAMX9Cfzh+J8MQP7sFaGLEuj65i2czU4iWEG5XD
paOL7p1U2pfNC25C2pOK++klg9VXHy0OxSh70wbgy1RbT9qSys++NPQlyRd3O2e5rs6TU9vv6MQy
EWU2aQ132wzzhtdYifzqproJZqcnhja0Rm09I/1fiWJhTnlPgmd7kPYk5tvZpFpwrriwQPpJfO3b
YnzQNEGYLl3H6oud2YMKpzRWThuApVhRu905BLl/cgzq89hUwio5qMKr2fAXfSiVYU4ICfMG79ZN
fhUO04YYHuIGfyeVJPhqLupbt3MHtgDp9RernGf3eDOK7JR0qBmCsY7XuuJ/BnhcimpSu/UWtdMb
S5bo+uAlI3KHNpxbHfsHtpTPJd21F6xSEy9X6i/RoGrsoULqb8LgyNpuevWAHlpLCACSOhGNXfoJ
9aJHg84Yzr5ZiBtSh49FGkAgj53P04fA7YsfREGjDzBJFtoHCMbv3WnlXK5csexhzosVL1mhHtbO
BsuCoV2+Epy4nnKZg/YwfGblvHJOFtW27UbN7H51pandVfTWSwbqEGcoSbtP42TA2C348WGzSQog
28IwxjKRQeLEjcNJk6GQeQR44OzdaZGXCtPMhSca4GBnlzu++vBkmZ3xAu3jOW0pExy6G2FpFWBQ
MohZMl70YfvBQmOcYKkG9i518/m4Ur8DJgZQ+kEKMkT3/DX7vsqtirA44THvnzrrq697VTKLoTvO
mweAENbqjLvuJn8AYB988odGO2BXpUelLcg0Iws4YYGaON2QlNg5Gc+G6ggEYD1407Qq2OEtyT66
ubK7Iw41NArV4Langtg9yJgpHOUpc6sn8gmWT5rImqtLaAF+mmw51wxrLrNI0d1aBk6TznebA4k0
FdQS5SU6A6Wo9eruQUlcJ4yiJ6QmHN5DyXmviV1kjZ9HFA2x8kzpHsqF+xXzEDjjDsM8ZsRe14I9
chpAA0Re8SwVQ5u+Du7i7zfDRFQqUoPp30r9Pdxyhwu5HTKGBEexBDDvu8BSMQmV8kRw5fISMMp5
yg2DCQuewNRNiqLpRdjgDcKybFvPI5y3G81haaPFnZo2Goq1OnRmSscCzTcWgPGGihqNeUcAMhuP
t3ag6vjXU0UATg26SugrFpk1IEMZYCK/FwzV8qSZJOTQUBIXe5xU7PeMD9N8BUs/s64hF+utkJED
/ycZNM1bvZZmta9YPwiOcupsZ/VrEM9cCATwrjldWiMQMpqUcL5nsuoSdvr28+ggmy788ppK5PZ3
PcmL8a14fvXXyntuRuxllK1wmr9uftB/WIVGPBi2KL1+5HLw+iz9hGnfWLo+UqOPNlxtjfZgbK7L
0O/WG6QOWHx9b5udtx6KUunrpc0M5/0WE8piTF80FhYHix2hvGIOqV/NBO62HsSBAfcuygXxgQPQ
JgiaxHGRHzcmoGcfbaMkZUv2nKRCQ5uny4iD/NnTdDOaeKcecSL6392VztTamLMVKSJlIc6n9sdU
rvOVJhhnyaB0WsL+DElGsS9H7MFDxRE6H02GcYRhuki3t+IZw2a5E1bhJYHRpsWuZy6N6LzmIUgE
8yRCMrx8cCKNwISLMzFEjXxLZE+uwKcU9kziqX558kIOYsv0nG4i7N9gvpEIjZrZ6PWj7Bjy76qK
g5q86HVfJEGjfVPriBIcc5f+PR1dzUi0FNpgayCERQa+nWfhdUwmAWKA/W2FJJ+7IT3U6+x4GLsC
By9IqzmcpbXyZuuTeIJMZDwsUFXioNLHpAoaXOdNMVMPGSolbe+W/DcMyH8jvcX+e9cX8qXrx3fP
F9Md0Rfr1Z6C4rIhbGaVNRitnUjqe6p4/A5rqmqC8mzq8b0nnPHjVpA0f9JVs7DaEoZ7R09+pTzs
ODQtZpYfb5QIHMHO4L5xNpxPs09Yr1nNy3Qgq1d96ykqVUhaUBNPPY9GaMzI3ny6U/g0DBtypVtN
b4o6+EvdudwH4XJ0TCpl5XWc+11AuX0D29y1ftcGB0LKEKbl/YJflbJzuCO0hdWXks22UFyuhIM3
Rk6AMi3whyWf0PyJ0WLhGGzVZdiRh8m7B74G6WvCMxB1hB8MiA4cYuXHmbyDWnrj0cxrCSiXWv+9
GksyjPqpetcs2+9jbzaNUwoeXt9xeFjnfTEED7yWTxVURiJK7QBQ6+KkRxwXtrMLZIGJvaVODnYe
9dBdXykzAwTbB3CKM/GxLyY7ElIyBK/JdPogOPIEkTn6ADw6btmbSxPWY1JUSutqdQyL06m0j27D
99/pM1kOsSh9yiZrMuUaF3k64zMgu147WLMr7tJs9b/R0PyOau8pxTfukAPkm6TrFR0YWEbxdZJ5
af1sKXvcF8IsfgBUW7FYyJTC09fwXAD9Y+IcrmvQXNaywumUanm2hYNEghpnbre+w8tt9Ihjz/Jm
p+gtwtQnkMawAFpBKqwN62huPQ65cdPGKfJnKZrEbtwR65A9qiqps0aUu5Kk2ioRRsN8UulwGl6W
miQcEA4ZTlcGzCk6PzCud34W4LQDk1jJPbRV66IVyrTCoMkAPiNB3Jb7HIY67CzhLPhAcEp9NWiO
T1FFMt2lxErpAL7NVu8AHrLU9uhU3HckDlgoeionN8bSOu5hTW7VU2YM/kvv4paORp7sy+jBlqTT
mOk/E+80LRIOTZYsbPLeLR/NwNMw4U7dSOufS4aPSw7ze5PL2YwGaxjeJ9p02zfFQat+nKh74eYX
mGpbBAMqlL1pPoGic6uYSEjjBTOFWR4y2zLkIcDoHCnVgkXTtOYB8rx8hhjh0DcfdOP7hul8t7TG
ooWB0zb04BerHyPdzctLzXXfLZZw6UAb+o7apLizJ5Vu+1rLxJPMzBFXrwNwE8jN9qBSvXikrJvv
W4tIary9uLxXfDj8V+6SfmvXUReRVjoVecQBZIVQtKWzkODczPbZclotzl2ZvrXopuMmxcN1QTbT
rZyE6cJfR5MXOyp4iN8aaKGknm85AHHXyJo3OADVmlTDWENWxV7DA5TRPw1HLSvfYFlIzhp08yFG
1Gm8uba8kIzAwgzJHyN57TMB6pZ3PuwWdKP5w7O2aeKVzGOHyRo71ne7gYNKaLsft6wVaj8hqEtq
11Wcg31JdGNHu/BZQT2Zo5psFPNSOGPwo1acXLFLjMYWQ2GR897St7XYAaKwSTLYeh/Ypgrqw9JW
aF86jIHHtqlsjUszdXvozsMnnDnOHZls/VEP1PysW8BDh7KGmpx+D/pee2o0KXZl8K3wCPxzhIGX
sqZzsFCAgvBt9U5jHGPo34FQB0M0gcvAVtym8ICrvMk/lGguRQJ/k6OZLniemSkHr3QFH6a8fkkN
p4Jd7OYpSOFM9txFTE1KLSMHjb686anVQXauh0xFruMZd57OXpbaQbazg3UQp17Nqj+OZdsyMuBW
39tqaOE1jBPoyCDFZhQKc9Oys45IqUuadlOAOIiF33HHC/pnHCnqBxjWuLXJDehiNC058TC4i2nQ
r0ytUJSI/qAzM7wOt003Uz5PHqnQlcCkvwafGfQZuLdaE+8KT6qdFMJYKDDbzXxBad8+kGtKJVjR
d+RScXoDzT9l1b7EpWQAb/Q5ns2FWMuTYUzeR6Myi7M2N3J9EJ0aicNZrMGM2tw4ZUE5F3GDkdUM
K+YRXypjaIudEFs9f+h7ZhbhEJBgvRe9xWaLZL1LCC6dGdXRtXnq52k759jIq6eW8Ry/zFdZ/Wgo
x38i10u1p7pcEUTjQNZeN9nDBcwAHIf4O9czoJdGR5u8IbLdTNek0Anc5a7BpPrB0m+t8AyEsJlY
bU0ccKDSHXWUvgNqMLanRRkAaqgT6Wk6Ri8OzLpeOzluzHOwVnohvn5v25sgWQkoyLLSfBkoxaAg
o0bvaCxuI583IuRlcJRB9MDHsYaur7FcQ/PW3sA4DIfSY0sNm6Jev3DjiIS6+fE/V/zs0GwKU3tm
KFozXEG0v9G486znWflQdjMrlXGF8QN/bCnm8jZ7mo7QYrPqQMJvL/aZdLaX0inwctbzsryq1Sri
fs2sy0q7+okpevm5RQd8IOmhEUevUX11yEWLCmxxzATtID3KBhSCSOxaljA51sG/IU26DQjuHDw3
OuXAHXLYub4SeIlDvQHpzNl48o11h4QB7M8Nokojsc1qnWrEc3/Attbro5p7xbCmYX1ES11LDPfU
EF96hjjrq+a2Rn6VaVMBqw3wuEWwh2npI3+eX6epbIo4XYr2Vc4wMxNd+nTRma5rSJ8L2ua7DTR3
/qRS1TP6QrX9ycqy5kgMfH6wc6iboV3W21shLRvd41I9E1BGX4m4zBTyq+ViEaTPgfm2HAq8hbRj
ev2iANgX95Wj5foVmiRPeMmz5Z0dtuxjQ+BocSqZMnMmzbn6MHZMJN+ur+6Nah4QdMnAfSpM1mFi
oVTz6GeefLY49tuhq019cUqV2z9lmbGMl9k0211dddknl0JIhsA+6TWWOlAQGcj1HQwG+LMxg44R
ZYLNJTLZt5eztmXFGBlYiGWMU6B4tLLa2o61A3EeHEU532Po1jmNZ1X9odVRIIS6IdWLclzxQvwE
VnIbuhjN/qI7+dsg8hiBuNmEgTVWDmJ3zhBRM1QmzaR+bC409OonvrtmxCi8lf21WkdxnlpHPBou
hQnm3+2tJ/f4rgO4GAO/67Et1NPJpW2iczuZHLihI4hp3q+uA9hlBechWvJlS2+5lqVi8unpwnwq
29H8Zut9QKArXtFdVSPq/FRQA9L7XNFFgIdV3kHyvhyFU44XZm7eZ6Mf/TNab4e2utCHGJYE6dmz
QMzPQbCwdqZd6jCYzGlvFi4hlk2x2q8EZrPCTiMLkqeGMT+MnImZWgJNPpijzSGraAM1JGhng8Rh
OPGDLQsjAxgfP04dSCcSROMd0sL8sQO8Tl58qkGScen/kdeloYQk007143UwB/NRFmBLimZa7vVA
Nz8aQhkX8FFOMvT8qYHpfQqDRDpNUgyMEGtz7ner7FaeEmg9OPd1d0qwz5b+idHP8oFOUbujctaJ
Xl97dRZWnt15Tu+96YRCM2Ywx/t+HoMDXlLmnTUzaM4rRkYDn8FYS03K4P8b71KaTL0MHksx0qmq
U75Q5lq7DG7jA34TJJR9DQK7YTn5MOoU9zqPZoKm0V9ClRKR+iMloJw7MaN1PGW+KXNQ6azHB4p0
FLDYdPVjPadEMBty/my1hCeHNEYxn2RZIKzHvEh7eUDH155KZbuHJaDOJbFs6Xiida25rugbGGeW
Q/ldN9PtkykdJiMAhQFb065cX4dNVyB+mAByLeymJ3TaGlHczkFhfbd4DcnwIOQitmAVKbJlqvqa
ZT5dB4QsxnWmh0klRdcNyLo5tTuSri2ORQrAO3we/xUYWOck7jR6QyJLPBIxTvMxbkpra49pkGnQ
u0av13ZUFDjnamaEB1yoW/2yQqIJJ62ZLyZ1HUAuSKLZrmNLO6P7G4EFb0376PgUOWtqkMLitXCt
ON7ouDvc243bpZKi+oE+p599nrbB5EURzm24xRQhzkAb3I1g8FuM8a2a3tyOMisgrWUJ00FzluNo
bjZdZ59GGq/4wCFS24BYs0xqRIMQypEz0t1qNSXu2u9ZL6rHdPGq4lRlqrrmY8tYnltxdhxve2Xa
nsn7QjfSkv4h4XXMP7OXXit4r+aRPFLDpUmNUC9DUUKdXu68VuMIy6Ge92Ljgo0RJiU4Bps2LOG6
5OKrmKq5idxOTZ+d0mHRSoe8eSQcIiBQhfkWgLwSbp/PVKK9AiJieLm2IJxYxu45wrgPo1rELSUI
jJypt0wspkbuglTjvALkYIq2sQ9uNX1t78pO2l6Smw58Hp91OMJcrV8ZnNH4Hfhb4JAcOz2ubDbT
icCB8WEeJvSN9SCsbCccvyHBls5CAyLBJffbsMfuEW6OebeQemCd0dZ1y9FyC1pcvtC7R021FcMd
jO2kdPTEM7SDeMiE7fBuzO2+pL45G2m+vaeimp+FQkgZjpszX0QwbjLpmywlTsijwNqBxvL9ENb7
dKRzbb65VN4fkJyvdOgdi7ED4Lz3kfSnmr2jTrvHpV+qxHaqCXbHstqnuSpE8AGIubiQtLlUYc5t
sXbCxsoVCYLshxCEP1MvHQh4OXGBdpQJBpHypHy4zEx9t31iCpGvzygJavGRskdIpGZDfnBEXv2Q
2GAJrAisKX/kKO9P+5F6JrZk7TawbbBkhsLu/Ca5jXGdcHD9hS49Mpwry0CFcknv2D/WvtnD7TJf
PWx7TAuhnnPF9U9I+4hBmRz2PzPmJEPBz859S6LbHNoRzExrluVmKlPmQ5KZbtAxrrEWpbm01ikA
8Iw7l7IARI1bYCijBmHcq0WsxZtt6V5ceWb+zTf5KgdhLz3so7HzS06LBp0pvvGSn8HpLR+CrSrc
XRG4Qk9YcQFQTWyG2YeADLpv2bphGWznjjYS6kTRJhTwpHU5fWfcrYGgtDH8ef2oWrv8AqfFeh/w
uBFEVLU+eSddqaAi9o1gmp/533LGFwFLPPMXWqgzgHsSJHSWLk0wJsrL5qGEAtMlBroMzGje2m8H
3BPBEy1MZCBYyIvnCdxTf1+l+jzzGpYOBYs999NDY+fbKTem5avOvvrdgrAHKaYyWXe6wLw956W/
fDR7w35eB4304Y5s3fRwK888poW0lnb0s7ERzmZrlBe0aC3gnsY39LgwA/WRLK70XC55JY6kYaUw
g1io17CcGCZjtDBvK3U20T1oVBbocW8PWRWZ8AWqZNtSet9Vpsk3C67Ll7ylwI8wSwJgzNla1alI
VecemZ0vwBO1sdv/j1q2dmzFxBJeEAUTaxBXfvijtFSY04G+ViMcJCBn5WVdsvndLNVAD1bX/+Ix
/lPV6/m+h+7DABOAhvg3aWg3G5OElkY6oryuhXnX8OIG3nb8b1HvvwhtmUXqPoNQ38HB9pugW+9L
EGyqZBpPcpauXQvYiEF3zyy3tx//+6P+Resa2KRYorG/MRf8334Q+qy+lg0d3S3nxAZNp+rSp//+
iH+5ZuAYXbo8Fr8Hw++vclrH6rWFFGCUo/1T7720G167v4it/1RB+zomfBLPgMj49k8z1z/sxFXe
oYXJB2AoJDlDNAyLaq8jk91y6y9eLf8PbbCvOzb0AFTqkAJ+eiH/8Unt4FlBSiJNuEKRKWnrzYXO
EeHgLl8b/1QQQfDfF+83hPlNjMwlM6FggCzGS/8HEqDfKhDmhJKRfw7KEGqRcWrFvgjuyuIOaii+
dsv9i/j6zzt2kz2jYTOBGrv679p1M2OoGaCNC7vpanbjYWrVzhqT//5lP+Xiv8qsSUxFnMPtwt3N
TO7X52LxtA4hCTV0H5PYkbj7KV5iLdRCIyySLqLIjIOIvmM0xFOkkiWaYyPiooe0SiLSJMM08WIn
Hv/iEPjzjeBr4Uk3UH97OLV/e1x7OAuFcPlaRvCwjG/K/0s2388U6j9+N1fWBEyP6/H3O6rVGV1q
H9vOkNx+9xRPsRlBNuV3b+H//278axET0gh9TPx/vxqtZZTFaUQvNer/8gb9Rv3mObuJ7fH0eFBX
/P/zVf4TTGLMfZ36jbGE/nosGEpkMRPPUkakru2M+/SgNWc3HLkDr3n4/O1vF/2n4f+Xi/Lbx9/e
u3+8V5NeEtEDtCLEtYzHzXzySXI/fn4gVyPEdua3YXFMd/3hK1KWsA3xY67hD+g+UfmX2/8b0Pt2
IW58FueGe/fxNf1+eyRtd28RLhEvcowG6OtA0EvHjcQtrskELaf1xFRM76Z8A5eX0JI+FqV3998v
xx/LDOYUnDzsMabrwwL5zVJtdA1ugADOzmoRVJP38air61q6Eiu78WgOZcwE6v6/P/OnpeLXe8CH
Qu1wDR1ICtOAX++BWwdIdnOD2Qq5r2L40M8UkdKen6TWXdbWTMbZvWeOS2vbEchjbfUInTaSVnWB
9nWQWXYHe/n6l291c5X8+a0suCs6FwPbya/fSsiVYSfurzBVX7rePuuU7k5pD1CU73zYtxnEJa0d
SR2pHzTnNlqyvpi28Rfvy7/ekECnzxOwLZv+bzfEMxnyZgtS66FBqUuYbXBjRg9ZTIPsANkzQjT2
9b9/+R9VwO0Z+MdH/vZKAH5C99HykYIHH9R5CtZzZkY7ivnQ5X9Z8v9Y9X77sN/uPYxshPEzHzYh
qqLOY/4NLvkvm9kf+wofwpvlOabNZsbN/PVWoqNdSwhrXqivTsKsaQ/1lhaR9Ze17I9qgHhF7xac
wPod+Fiqf/2YzNOU0pRFuqTjP66t/sP1HVpqjXzdNq97+++79MeFg9UDgplWiuehD9TNXz/MdMQk
nbIKYFh/suxz6f7lx/zb36dy4vHnsrEi/Pb49wHSUjCsPk277ouipbHN3l9+wh/Xi5/wz4+4fYV/
rL1aqU3oWfgIHUkVR9GwnL3IG2OFUOK/L9afD0BgQwXyqZ7+l7TzXI5bSbb1EyEC3vwF2rLpRVLm
D0KiRHjX8Hj6+4ETd3Y3GqdxdLZCo71npFGiqrKyqjJXrqWrMG5NHABWzUKAycO1hUDcSjxIPKV5
Y8svXGovNytmLNqNZUVBXmaqqJpVntxUgwU/pvRWhZsEPEoKCocOgPqbkWvO9UFd7lMu6xB6UNg3
mMbphaEVGr+yCo+UNVZtNaj3jdusoy55iqxh3aTDgr2L5TKwB5GCTJzmn9NQFAQm6XQJ9k81+9Xo
0n3cVc9pD3Fx6v2HQex/JCu7sMRpyAZiUBaTCCfWxDHGSnAa6obtl8YTfzLbeQ1Uz0WomBB3igue
PoaYs0DPjUhG0YBLPNwOtIGeWxOP3RGClzGJUCNG9UXSPlp6rVKRCrsBW/G3tGnX11fuwh1Hi6ox
KhBx49Gm8agukiTyUEKBLVlFMgAqAu2P20d/6/QwSfAuwd+Je/SDTsZFKreXrVQHyAH5Tf5dO0LB
Ey3cF2ZWChsma6XyUhBHsaXTLUyxODdpx+fhgxQ3iTL1eGPEX/v67fqESWM0m6wRA6EKy3UdQRpt
8jJtKhTeJKTjbNB00i39/tWqMIpuH3dKeOhr7cNV2gqcPPlcWJF3UU9L45EK6VoO3W7BOy/23SgP
pVOPGKMul/VJ2GrRpLM6BOFRN1JbwDlgWsxEVV4g9o73QyWT7FPrdOH2zv66nAI6GMdWbtDp+Olk
qgvQkI0CwZK9Wq0Oq9Xd6nDHv23Gn5uNvdnvbZt/3G02G/7N3tvbyt5vt/bzll/+/w+d9pNf9rO9
5bf3/POZP8efXY+/zy/O+NPhx2r8xXHslfP0tNrx87DD1mr8hf84/Bz/yPhHx/+y+n14e3o7/D7k
q5z/djjw8/dh/L/wnYeF3XrpcYoKzxvkjHCSjJR65x6n1qSOKauC8IHmJzq+y+KwcaNbV3+57nKX
q6yois7eofsY2PK0YduD4Wg4VqCGoW+1mxwNlUA7JIC78sDJrY/rxuYGxSZVRR2GS+xOBpUoTRtI
FpnHKM4faRTf018NyLi9bWRhd93UpRspKiFVFhmYzg1iHPfJoRt5StgMXjqqlkSrzH0ri2JFghDR
pXKdVu8gEK7bu4x1isY9B54GnZo1G+fcni9FSq6EPsoBjXo8wBwbr4AoZDedkDQLYfUykGPKgi/R
4r6icYU9NxWUOvpPJcTP0G1ALkexAZLaPoHcWM8Q+RAD/cYz+uYADOfNAIWzEG8/p+48SIHlG68Z
BHV0G6zJsdXAHSd2MZRcmp3ZP/7zqlYeAE3ZiM3awbbZ0Ie6Spw/7Yb+AmXtfqGrbdseoPC231DA
sT9+m463MVb9jbCwa8aYNP00hYc2KY9xz8jjKp2s+gBCM0QAyrRrpaROASuAsnTHujQBR6v5SQlh
yOrFhukamPXB5Bi8US0q0rQFFzfXXekyJwXRxKmJiS/lklkb0rHBdwMp3WWN0K+0Pqv3RwC2TtGD
c1Gk9HcEXa/TpvGDUouFc/0TZjbqGHh4rULNxPt48gUJdMK+itQNykmguiA3uc1g2FXT/ltsFAtr
NmcLxBY0UORjeYpPnhN0ZPSUTXgaxZW/koQb0bpLEIxIy39pZzx7T3zjKDT0hEvYAWGwaiE3BEEU
jCrE8cJlYc5DIEDVYLYTOT7Fyf6APjvyagnUS5FJT0XuvYfGkp/PRBsam7nuSKRQRlc/H0vrI9ES
xKQSjgB/7VJpHE3uStvXioXNLo2zf76jWJgTSxNP6KAQMP2MWatVOhyDxwHH8/9UggpiPHGEIznh
+idU2IUuLJmeCeGYRl/eoBDAv0wGiZICgi2tTFiRXgLvAaiFKu6K8rGVtyJABjW4zZobsdvm9AQf
n/3jLcCq2tpokT1kP6/vh8+88+U0/PMtk2lQwyqA+opp4Fv6bOtV95n4w4UTRtFuafjWtW3QfYnd
gxs2AFLWerSBrPv6N8y4FTdDXQbRq+Nc0xuB1OhKph+ZjvyIzpFS55zX4NWuG5nZjLqkcmBCAkeK
bpoYqwHkwz1BvYxeww850zb0SvyhSXldoCn116ZGKjmImkm/w9Amn/tw4bWFmkfKyCF6/NoE/VNe
agewte9ulC8F7cv9wgsByjmKPZwKEJif2xJauSjgUMKLFWEL2/i7EsmwOljf/3ZImOFBLIvUfCTp
83p/EmL6BlAmQkRUG6vm1u8S0D50f2T9mtzDQjZx7hQeX/qUL4AE8WQd3eXElqUKZZE3Psk50gnm
U06Fde/JitB+jau8CDdKSL16TSXS/KoqVRcCrhg4rYQgalFK8fpgT1O8/hZDgmHcuce8/QPTnTXc
0uZF75EBECJZZYnGY6caKN5uQC7EH71LGylaJoH2JtOU/igeY+sGl+kq3iNtgw71kZbBTtFT8rt5
Gm9VJewAAfrB8RV1JQ+doir8TuG42odpV/9xjbDa0x/WhX8d7Meyxz8Xgcl+rYambWkkNOn/FeIV
4nyeA39ouxugj1iXmdi9XF/5mQBBlVuWuJiRpzKokp0vxyjDGdVmatnAJm1dyW/yCEb7GJkWeEHo
wziAq3qBZONZDTvH9EepsPSQ0Zpv0PUiyeHT9e+5vNbrFBwhEjBo1LIMbeLw1nEI4wBuXgQI1GdV
9ehSPsJHUO7CwUexQFq4/V7GJsZNkw9FLd5tuOT56L0o1wW5FgVACYF7iwjRRztUw4LLX2xiCkfj
QwWdYXgj9emYiq5K61CBE48n0Uqqb4YKPzX7v/WciZVJWOqhyBqaECtNT68R9YgabpKeqpkhLgTA
i7NVlkVDIVrQjEJ25CJdlymyKMRAIxxPSDZqujWG7x4NNf22Kr11fXySxRfkPS1xc903pos1NTvZ
G/Q3KGaCgA9o2GwjKFsTlb/rFqYn96eFkdpTwx+4PYwvmJPYdPQkujzLngb0NoWhby01r7Q8qMKu
jkK0cpaKxtNDazSnkjexiIPciKaOoQ0uaQYfEU14ExDxckDBOWX4IxOC9fVxzc3cqaGJb5QwoHsl
oFyH2PalHtIX1DgXnGLq5J9j4UpnjLS6vO0mT+QA7TcFySo4u6tvZr0Pi8e0Xbjcz60O3F//NTGO
8mR1NBFigqTFRNC+ttLGCNAsUjVgsrRlPwKCuj5ns4tzYm0SGqzIEovAZXH66IZHjSMYOWIptMKF
239naOLWnRDK9EcyrNC9kczXJr47ls+0RFy3Mrc+GncwGnkNsCPiJK/QhYOJ+KLJno1NZOaE73le
7FovXYjfc542suySF6ZiCmvt+Rq5vqgN6mdTYBRSk3PpfvPg9Hi9PhhpzsxYBUNHlAwfwfXcjFjB
olPzhnSCWvhRw5AlA+6geODAO2G3nX/blr+U1lzByLFBSWjtsaVMdNpi+h4XPmUc0ekNe3R8aHp5
NJE8ASozcXwl11tdswASAl6jAyxogDCNNJxo02V9Rl0WMeCgsK0cvjaI7bNBX/iCMShd+4DJttCt
Ik6MlLlAHoXW/U1kHFIu85pue3RGQF1qt+XCTpzbG6djnky/BgWKl3tZ7FjHbhNUv8pgm7XKaqh+
LUyuvDC2yd4ABwerq8TYeo3WlbSjwt8aK904wq73yVthrYzqlwJ1SQv5bwgRb0yv/cJHLK3wZOuo
NOuY7TjBZQI9L7xfLc9888+gvRf6L7DvNLE4kbot64V8yly846UxJlWIpyNx9Vm8M5UeyTr6Vhx6
T3eewRUtc2/l8Aug7FD/FTar6+OcXr3+48j/mJvMNY9+QRdUzHn+8DXti3WDtm9ej1X9xAP18nHd
3KwPjY8awoRK0Xiyb4IqCOHWzWOH6+eqRwAkvx/EbdgvIVhmhwV8RZHYnEC0Jnb8AMIByFYA+iZf
xk3RFNsOFItZQJK7cNGbNYVgMYAZbIECO1+w/Jj4MMUVhAJR4qmyU+hZyja9+zP420rmuFYUFjVt
xIJwGZu4ZNADoa37IzeHal1pgNifmuhB1FvaD2/LamG3j342DTCnxiZPBCmIcs83MJY2ZbptQkm0
ERSu9nJNmee6UyyZmlzAomgo1ETClNLeG/17LDyKQ7RgY87xLDxBNmSJdP4U2ijBmilmIQ6RgwSM
6szR4cvLZVpB/0+jObE0RreTC0sYdNA60hHseFVlCyNJoHvfNN+vT9lc+D8dzsS/w6JRRaj0uBVD
Y1Eoz2UBWZdGn+5LQnNX2T0Uxfq6xdkJpNasUrMEDDXNtXDYeHXaVzRb+nTRb2jpD+IXeQlwtWRl
4nV90kBRAzeKk6e8TiVP+DHEw00gyQ8AgpdC/Mw5Y7JjecswHgLSJNT6IHuk0ETCG/7UNQ26dgsT
3NgwVKsfRoxQKnkXjh/txqsRspWRMDKPC98wE+35hFEjiTeVCLvtubN0tFH1+fgJhvohG+vmiFre
HglQWzRgglhKxM6EKiDZRF3ELWlAmRaf5bLLymF8ESSIBvWBsKF8/KLq3Q64/SHxYL6+7jPjJWQS
Q8aJVTnP6FegiHY+Otjf4Y9EKcCBTW3d6uba9RYszIQOyvbgiHSe2RpNBecW0rKM+6PScFoKP3Lv
PumhfYoXSstLNiY+qcYB3IsFNiCttUHuR4Zwi6zm5vpczXj+2UgmQbANIk3xcjwB2XqS/k5c7APl
y5iY/zd2NHFSjxsgV5TIGcSOqDZ2Jj7AJ1aHueNJS+fH3LSRE9CA9IoAlszJ4tNGrxYK/CDOcDSQ
UKhBsNGFAvho5dKR7K9AkPj0QNeFBQmYqO59CAr3XSlxy0PMewd0xnIi+n4gxqKCgBprAReU74cb
rNV/Uvjy6XD2i/TRrCw3WUfHUIwPQTd4pIP7yIVri11n7ICYIbBnZqVC52sOp7IwdF9d+P2+h17p
3Vowsv2ge9xwnyJIUb7DJQm3GnI5RxsAnLeFO0X/7QbR8GjEMj1Ygtmk2zzPU1pY6S0InQGgirsd
qX2aWxpbhALh5EjyYe/1/K9ItLVfhWOhoJWQZf73HMBEYAueC42Oid7Fzs3pCW3DY7gEgp8LLOAj
KSvyMpcovZxvjCHnGEzginVcetErbXvk+pqru66ga2CdmM/XnWpurU+tyefWkG8LYOfBmlFQN819
W0BJE1Tzgk/N7ZFTMxOXKlGnk6weM5LyWwJRBb9m/U6b/PXBzGW6QLOMAD7uqKjSjKM9OcFpdvQt
xUfJFQn0XFnJyRb9bPRCHSU/COHWyB6s4lHXn/6l2XH0J2bhdaSv19BgJVN+Nw3l6uQ5LiObPlBN
Q1pYfSiFNeSswhIY4CIbzL2SFhaLAh0hGneZjJduwUqwoNt2aiN4V7MfQ9PBgPHkNa91VN7oXr+m
t8b2Im3fVfdDpD1xlO4HP7vpFWN7fRJmTqizT5nMQXU0Y6FCrMRRW9AkSqYhk5CvKAkghJFFezlL
FhZ75iLFwDmhpLG3wjAmYdeF+jdQE3oSodf5ksW0Hpo5HVyJe18L2YdX1/Arl19y1fx9faCfxf3J
2XhqeKpJpcFdB3q7SUCUD3tXHEH2ZmIg0kjrPb2/XcsVCI6YcCiN7CbyBRfSCITJnSYv/Q+3V0TB
qeiiBZqZNI+iDDtRSD8WPfD0u8o2vErVdz/SureRUw8Qp+oXN3DGaTe9CLWVGHIgp162ALWc2znc
SukeAFUCsvfT005cOPSGsvKbDpZCoWkc+CruRERJiArqdxQ94K45Ri9kZB41KMeLSLFpi/+4Pq/S
ZeADsA8Yy6RCD+P7FCJreJpRwnNGk2n/Cqn+xpeSNwt5myaMv1hw5nqm6MRCA4/ikUpP9xjATFNp
wZdK/qLW4Z0rvXQGHSWKtl/4sMuEAlqMCgUq9hkQtencmKmrQIRG96WXWh539gpOZmN4ILdku5m/
zuGhDvtfHRzzcfnuFtqX6/ZnQrRFGULVDAS2RB7859FF9Y1BgGwv4aaUfFUUlIpL402X4r+/XljI
wJAVAxTIW2F67rRhp8PInjg9rIQoHTXwryGLnMAAfH08Mws9ZhxH0CuPYepYE0tQvEi8X9EULeTv
sB6L6jf68KGESQZof1/VeuPCKeLvFFqPY6+zReUhDvYQmIqKI/O/Xf+ay9kdM/mkNWgV4tCdgmPF
OBwENhbpOHAGGeQCfUpn+MLxNxMzWDmCKxBVk5TuFOQoQIFFFzUSmavN3cPL+OMZGKFz43zp7Z1v
73YLN9/L81ZSGJYFfgp8DYjzc5+p/cZQuoITyRvIugerTvshy29dtSBnevlMODczCfpcH5WiRKnI
SbrabtX73lpC3V4eK6MF3j30cqEyOkVJazEaGomGhYzOtV58TYcVtXv68dduurDP5wYzgs0lcINg
hKbVJF0fXFyB+BNZYfVYwfFw21ZAhK772wXqSpbPo8lkzkJP0Bq9OiZUQaxNUzR20Qu9rUj+/eB+
HMtg0wuqR3sA7/WlHN7cZFK/4rjk0CTIT47MLIO7YEjhVNN5MgfNnZysxssRkN4Bjd3r45zzwBNb
8uS1ErQK7Jwj7a0yVE5Ne3rWHZTgYC69VmbHBEyFYgnNG4BJzj098nVy2zr3joSkjSRmyExs6v4+
rn6kwvb6kGYOSZbuxNboQSeHZNfQSwa/bQIjA4q66h9R4k6+010ga8avgQR3oG4yZdMsVf1nxshT
zDLHPgh5xOSc26WrFPlLNUudNvnwUsGWU05m1RbDG8MK19cHOWuLNAPuQcqSH+e2hBaFh7DOUzQM
aWVUtwhniPRa+GVtww903daMjwCfoDbNnUOmVWAyrrzqC9nrC2yVW126G2i/KTuAnvXLdTsz9Sfa
QE8MTfZcrvRHPe4wVCfwid0NOdiR37K57kiSGrXdpAdqLqL8lmV7s1zX0dN1++O+Or8xYn5EuHPq
0UE9zRWhDB97XEZTGCBaFJBHXlMdTmgis/ElLXNHVn5H2oKzzs7tic1J7gMlCVdOVGwOagyN5EZK
3J2h3GgoEP+7wU2CSl5UWph3RwrwkDWbOrk/tKthZZU0iJ3VxoG9KzC/X7c5c1U8ndBpZz1neQ8X
P4NLDXJuN6MWrfpjKFUe+U4XHvd/b41rKV0CI/SajvHzLdF30JOSRufhnwVrBTLz6HgrkOmLim4z
irl0iziyuU14anGyeBokhmlriCkKxPm27H4KCeLHEAAGKE4AwFq4ncxaG9tAKLeMXaOTLa+ZRgj/
A+OrumzVg2XXAFkGfbaSvbdUWHqkX6zdqAWm0ThI6xiH+rTA47Zy29Q1FMjIOgulI/mp7aOuFYp3
ZvjEi+362l0c6qM1MDxAX7jeXRwPfqClZexiTbB+lonntOrCFejzIDvb3BMLk0MBADMs8yH1CLiW
34NdvN8Muz/Qw93kb4Hzq7EjR7dFWr6rjb8AAL4IK1gGlivyg2wR+Jdzv2yy0giK2KBjTeQlRPah
ui+zt7APqWh36O7s8nYJS7RkcnLaxknLU1TGPbz+R0yVU0xpuoKcEt7hnw302Ja7sPfGI2A6u6dj
nMyuXA9Vk5K3RUPpHs0GiMi5zv5tqJzM4+QYcgdvSAwfGz4h2UWHo60hG18V6sJY5nyRxxWZGhKd
eOMkjtDsUPoyaDn7mL+gQeUc8wVfnJ+sfwxMwoYewe2ZZKOB7gsZCUl6gijt7/fT6RhGBzm5AlVa
D+CzwoTpexsNUvIBvPa/MjHtO8mkkKzOOE2lD7rTexOthXWYn6ZRFHq85YMnPB+D28l6A3ySMYTI
4rQQXz7L+vP1QVzwD8ijU5lj/xGd5pf8E63u64LeMAr9Vd5+a1bRW7xHpkTawju0LXfFbsHexXk/
sTcZVJFqtSjn2Gs20hfpW/NNdp4jB0ZK+fEWWrNbYyVujdWC0THCXOzOk0FOPBp5osgHYMZMetHK
g2Yc9YXBOjS1E6qGrRsPvnC0izqwo3IlFgvbdnY7QXAAGA9ZWVOfGJc8FGOMIyM23LsieTDLv31D
f87oP3//ZDd5DcSWdcLfL/S6oyrNuqe1eriLtYVZXBrHZEsVuuJpdNxwIELBlkg7V1xCBHx2hV2u
03+HYkweY0e1Br1NQz3Uwo7hrX4ET8Nts3svqb59pAfIGjfJJn8tFiZw0ezkYhG4Frx6LWYt2emf
n5IP0YHNnRvhof3+tV8l+1drlWgL4eOCAuVz57H54GSRuWZMXzA1oositSTBHiy7uNHe5W2/Ne+K
j2r18hjGdo+83EqEF8UOX8WDvhAfL5/3o9ecWB+3zEmALKwSTITLlug1eIvW2VtlV0dEo9bCVv7q
L2wBafTxi4WlRY8LzohgmWKOMjq30DpnrCiyfRRvskM6/KDvpW33nH3rbuBed4oDOkFLPjs7zBFR
DDsDPy46g8xw6Ia2Y5hdBO5cW0HE5oX3R8VBGSfXVqF7XyzVP2cHC5MK8YbeEfKxY1w/mdoycps6
FxhskqzrNSzCtV1s04P2DIXHbb8xN9ZTu+u24fqvsQ2s6anhSWzVywJ9BwTo7ci6r+CJkl7g67ML
bSGGzwWCUzOTgMZaUieQMSPK3412rB/9uR6vZ++qpxYmIU0wXFd2wXvaZCILW77JN+pjZdvebekh
AWHar+Uu3T4pe+1xaV/MHE/0kFA5hl+DRIYxGZvc5b42HMG3F+WrRK2mWPXqvrPerg9w5mTHCofB
CJXQL6D7Sgivc3wciHNoYFE88Y/w8B/9hffSzDqN/AYi1wfal9jt534oukdDoWuaTWe9WsaT6C/g
0j7bhM52NRlIjfcY/Vf03qjW5JbdSAUagRkdkYcOjijoOx+Q8diGK3dT2NUmOETr6pA8oXELm1bl
DG+PyJ/d67w0UhtKzgdizcFdq/f3wzZ1UMGxvdVrvDAHFzM9+cRxjk72om+i5gig13dU4T5qD5G+
Vty/3Q6YYA15cFsw7cKIcG6i8SRkYRDUdfIQ3ZFnVVn4+y9i5/j3U9OhC+2TYmYyy0IjegEk6L5T
KR/SERLvG8RL0hZC4wVDF74/MTSZK89y2Rde7jtyNsA9fBMYP9R4jczAdeeXx907dZvPuxC8G2OH
zGSPxQNpSSVDI6la6W+djd7QbbRW7n8g7sGp622r2+CmcZI9zdv32lP8bO2TFTeArfCSrZeKZhd7
ZGQVoAJG1l7FiT9j+Yl/KEkqJse09ek5+qgCWCWXEEozk3pmYJyMEwNJFUp6H2BAMx4GBI2gEweR
uoRbmPERqm74nkZZQDa1iQ9Csy+5WjVaKe5it4QbBibjzDFR81o6Umd21KkpfXJHg6ovU6QOU93w
qGbburxpzIUL2dxoyIbQtK7Al3JBcRNnvtrWCNA4kvoOPZSZHtwSEXJKqtGCy88t/6mlcfVOVieF
NxR8EZYyjfptShVbXbrmXbw98LBTExNvt9BaECESY742hkyHtS2v3VW+LqEul22BuDn8vr6/Lp90
E4sTl/MsME5xh8WjsAneBMtWncJJD95twVVLfdf+F3R+S/M48b9KGDgi1LE77CYV7nJKps4fy+kc
8RuU6RB7ISQprPrt9YHOeCKZavwdVCPgkmnxsGrbJlJLjYZ8MnTRK72l4XEBb/BZTJvEKmzQeaTg
ihpR69xBFEEfmrTTfadZFff019nmjfGQPHd24LSb8AM1BTgUKxtKuvsPZd3a98DebPM+sX8infHr
+ngvXwxw7px+zMRbzWNSalVm+E4PD6FmQ2qv9na1Gm5Vx/9Vrd0N2liFk8HZiPRGZrsL5/1MKDsz
P/Fk+rNgwEYzz4mVP6Zqe7AkF+FzBvH69XFeVqEn45w4cBhlclEOGOrXSD3Y5f1xI6/jF9hKnqud
tBu2r42jbmJbWSP1cW9t6bndUZxZaDCfHS7UYSN0iZu8MTl3TbO1MgPlACjGVyHiVlw9zYehXBjs
zM6hWgzeWaM/Gpa6iZU6UJAQGOrA0SowLS9B8np9Mi9fIyNR04mB8QNOQtzRI58XVBio3kuCnGXH
++Dgrc29/2u4Fx+0LeIb/npt7ZeaYC9RXxPLF3snKOSiwXK5zmK7+aZ+1NvhAVoGcM53wo/itgw4
15du8EsTOtkkjVynfiJhNY82ZfJY5R/XJ/TSLcAeUWVhcCSzL657gd9aSnn0QJ2GcrWz3OreVIdy
X2UAaYvOX4KPXb6FKAiMNYGRoHPE1kzGE8dDjtQ1CRFfcVp0mSmscHFqfw62CWXe+mj3m9B+i15I
GXjOb5Eqz4KHjrH7PATyATSGEL/pYYUx4NyBVLMTIkCD5O0ROFiN0U598B5bezFJcLly54YmIy0Q
V4nlAEPal/gWVC7Ub5SvD8E+cb7K7wghW7a7cBed8dFzm5OYFqGQpCGTAzLEzl/EG9FRv9fM5x/z
IXAA6NrJr3TB5Nx0ctMUwUJabL1pb3hjyEn42XumFRp6MuvUX3XWIxBIMVxlFTTDS0DdWQ/imISD
hasGJ+VkAcW+0UNh8OkEvVVW4T5Zt2trzclBdcRWtuGH92LcNaaDpNqqe6+dulpwoJlDdITr/fMB
k4WF3J7+aoMPSGxlI+wGOkluzY/q9ttvc9PfdCvv0B3oTliD4UZB7BC9qOAJHfHmvhoQ/7TBZSx8
0ewePvmgyarz2OoG5D5ILvRrHRYs47gJuCp7wsJaj3/PdOsAx6NWCQflyEtxvnXg0K7duoZnPuge
JL8E7rtp88daLjd5+/N6WJpzKwW6Px0IHqjsKSoxKiCp9VVMmRnaVxGUVE9tXB6GPjpCmVQGjty3
v5Sy7w5R0L1ftz27cUUoD2D7gLF22uaC2HsnHE2mUyM2oT64Lpe6pscTfzqRkN6Mj3laWYBfnk+k
FxZ6nOqId2RavTYE7j5GdYjy4GtlIDMAcsdIgwUfmR3USdyd7Bq0RQI/r4gMQfEYmrld/TUSGYSd
QT8zGEIwJbSfn4+pjCtVbBQxdwK/eyqH9yz4Bk/HrkcxiZi/ur5EFx4/GrMU+txpixRpUTs3xlHm
HcNayh1e39wMDUGluy/9llnGNyEGjvrX1iz0TYxP4nqRZ9y5NTGAE8TMwsLpzOSrmVfNTg7M4xo6
mOipcfsl4MO4FGfeYUognWFWEDmZL7eZ7zWBWVhR4Yi0o9t1EaH6LsloTlS8SP5+ZDDpjb3hI/BI
m+zoIPYayxePBQ0C+XYU5EibZt8Fxq5Cdfa6qQsHZFRj2xEHLx6P559PYt22RlOWmDLDapcY3dY3
ljjA5iaOnibCBaX5sUZ/bsL1BZGyTlpAERFLCE6Xvw1fqFfyYPy5PpbLPDyD4RbNnLGJOYgmD8SC
22+eH9vC4TnlqGJ9aJB1sxoXcTVjK1bH+0gubqQo30juEhD+IjJ+0soyTFgbIBaxpqYtpfcGpLkd
sVbuhdhcS9l3q3s25Dd5qBNbq38FLhJiCwMep27qk3T/jDSp0HhTST+fWgn5UegPh8JBM3WNzOc6
q+K9hBqiXhzvqLruLTQ7E0FZJYm2TXt/ifHn4uhhwvGckbMKyCEkWef2j3VaKYUiFk6OXqgdd+hj
K21z73VHf62GI0+fUUvr64Oec6cTm1O61lpo2AlkhR2f5qva+CHqEZgLeel9OBPL4AgeGWE1ePJg
9TkfWmI0MRUCuXCCwNqKbfdeSNqOrP2OjNLm+oguoZRMI4gqCuMETV6C0/1+tGJ1AD3sZIjHjh2j
aqOuvFRfSUG1iqBIN+sClaA3iH2Ry/C2/9L8ZKhml6BAWGC+rDtYiZMMGuag5RKhFrd+IMBc1SgP
3Ft6XuLeL0MLb13z+GvhI8aM3tSVESmAtNiyKCdMC5UBlQrDajVySH74qGshctjwM1hu8VPq5ZvQ
VbZ1FN3WPk0HxKwFrMjcYkM0rIFQQIQbdPr5YqfmsUcQF60iuMPu2rJ7zr3hWfDEb8WwRFc2574n
pj5j2MlLeeyTjVJOEkdFZG+VIQuGbhVZCP2ougvH8Vxsp15A5xc5cI3H1fmo5L4yFa/EFGj8tVLk
31tVe7++bJ+Zg+myQSQHCRWhXQbSf24joeeE25+cO5a5L9BPKLgM/q6jXRwrdlp+8yv9oHuvfb53
uy+F9Du0EJqP74R8kww7I92qvaMN69zbavmmVfbXP+5yVenaBbBHIw/3Yto5zr+tRABAzZogd6Ri
JUuDXQN56+X30Hr+P9j5rM1IQGi4Hpzb6axGaY4F3adZ7Npaj7AJmKlYuVFT/a8vBoyIIY2XYOCs
06KvL+RHtw3i3OnpZKiGZ0P91rsPXfLz+oAuHQcZF1KpJtVloKNTM1anqegiRrlTtTFCZGjQOq7L
rf+6lbnlYSdQwqbDRbyo0JS1oJVHv8rpBevigyWS082Osr6SW/+Nbq9yASB4ufGgzR0Z0Xmcwn84
9VQJJEk3uEXuHOHqh4Fiq9UGEn5LF+65uRu532A+UfRLGDe3eSWKRxxzZ+wS97ccf7s+a2MwPt9w
DAOiKsZCDzxX6nNnMyK/6fWkyWl+XymjqgV8Lv4BYknKCnu1/nPd2vxo/rE2/v5JtJIkN0AoHmtB
q60H0bvV4yXc1LgLLwY0Nr1/3py4I56bQFO10Kkq5bAN7coa/fdtLzpCl2wDPXBq4FLA768PasYT
gMXQdkUXm0R2ZBIX0LgLraZTcien4GMNG2EQV3DgXDdymfRh46DT8ckQQ1l12rrsdm3WwzVROLGG
5nnWOYYp0IEU8kYOvyJ789JkbzxlV5H7BLXCey/mB6RpjpayKuSldrZPEszJJJ99jHw+yWXru6Y7
3sEt60kYiLjV2vOCVcRpZFfm17TODk1UrK1BWMftXdf1CxFlZsp5EAJO4xzSeMRPvFbuyBuEGXWD
xDNfeLd5DrxhpROV8dJlajzUJiOFFBJghTJCK2gwOx9plktBQM/Q0cl6lTZTocKBBvGxMLx3DW3M
qIBi6vpKf0KLpya5g0MfrdIsSMb23CSF+dRsjeropLfyjzFjGqzfv4erCskveBM3EILa6brevba2
Zj/9fQMhUgxk3Ua9DrCo+Nu5ddUUfA0h06NT9nZ5tL379HHA7Epbe3eNo7wpsc2r7j552UW2sHRz
Hf1mMnTYgmjmGyvs5IMms+1x7ReUrDw68l1+Cy7jxtxHztfsW7aPNu76+jzPOTH0RJAxsB944k2r
GJ3iQoZUMc/Cl9IZdpaTbBEv3w9rgB27cOG4WLQ2CX1+bHiDbjG0Yg23+w2A6Id4FQS2/vBdPaRL
L6mZtysb42RwEycyrLiQJNTcnf4J9hQa4WxAC/HK2IbL+ehxt12s2omt8WQ+ieq6FLJVa2y1N/X6
F8m6bf2t+AYyHwfpHpauYXOR8GxoEw9FcJZe0HFo1TfaFn8ah8ZubmjgUpE8875U2+PrU7K0Jy+f
E+fTOXnTpKpitlKGTfMp2fkriMBWvePfWvaG4kaxqtbqptt+99fiJt2+Lfjp7PQi3UgCjLcMoOfz
6W1jSyj7I7ald+t39HPj3snUM+oN2YHhJtsvlhdmQp5GwuO/9iaeqgW1GOXjcqp3PLkfWockPHNd
gHIZPFt+aFeVE9+ZTrq9PtCZk/vM7sRlq7a3EqHAbu3kG9glfz1rWxHCcue6mc8IduGukOOQPQKv
dxHhYknOfclqiHA38rb+k9wpKx9RxcSxnOO6+Rnsf/o39QGB4wW7M5cfxveP3YkPWSlNXGrYHp3j
t+gnWQbPdm+Pv45ryenWaWy/Pi0pBs4aJK+OPiXSWyAOzh1HqxQtlUfHaYXhlnbxQ5Uu8V9dKDWO
Aph0Iv/XxsRZmoGG7DTguOgdlWp2uX6Q9r3z8PzNBVFHlcQ27uX9XfD6R7f77+C/bG+z9Q/BSr23
Xl7NhaUdPeRiZelGQiqEmzmyTOcDbgMtMEMZyQgpe8n75zjd9kveM/PKIO3HbQ85Mwrs00fgoJlR
4UYaCudqt4KDUZJh5XDvvGbpKJw19NmQyiuYZ8ZkNwhZKGVRqh4pdDv9TbAbbPm7amtPcLhnrQ1Z
/61I7Wt4rMWFSZw9OiA046WrIKiK7fNZ9NWiLsoeCF23acxd/uhx7VjrD8KWbsPrW2J2jCeWxt8/
OTjgXaABvcPSSLDoAP2yU2thNLMm4Nwnp2iCWp3ugaCOG6+NWa+iefXhE3GVXRHszaWby6yZkVeD
8iiXield4piSsG56PM8TbvX0WS4oGDp9urs+X5dVUXYbGSV2swTVK1vrfMIixJtK19A5+t5RkHYQ
4dkaa8/W9+atH9vDurrx7Xs0aXfunbGXF64wc7uLdwciDiLZGfgszo1bvZ93hYFHGmb92Ovmrq5Q
5m7VhRWbH+Q/dpTJCy4ZpKSoO+z0NzTRN4oDP9X/I+27luPmmW2fiFXM4RZMEzVKlmTdsGTJZgBz
Jp9+L+qc/XsGwz2o7/td5QuXq6bZQKPR6LCWYEs+fOQjKM3dWQOfNdqWCrDDoORqTa4Mnh6Ot/4u
LrG+BM2JGDfA8B9iUuVS2y6PwQdUwHD0Y/NhPoZ4dB0AnOtMn4ZXb6IPZSbKe+2Gz+IGuHyfsWf1
nIVYtSm8OOSFKAgjOMwX0FDN5GjCF2TzdhgfjKDCMIBryryLiSeHceFTVplTEUFOkCleBEwjWNiP
Lskwfsjjv1i74heUjv9ViXEtC5pbYnYQNQn1UZcCb9Asp6gKW5b6l1r/TOsS046c4O26t3A5NWdS
mVMjtLky9zWkzgsWCsXEzO9JIhVmjVFWNNQtcGZQVmgBPWPKW3BL3T60K7cwxuAsIG0sLagY+780
pBoxf57kAQzJSOwsaEnDg2xc2UCwFWBYVQIQJUpWjKGgjRbw74KAB6MUkUkns/ETsD7x7NxWZG0d
kYnCbb9cDAuw66UmpRyiZaKLGxvMLZJXnlTQDWtH8at1e7e0o6PM6wJZu4ouJDI7Z8hTZzUAC0E3
VoouHvl+uLcagmaPZlPzABPW9ulcO+ZZ0cu0K4tFVlyhN9KwB+T1bi/gigO90IYJAOW+mdsshITS
2mpAuRAaBzB0t2WsFH9QPDvbJMZLZ+WogyESfRuirz9ETucmjpC6g/M0+cYXR9bKqwizIACYWMi6
YBeM4YEuNhXrAgzY0id2BZMvGcFFNJLa14/zT46wldwAojoTfRRoRJJB0nJpfWOsV2WopY0t+9ZJ
dOd94Fl2iUmzj4QkPrfjf9UczsQxpleBCm7QshyQk73iNAn6uE3eVi37zVwxFxoxFkcDNZ8VGZAV
4OMaHlQ/Kkji1SDs8k2ns0jrKg/Lk6QkxSH+oz1z1pOnIGONgGms9DmH9M4ultTS3a/eE+3g3nTE
p+KrtqPftwWuPCsvtGUMUxg7caxKLOhg3cepK+REVkhCA5IrnJ7fNUlAAkF7BboPdeTQLi1FGUd4
exCl2FO2rwEKHSAF+lXETsuborlubsa01bkkxiZlQa5mQYYk/ZgIZNjpvuae7k9iScrNSEI/JTuZ
iB0J3I5XUF496OeyGQOd69qQWwuyi4eeSMSygxP1e/cPaO14A9BrhnouijHUioYy0EbLxlbf80N0
ajfCUXhoNv/cPs6FMPbYdhkYhgroY+EWG6RlEFGpnAZtozMPl2wtuMO+LXNmwJRHGzOjUGu0cizR
alFo9gAZEyJXpRLqjtt68zPyijfrKD9Hj9M+QZKA/qITJ7Rby2FdfACjLABam9oa8AEm+MfC+q0q
7pax1uJTm5wc8FXDp6p+zs0diriKVpNGfuGyNVyPNH0b799FYA5knc3dCGIPLMIx2U4Pui/tTX/E
hKv4lW17gtYnrycjOvQlzLrGnoGBt8gfTxZ5Mbb/uAH68lvYAZ0qqztxmvAts9WSXn9Qi9Nt61rL
+gD4HlDx4C1Fzzo70U7ruJpjsW7sHmkJhDB+Rrq7CDHMwt/kqxvMUW3me9HnnZ21xO+FYGarcwGj
xc0IwZgLnbci3roiuoQtu1p8fFxyW5LXosFzRZltFYCATusM8lpJJgMqF3VAZAkYzZZ7e0mXH2Kv
rzNB7OC7KUxA7DKxZ+JkG5LdBHs13i21atSpNdVTos/b8q6RphYj+buFbMkVrV5JAhTwxn4Pd01F
fuMGwamdbQS9jghiUpPnJ3gaLiHJWX6iKABFGurQsEs2eenUKuo+XqZh5oGU2R+DJ265LW4tKBNO
gdmXalq7WArwwERnrH+F7T1nDddCtvM1ZO5GbayyTpMgA3OfNsjbntO98J4Q/U75F2XRi91i7sam
VRq1lbB4bWcDcTUDC3vPscBrEATGIpg7MNXVNvx/K+ZFW8yA7nIn89HS08Ii6Lbx0A2/kV/Vx9uL
+J3Nud4ooJ5hsgBQCGyrqFaltNUNqGY96Ttjr7xayB435L5HLgbQcV5pv8Jz2ilSu+JGdKSf/yLd
hLX9+wHMLg4ViAHzGLsoSUSuDgDqjxR/5MHVrUWIwHpGC7OCdkvle/XPzL/B2JYwIxcI2C+R4OlC
LO6g4WLSVyupgt0O2oCUhG0/iKwxFTsTiug+6mJ28hVFRLqL7wUndcE3vA2d21u3HjWdCWRWrkvM
JIgsCNQQYJBpIK8/ZdI8TZtiM3Cee+tmciaLPQEVUnl1AFmFKwauDlwFSkR7JOq2RcWe6CSLyH1w
/1k+hm6L4hU9KKBK4XzFyiaC8QXoAMjRywCyYrJplNZBWskAVtNRvCYouzq9NvJIkJY7jNnGpRkc
XUToVcEdy3gu1aBzm1gqSkRV7Qi6X9M3tOTOPQZUulOUczZxTSUTbY3gYUBn7lWnT5Wq+lxHaETT
U3F+0tvqx4Qt5WQ71ywF3YMoJaB4CVQMFokAwOPVjAcN7s/QCUYnBZdmqJNGfJHbtzZ1zfGQlw8z
D0Z05Q44l8peqtkMhqWmU1BoLL7KVHuVa9k1m/zt9jFYkYJWqb8ryMQkHXC/igI00ABKBN6zKu9a
XcVbTN/cFrNiFkDJRcZ6QZ1GSZEJRaokkJK8j7CEyGR6VW/0dkXBJpLnxamqLfMxUKvqOU65aB8r
Fzca5xDkoWsDrRssVn3bR0FnClkNOJxtaLqddV8jvE2OFX0HJRClD7f1XHlwXohjriE1hPqGCnH1
hFMuulQo3aSqkV90JJjpbWEr1o/hTqAr6LBMdBwxXiVUrbLLlvLlXG17YBemKa+9ZyWCvJDAqGOk
qVZG7Qh1SgnkoxREjI9qdiyakXOQ19btXBXmGRYNuBNoAkG6+NAMGKMKS3eu9lKRAXLvX6S5L7Ri
bL7U62kEfSzKy7NQnbKIjm4nVOFDOVsPYt7KHN1WjhgO2NLpDSif5Qa9jB2nrFPBIwxxvfWQZ9s6
/uIWCNaWD5lluEAVXhddt5ci+oqO2STPKGQX97FGhm4zUCebnvqcE/CsxVlLKeQ/kpi1GwMwc84l
JE1+4Gd/Zq/d/5pRlDFc7VF9Cu9LXw2R9btt6Gve41wos4JA0zGWiwWuMNlkcE/ivdE7audM0WPU
c56Ha4fqrywkGC+X0uwApBAVkNWOT/GwM3l18rUHP/z6EuKgCVa0vjMSZ7FUmBtzIFH49flUmLbo
ZsfBHxeMfbyWcPEPeMBYDh4wPJywNTM8lytfKjaF0YiEMOTG4UKf9JoEqSMKnArLupD/XJXsw2wo
UqvMBlyVeG76tEQQnhY7xeQRNa0ZBFBil/ZwNIdfMVMFFkjXQhW6GOKfIt0M2eNcUNLXAPTGvfzr
tvWt2vy5NMYLyiDlaWkMaRjq0N/NZKRb3QLVCjplgxnIKIrijrDO+1YKNRtIqMXBGNtpi1mhxgUn
cGyPad9soyTTnaFuTbel5dftT1yrlKJZHpN4mPQA5AdLKxAXSj5l+gSjorLbt68dHt9dJDtJYnlD
9SkbAGkDXiD4tGxJ7I+tMqlkqJDx6n7O5n0a1VtBUneoGp00EfgeFo/Ha3UNzz+Qsb6xLgDab+ED
9ePoJYBSCjdg8vbV1g426lO2zXcRDraPiabbK7N2nM/lMvHoEBlyFSSoCRT0tVWPGS+ps2aJ57+/
yD87zYWaqFRV4S5knCoFPYNt7xjRLknug55YGWeobu14nUtb/v9MWl724MXFrBAmf9+nesmbv2g8
dK+1O/9cBmPtemfOQ1VixYTUS+izgvwNdeTp8fa+rBX0MGwAZC+MlwFHiX05g8orG7MUqszyC0AT
7bra1lJLCmQUNV9vdiraCSpe0mNNt3OhzG41llKZgQYrHPofKX3WUryWjzrvVbLq4uHawVino8sL
U3uX26SilyWewO5m1w4O3uycGj82XOyWWx4D10TObyDqI69suWYcmNY2UBDD2NzVkGxsdH0mm1jR
oaRuXKEC1/Qvc65zaiprFn8uhjnJZmYGIq1gH1Hrz4WDM036GZPuwCMXRUpUhXMhr1vKmV7MERZq
vRnEb4OcWnsEer2KQTE8Jg6ZkjhDIRpAdIlO4CYiVtVzIg/emjIGI0eBEioi1jQQH+LuJ+38etzd
Pglrsdv5ejLGIshGMYsUxhKP6WNvgpvIBHStUT/XUe+ik4izfWu5U+tcHnO+0SDQmkEKecqTo+5S
z3hTQDn31HizPW1RX/Saybmt4bJITE4AE49AJ8McImZJ2QY2FMa0uAkgUU+F31My/MpTlSNibZ/Q
Jr9M+OGZfoVSq8Sp2g4W2qHU7H6gd6nxLIo8j7W2UecyloNx5nwVBNlNn0OGIdvjHvO+j4Idu/p2
SMj80G37HZiJ/PGn9MVDLlpVzkTfCBD30WzFFix6Mw1NmiH+0ObGC3oak6IpSRYEnETHNXIREssY
ycFbS8OEAwZULzWcNKOd9HEAHsGT7heu9CmcApxoO7yLYmTIHMlBo7ovbs2OzBNR39AGvDM/xc/o
xfRizo6uDD8sHwMiTjQWAMmbzSS1sRHqIFFr0b6geQVeGwBSAQOn4Ul3GChNSAj4pOag/Ja2YUpy
P/H1HzxXd73wl5+wGPbZjmOqa6oBbQ8Ej2Rnya6M7jre0+b6RoIIDBJiFg6onQAduBSRNapUicWi
ZfnV1X8stScxMln9n9tH8Np2L8UwtktRb4/ECmJSkH/0v8RhGxTHQh7JJPLwUlbqa4ssvHCQLENW
nh3yozMd5yiArHBM/LT7mlV938ofyM/b+lASCYTMaG4Hwjz93eqxY0z90dLALVGjyzwxPSG9H0P6
fFv/lUvk8qMYr6eCpTzoxaq18XYB9UjjCujynrZT7Cj621xtTPFO4RGiLOZx6fcg01xgHYB+dD2x
J9bWVCgy0kyZKT7QTH9KE4MT3l5fxpciGLWUiArjVNWtLeeKWyf2IPkidYQy3E7CLgJ07+1lXD0Q
Zxox1tp0VitEDcSBKY0MmN6L0gbY9BVHzKq1nolhrHXQSxDfBVg4nUqbsPGKBKUTZRnewwDL9l+o
BCQMeBkZw05s51I49FHSg17FllBI1Cpg4bcuhtVvC1k1PwuEVwskJHCMWG4aPa/TdsygUS39idBF
hEwdAus4sEFTRbLEjnQiy5vbQtfMz0K3IyZSkfEH68ilazHmUa9MDZtVZhi4rZW7dKg5wcSa9zoX
IV+KECoApVQx1BLixBYwxwSWCqTGlfLHbVXWDOJcDhMCxhXFqpaQkxsUYe0JD+sZLffgx20Fjj3w
RDE+v5ILiTYqRFE5dyKTlLWMVm67bg9p/HlbK5m3Q8txO7tf6pzqUya2WL5NByhEmZjHdqu6li2f
MLNpAzcWaMOSO/s78xQ9/kjsH6GjObc/Ys2DnC8t40HQbjF0YrtYZpe7We4Oc+EN6EfQpL0QOoLw
dVvcmgc5F8d4kAoYG1NhQhyGjp4FeUZKD9OUVYl8xW1Bq6a5tHegKxGHgAWvkpDdUISua2218mYF
DGJHM/yYedayunpnUhhPZVlxmmHgtLXjzB/MfiMA3CkO9mOTuaV5H3bebaVW2sw0pAz/asVkQvOq
Kg3gs7cYQiXmHyMk2ZviiA/Kq5aRsCdlaAsvaIHYyHeV12I+LHy6/QGr26coSLthkAIdU4zF9oom
jNEEfYUEnDthbMeqrfMoIVaPxZkQxiTDSY+E70UN0Konyq9xx7tgVlpxsI4LZhCyD3gps43SMwUq
yBhgHXPhVBX3efizDn1j/IzVr7o/6clOL4+h4FPx+V+s35ncRfWzEx8ALYJGy4lv5tCRQLeqGYiI
ssfbUhYrYAOPc+2YXRLqPuvnAFKq/E4tfqvTQUZiDYW9sMxBEpK6hf6PcU4u15PZsrEoKwvZKdhF
s7OSn2A9DJufGu+uXjnTS8cvoDDQ14yImbkGemQB5laGlDIQ7MRQvBSlImqeeinm3AIrKRyIOBPF
bFQIkuDByPEUAlOe9ST1ZN7Ex9kXjup9XZNsC8CPvfVT4jTlrLgTVMGQCEVCDEUWdkapbIROAWl6
a7fl0QxGooPoBcywqlQgoe52BSf1sHKaL8QxSrbKkIIBAeJK+ZAJj1KykQSOKV7T0ALv41wlxhZH
vRzMSoSMWnsE/Z9QA2/o2KVOn4OoL3al/k+rerW5F82Hut9r+X0Tn8CT0MGxRZzVXXtS4ltMLK2K
mQWDLQZLjQh2+4FCXye8U04ddrb4UO3H+NAf2k302HmZQILNAoesk130o+FRXKwEFxcfwByTPBBQ
yaf4gDHwgtErIyeyfvbWXRkZ9m0XwNWVuWjrSozTWIMoJXSqZCNqmDJVvyLvNz18Jl7yWkhOvA0B
hJofOhI/lz4gn29/Ak9Z5m40zWI0KpC8gg7SGVRHBWJYnblx+K4kL/+dJOZWTI1ianPwctlA/emD
fZXupvSxmZ6CmHdxLCeC8aznG8h2p6pARFKTGpJq+VCr7y3lBNQrvSYYGlTRTAa0B3PBmbi8IBq1
BHWImrb2NJ604IQZlzH1KsWb8/00OlBOCSOQTfLofL5RxxjFMFSOQ6EAdA3N0MxjIQqbpgTqemtb
reLU8G8j4M8TP2ktIg9uagJ7iNqhpW+ych/2RyHagyN60va6cjdob/rwgC40Ik+g/gt9GjhJ0bsA
mx7EPZ29oXCMGS8fhYCNJDGDfRdMJDZHtwf3eZsLdgMa9qjE3NWH3PlppttGNpGS7qf6ZLSiN0a2
hQdTCPx5ngdcsVEwBaMvBbg9KmCmmBsFCRm0ds4a4gB4QHTIFtaRUtsS3UqrndtGuuLbL0QxzrYY
1LlN5UVUfIh1p4mAaAcuW2DoA5q75Hj2VWGYVkR9BX+ugN/DeejSTIGwFJDZYzZ7oqCTVnoThkPR
3SVl691WbuVmXgT9Rx7j2LpmAvSYBHlUeBExxKLIz2Gje3Pn3pbD04vxahKwZspGX/TSAnAvZp4p
fxaar8yRXxrm1px5HTArApUFFmnp/cL5YLOQghyZgaybnS3VrhiW23h+n9qjkFenWHL/+Ug5khAy
JuqQgEWunL3+s9wALFxodbasBfZU/phQXo50b8g51rFy71/IYUyxlJRIbYCgaOfWaaTHVHqOe45L
XnGUFyKYa1+ZFStGsa2z20AF8+5g6zyex1UlgDCKBCPcFboALj2lPCt6mEdYLDXqXlswlvdl9Jgn
nJhhVY8zKYt9nAXsvWQKeixCCrD1iILO16LY3DZpnh6Mx0+EyJLRedTZVfa7rFxlQq4LadL/Sgg7
Sa1qhRLigKADAJRarbYdTBWel1Od5qwVi9ljZujrUwtoInbaKeplB/N7zm091pLLGDH8z65/o1Cc
7Udd06rVgDGDkfr5GOsHcPrZQwHMuklxyjg/ZC2KAdGAx7gIHDvDrUC4O0aSE/U50QbRD4anlvLq
BMsWMZfnxUcxt0iOlqHWErC6WffDLJ6q6S4M94Cv7sOjRN2+4zQZrjjbC3HLPpytQRKIfZ7Ii03G
g9/HFhHi11T2A8qpvPL2kznDXW+ZTWktZ5gm911d7bP8+fZ28iQw10ZRhZY5ipAwqG9B7sutxLH7
tcTrxVoxXkKP0xlDMFirVBOfzSQBefY8AGXZmu7HXnAtanpjXJC2ebRC+t8KZ5xHFM4YGRgCHAjx
OQtqEuGQd6dsvm/03ZhYQGPZ54LMkbpqjMh64epHzQEjbZfW0dSmHqpCBAoqeKwgd2M1QauPbYyA
jvzQH8X29+09XLPGbyZ75JnR/6QyK2yOalOOFuR1Vv8nq4vnEbmwTsodUeEuqLxy0M5lMQs6tMA8
qGiMEdwDmrDrEP1y5YdxDJ5+yI/1Z8FpZltpWsIkMxiEtf+vGuOazUBNQUgOcf2neBe/GE/0bvpd
WWB1AG674jra9kV74A4mLB2GrDc5k8riEJeGDB77FFLxOnWHP2id147qFqgeESl56GCczdOYsN+U
ykLMR8hCodPJAXk+5zZNHk0eaOHaJXeu07KxZy4r0hIMyiSQkynWVk/VfTSAgmjiJYh4YhhH3ElR
rWTtIkYTbXPYJciu8bL2K+AHF1ahMe53Midj6hYhAoDvTL9+S57zg+Tk++JNfUp0EnPc8Oqdd754
zIkGmo3Y02WTmvwl/ADj73sL3DHBjf3eRtuo8Lvcy89ofrQe0pfbZ5u3nox/ht9M67iGZEX5HMwX
WWlIJf64LYOrHuNA+olKgrjYhn5U0A74LpF2H++03OkGqFS8zbvxnjpaSWTf5D23OQ5FYxwKbm09
GivIRl0cHVPSSUUhnugYtA/dnyLaCgxOjLTSfqMDVV3WFgjcb3Cqy5MQTFlsla2EWdsyxtv+lKU7
mrip4mD834mTp6k65sGm6/xqcoTqLqE+Z7mXI33pXpYPQBM3erhRmGZfNGCUDa00VzGyNtSE9ujC
LDV7Egn2FhhZCQaAI92dAzcrXY7kb06IW6KZk1OYoRmjYQDwnPoeLX9tnQFBaEOHbUyPgnXKikNd
vRWKXxsvFsie5JgIhauIvyXpQ8cbRSPiSB+sBbclFF2ldePhaFbBZu6pbZTPyJLIwltW1I5VJqQB
1GFbv4+RaLftKQSssVpuFDlCgXLbqxgIRPqiOTQzRaHm3QQ8qdCq9jh5krxJAGOabbVqVwi5Ww3b
XPCDZKvnM2nR4Gn6+uTX/RMdj4Fy0sIclLyhk+VfIYipMsA4IqrI0Bc336fJKZcdXfbQcFgCBiA/
Jdk2mTyxRbyav2To/g42ibExrZeifFBaZARAEz09pOCykahj1hujejJbL6MKKfuDpu+S8EEvDgIA
rIxXCwX/+UDrfaGACYZujeIxo37efATDM+omufVk9JtCJ8bkU+WU4/yIPQCi4s8GfGvtaZg9kPm4
MSDZszex+VkYsY2SCEFQRPVjZNqq9CNPnoTiQ5kax8JwOgKWVg+xXAB4q9RdIzhW/CkXmq2GP8Xp
LktOQglgXRRS5B59+qYH87OT4kdQAa/Ym9s/LZgarIMYnJDG6psfJv011CBiqg49CAxaUAwDcNMa
bdp7oeo2YrMVuurQhpOvyadUGYhYmL5J39At5GWxm1m8utNKdQ1YZ+jaxPSaiLIQCyySaWFQa1G3
NOPY0tbY1l4L2JSYpIcGY7hEvFeOxo/ahYU9YTpv4gRua+IxQwpiH0tCCzcavi5dQ5VqRVfLEJ8c
Uke2BxtUs6cauIfk9Uk/hE6++0Th6LVxeaMBK/OJSNGfSWYOpl5MulHjUvtuDwpceVeR+TWsSIbQ
1X40XOMIysfDtIm2hlM6iS+MRHTAd8txEIu3ZfzDxWcs19F5lNA3RRuCO9OWFygSiA4c3YczHoDD
8CMnuOEc40DJm/V1W/B1FHSpPnPN9SU1J9FAvWwMnSh7L2W3KUvSKTz9lu+/pR9z04k0GypDQ/0q
I9mdaiv7yKPQs3J6H/yH+2bT2byU0koh61I35obLIiDLtybWNHupSLTNvUoFoAPyj85He7xLfc0e
OGEzT0smak6VGjDlixkb1k7R/GC8U4TN7Q1bu0XPLAWjhYylAF5apzVkJHr4S9Q2s5hvy6QhzfCB
ipNjpeNHO8gEoOaUgFPCniTQPsT9A6W8F+Y30t7/vako2l1+imWlcmktJXkEgw9WBI6wfJs49C5w
flF/dOZH3GqgYstJ45mkB+9maw/OTkvI0+01uTJi8COB6A5YyQuQsc42nQ9CNKWiHCCMmkA4iWHD
Cs61MY7c1v2r/YWgb9hdNO7DhbOEbFY6p6UOHg8k3gDHp+ekFFxF9m5rc73DjBTmTMq9MqdjAyl1
TEwM9iA+I0Xi55vgqdgqdj6SAsUrHrwvTzfmhOaYSjDCKhlsoXhok+dS8wbJvq3Z8hMX9sIoxhxI
ZCyFRuygmJCI4jalVfYqC4qeuGMxFUejS9I/QpeMnDzmmnUAHx1QMyD7Rt8GY6U0QZtMP6cDyoG+
CLA7EVMX9V5W3m4rd/1k/tburxzmoTerMngx0ONtW4jrHGn0dD/cyT8Fyw4P5lP+WO61I91qdsPr
hLx+li2SgfWEXktlQfFmti40ZmuwYgqQ4i1O3dYQySsmE1zFb7aJiyiNh6nLFchsZBdWXVx3EKgf
wfmNzLBv2dqD8T4AADramXfcdMRVYoDRkHGsgjblgxFBYKUBuaawe6C5kBqRmpfbXBrb68L9pbTv
zNrZZdzladFPIqSNjnQy/f4TLKgNEDbt5X02+/qpQWAEFvQPWNO04d1bqwcRbwEQUYCWXmRL9ZNU
FLk8ZwMaq9DS2m+GJYul6byQa/VYKMB/xuAc+ELYIoLemkZpYVkRbHXgdxXB5yocql35K7g3XJCX
zXfZfei1PMLzddsBbAdKF0uox14amLHqQt2EXBSWPtUHNNZ7gZP+kp8xT2hXp+4X51gux+7K6ZzJ
Y46lJshpG0UFgGJldLK0LUH/qR37jSM6AwBz8PrjrOx1/8FiPmcSmWDW6IJUzwRoaL6H4HdCntrL
PaEHrh3Yp0AocJoAtiRsE8As/QGFxXu5Ew48qP0lbL3SGmOiwMO0sNJsD2Cdlo1ZKIszSg+q9Mfk
kZisK3kmgHEB6CwbsrCFL29HHV3eBQELrJ2I5mPeoT21Ky30u6CUX6ckmVSkoCMSjChyD9EmLBOQ
8GlE1gMwhVSnoRy21FSINNRPptYj1SfEvAfGdZi/7MnZ5zIOpKeArBbl5XbTt/r7QsJb6F70VG4e
S+Bomp+ZNw9OslN2oy3pzmhPztM/7oC5/ASLCdwUQR3rVMOKAcq2Et+F7sGMQfH0CqI1jgWubv6C
M7hkOfCYY+6DpNeqOGngv2bUuvK5vBtH0eccq1X3gbEjyQRHxgIRchn7jbmB5+nikYHTpAGo7q67
87S9AjiZny0Jn7UdOAjQI+nV3m3BPLnMey0JaqrELeRasbxVy/mAKrUdFpMb8aC21lfxr4aLnz67
Bfpk0uY2hCTTeo3jFzV2b2uynBD2iKLLBS0vaB5A0MrEJUZTRuEQVjDJUPMbJD2Ce7AbDrkv5eld
xmv3WNPmXBrjBjO9nKMmhbTJeu1CbyEsvq0OTwBjELoRa6O0CNDNJ1X6AnXo7d9fCx6/0cvx+kGj
jsGcYEmeFEXv68HujV+NBsZlv4k9TLNYISdKXY2/zySZzEEtRmD/GhSSYkXswZ0XIeNMk2MWfoUB
9UJZQXNp2jp5b70OcQ64orx9EXtMM2hmcRekDcfirzt24TiA4AJGmoXrE23dl4Y4hWql9Dm+h/4B
FInltGgqaoCHeocmJSREWpHzil07YkCExDwhIL/RQcO4DzVWVDOqmsEOAwBNGIdSyTBd4xaNc3tH
2QMggaVMVmCUYEsFwj5LkK6V6aRUcWWSrPoVW7g9zC9MVADS5Q6pWIOH3M7az7c09Jaiu97AJCEb
1IGUTclFtTWJYM4bRQkeikYlUtcfVWBgKTMvimMXcREHPp1lnhDNM/jX5aZhFLRGqtsySdRIqH66
mjJ4aAWTgn8KMQd64AXXCtgn4F8R0dd9KajP26AAt60AgsuPuMC0VWR44A96vr1X16sHKcvzyUSX
jiF9R3VnzhB4Fko8xlEIfi/psy1zPyin51HAjDeOZI4JItO/LZCNghe1AOyzDLaKICJmYR3mLp96
QaKhbRTPedliDNPAzcxbvKtHG9rf0HQIKGWMJqEqwQ7opvJYZ4WAYH7/lpGFjuSR+J+vtms/cA7V
lVdZGu3QdL+A9cHUIOtynyJgSAdabgGgz6+do+f5/qHBlIvtcNzX98qc3yusIMbyBkUe6RQHEbIy
gB4DQ0KNvwnCe6TSHQVKLn+RhiP7tzfnaLnHk0e246K4f/+pkoMKLh/NLV3N/ST3KmAEVYTMr777
ZG8evr72vMr29UG5XBfmmpXNiIZ1iHURjD6xY3AO+Dlqs64c0kdDGyROFerakBdxYI0AEQYYGRUm
bh0lDZGrhNVJunFn1rknVsbOHCoQtLXekP3TjCA2Q7MwXoeHFtLryjf+7Nm5KTs5BzNMFCNM7oDX
KWIIYRr2pSxwkhzL7Xe96X/VYrxAGghGi4JQZCMcIkrw1s2ZS5thA3jbjQLgAF0DT7Qe8Uaork4p
5hHAG4/mX3BDK2gWuDTqOVQbxRwr9McWs613uAKpTkweDsKaFAvbpstAazFMFkZKXsAKh3ZEu1Nz
0GpUQ0HGJsScc7Mci4sVxJAiCLtlxLNwBwrLLVhRIH8o+YB6WtdtNEEgcIWcEGZFD6iAa3Xx1niM
MC6gm8NOSWvoMQf9SxSJXqNLd2JqcFzNlRjsCK4EXN2Y7YSjYQJLNdCaSqrBoJ6YlGhK7XTigf5T
zkwY9oUQNp4s62lKK5DsjjHWTEJ/aNektoo5Bwyf+WnwJxrrp9tXwlWHOGSaBl40CzPuwtTKrB/S
awOdujG2NTl+iAbZU8EmMdbipySFDyPtUYoUXyUJb9GwcmKVR6565TqQ4V5YUGAlgBm5MsOuQyt2
H2FmbxD7irSD8WnlhvZRKZ0ENFxU7dMqn37c1vlqLxeZ4F5E2RysFrD9ywM2DmrXJnoR23UiAxxU
K+gGoO6xGw441LdFyWySDYxOSxgGaUCRQKPH8i1nvipKkDvtGwmcPaE3SyGJctHN55cg7TcNfenS
0UnCQ28I+yhdlhoMGM/T6OtZ4pVURMXyrg5+G8ZWG7acD1s5miDOxbwaKvcaPpJZhLmeBlqpoC6d
c8lceG4SRFFW3igFCSU9O9KpiHVb12sKKBFB79pNUcjafZTKgisiURlsstgMo12Nm2EiiP0UR6OV
/DCg1b936n4qRU8SRmFvinGu2hJNWwG84QOwyaqsUt46I7ZCL1GrpHNuq3Zt0nCgS2CPiSvr+0Bd
rnmtAVFmytF4n9QbJKodCSMOAB/P7X72DIzhVl1JLKCQ84B6VuwKcr+nLTD3ACqlS7lzFX1P5MBx
4wgpFO8pFLVDg0csfwUyD5ta7gYFKK9gmUM4fClHb0ZLyzDta/cAqQnLCA2bD5b5Q61dOrv10pEb
u1WwQ2oe1K1Cao/mUy3aUf9Rlnu1cE3VHTuQMXOWfcWgEJcv7C04VECeYAxKp32FRExJbQp0DdVC
6okHBvv9nGCukwsRyyecHaZurMDu1EBE+ZmotprbaLXsd9Pb8Gv8mXLQS1Yc01K6h/3IIA/AvXQp
C0m0sUoLyDIx6zh1h6E5tbIKqBSnoRxRa3bzjccCrE+4A415hYfAiA1jCxf+HJabNpidkGpbs+Dx
r10Fhfh5xEyqheeagjuZiSvSQO5HQQSqQzlnyqGq/oe07+qRmweW/UUElCm+UtKEzTn4RVjv2kpU
zvr1p7T33s8zHJ0R7PtgwIDhaZFsNpvN6ip7coveLxxl6pSdGgVrJK2L9iAzi1MTaronh39STZ1a
WyWEtEJxoTXvQaRtAuSGxt9PHygxwFoKUgwcJHK+FEH3WYP4DcY1ljc4sT4bv9wGxH46H1aWhoNE
Bnkug3oe2JePHQJxcAqROseOiH+o5lfXbSz9qwjf/sUKlAAN5AL6CddXFClq2EZa7ATKvpm+Jjhf
MNxF3dd5Mwsuh/rHTBip446LpOZ4MLFokNz6LHJiZNJbEpnpRVoaUI1lUZyvoOKW4pUOUUNUA+Dc
p2cgan4l4EAJFKXDXnkZUso6gOpj9X4YlQyvPaTMIGZCNOVnjRepTdaM7bOIgukq7WOF3lWDKFLE
btyUtyjKKyWnSu1/1X41PE1hID4prc0dtbMaXbSdTd+NOFc//n6+oMEHlmsN3TRUbtQrW5xTveID
j2SMrh+i95HlO+Yz97yZJR87NCOdIJnmJ2iWhxkR5ptx2AWN4qDB0538l38wBHpX01JR0z6RKmVG
iSYRA/l+m1IFILbBMF5VlPMfULTRPycrRGJw3uKCx+GBH7UUxB/bMuX7RqGk6mgXkXColewJG1xj
ijd+E23Pmzmpf+HGAU20OXJjeIh4x46tV+h3bJpQOL5R6RwMM8hrtYuRzRQUDXPBzOK27e9/sUkV
HZp+uI7K537jV/4YUNhk0ehFHdx2X6j3VY5LY3qXKCsp5cLBZIEzH1F1vgajyfB4hDGc3cr1RDi6
bV0qSBLTjrpW+ztqSg4i7M35sS0tGyoryM7R5gxddMkjS9/uU81MBRTh7QsFXXKqbXpavRIiFvze
mm8fYHhC5eiE46k1+4QwkglHya3tXESIU8C0UhSJs37ltFiYvlmB3AIcDz1xJw5Ss1hHQBlivOEk
nZcpHblGEPk5ZHWDnlQFjCVBX67URxaGB6F3DWUxdBrhFU+aROLboLYxbKj09fpVjHJ+qkCTx053
fp+u1CzWTElpiz3pMUoHKPwm+Uthh0AwZY6Vv4V/y5CHHPRoSNI+ixSlMfUMdnIIC6Hb16NNtGun
Nc3OBfebm05Q4UOtAvdDKWdRIKxjVKo/zxyky9Tqxs8LdLyuPYDNiaOUWAImyYBlsWcsM5XM6B3E
5uK2Bnoufu2tChf8x7/eRgAezMq3eG+YUQjHm7bwiyS08jZxrLDHTk03eEfmsf/X9fj55oPYN6O2
ZrkEydEUs7ZDYgWot4j8agLCOaqVizb7MuuER9H4DyH9cNfOvniQjkcGIEfMwq7VK/YEhU1d8MKc
RrcCZGyFEGRhgRAgEB7Au4+Ljwyljbo8wpfAlFmSPTombkd1DWKwZkIazWiGXVD4MFGh/+hhCqoY
ZcUgeDjvCAv782ggkqeFkLdVJwYrdg9ZQ8QeAy8YDzpZuysthDnYwWM1FFDwEHQiMlFRZcrGQkB0
0njsOso7BmS7FnrlmFzrxF6r4yyduwf2ZHmJ0dZDEfg5zsCiHnhdhbmTdwFFl3357vv2JogCyBAm
m/OzuWgVBCdz4RkXG/nO2YvArIOohP5VLi7wLlSIX5o68MK4S3XVae0Vc0sX0Bnv8J+92YcOPF7r
M1qTEvaCTgMOY4TSpslVQ3GC8bE3b8Fly83RY2t6OSevlYi2R3al8GGoBZQgQthV/WmrhxujvB/1
p97YNhjtmG/zenSmKNu09d5aKzcsetLBmKV9YfkkbYMUtvGqBM+x5rYJcjcKNKOaPZ/MdKU/aSHk
H41V2iHGwHDw5/NYtatATXlZhxsL1AbnPWdxHx6Mavasg5Wcijhoodwm8HTPvMFsfvR1y+GxMS/W
9W0XjaHCqoAjZj5hpCGJRgQdSOAE2qsIdNnaihcl/czmWl/kP8W7vOUgVcoATdWVvWJuw/jDtyyn
C966fCX+LLjSLL2OFwYUWyneGKRrrGLngIT6PVQdKqY/ZJOqzK8n5uUw84AXDCp5bQ5BucTXcIpk
KRSMW7/lcRv3Xq1H9r8sNnjm57dqVcUF8XgZOk1taFs0qFFF9a/UhsxbC+ihsIOVrG9xBQ7sSE6s
2yVeIBhWgGgqdB81hzQaMsAf0T89eWAnoBiBGgsEtqXEKCiR6RVDi+1CRsb1nKHtgeX/cPLO1RwG
SBzuUnLRHlWeIVXCXjjtgDeVoLgyhX/VNvbL328SXGnYrHiKxfkGgB1sElp0JMRrPrwhtrInSxnF
vvKD9ipEG9iLmSav580tFW6BAQe7JFwBohayb4ZdlBZVNApHkMTtmj3KIHn3buEyN160RPCSXove
rf3Nebuzy0vZ3yyjPd+qsGZADx07Yd5nVtcGCs5KEl3ZTWFskxodbEpu1nc2lO/Fy9DmFaf5x3m7
J62KIBIE+gRFag0lBdzoJMMlm8Ym0ltwKdUQL2JTQ69IOLyRWte8BJV2NMzYr6DGm16bvhjdZkb9
1Un0EOj6j14NXnS7Sm6INU7bpFNAYRzgHeH8J54mRfg+zIyB9zVoQci1NUGUmoA/Dc/X+lNTvPZr
elGnB/jx70thGCrBoZGGKuqq6hZcLyBxHMS9SLem7RbBGsT69GQ5NiaFPiPOjKlAOYzPUiVByIUe
bMDis8KGshRhoVw9i1cDGI/GSGlVwdDbzRggg0Pkjxv0xUx+6PozQYtBaV4l2nPZX9ZQRPavtWQV
erGwXnONF+xDuGvO5dBjV85ol4tSRxevpr6j50/42DSdR43f1HQAmKkAQDLN3mP9s5+A/Jtdr74r
G6e7ad5HgJngdR6Pa7LLECu37KGDU9Ox8NTCTfySl9FFY3ihFjkFuW3RRNPF2MaWM5Sqk+WbQfNA
7UMmtzfutMKpw12JDHz0eaIBCxtvO/qUDY995epK6CgkAWI93MycI6Pvo4vj0ah2IAziAxo70LBo
ZIGbkOum+JEav+rqkdm3BtvGo7INgHxBgVGkjy29yLK1S95Ceng8dMmbo4j6UyYw9DJI3NASfMAV
DHDl0LgdWldvC3eMH8x2DRa1sImOZlxa9HgYCBE9zHbjpgXAHtgU4xE1ODhbcIUS20rqtLLAMvnL
1PeJXQcwl48zUQp0GtBzPAy86RwNCsvW+KXYhXs+Di1s3cMhys/vUdF0Fsk6k5tARgfFxDWSgtk8
WBnaCQIbERl2KC5MuEJbgLIc7x9/HH0raWFnnCCzyVJe+Y+Z+MXMC7W9p5TwhLlT4hbja18lrqVu
NP0LZYvvXgIt7TnBw1ehX/fDtoZ4BYFc2/l5OMFcyx8o3UD8NAD5jorJnzuFG/sinuDzRgpz2PMU
0JRfYkQXh9A8GtxN0Y+8uEwyqJ4pmZsNzBmjjCvsvtVrrpS3Njp4K3qj1dbayba4XgdZphQDUYeE
6nKNeQwmzSXUYclzFO5LALWAR4pZ4Br0wcYTLCrprHzFe2w7fBm5vTJba18h7UdI9Qw08fEVSkO5
4X+VgA1mbbqSjJ3i3WansWZaYLReGKhfHjtNp7CpyNTB5KK8T7UN1I90A/Qa6OGhzG3ZG83fFUw4
bsb482EOUO1k730F/MjTinfMlo4zmeMvkQacozCs6zW+pO4mHpe7FnDMLCkvbe2C+Uh6K/Cezznw
rVI/KMommG6G8dkgvhvEuxYPkHE8cq29qPB+XdteaqIhMtI5ePx4Kt6oBdWGvNie/+aFpG/+ZgM6
rdaMQf4+Tg+STJKInrJ+NAHqfPO1LaXvRA95VRvbAbgBv5scaCBVlLfqmrTAontgySDhg4e9E6BV
YHdW3kWTyduZ+LVt6txNSfdlNHgzPz/I0+vHPMY/lqR1CWzfh7wYLOHFDxeDFOTmm8Yc9la71oK0
Zkk6C7QUi+YnsASdGdfHUTlleIYQd8Yad/SJyvt3JPozJvkYMLLSpmOIsBOVvmtDLlvDX8VF0U5u
Gt23JPagIAgsiTORG1XZavoFGA0MhjTkRbA3vXihNujo2h/9eI2yO6/a24ylTlx6ufaCVHNk9+fX
4KR1+fuD5wqiDZQGupjnqTtwNEsXPl4K8cEW8W+GsHFpRe8DleJaPuibRDM2gzKhkkPdlLEfif9Z
VQTYXD/aTqwDNn5VZHquxp7s1oMPkuLGFBrlAAjtrNQ3bfIRJAFKw0N2VYeaw0iBis5lrdz1DUgX
or8/TwEhQUfVXAVQwbR0PBeplpI+ShEosiZEvYpc+53wGlGsPHwsbW7YobOYHCCAJxBnUieWSSki
8GASUPoHIXgfxrCAmGQDzKxfkw3+r7/1/fmFqcKRliYjHoehUfMvA54BT6jBIEzLOCy/1GuW4SWa
R028B03xJpoyL2/WQDCniGTk/Chm/GdHSiCE7o9xmMJOXNUfQ6C7OVNf9MZytSF3WG4++kG/t5Xk
iqENIjXCe6tXbyPD2JjdX5O/wuGPvkXKFdqEgaXMxCK3c7HD3HbVXrGu84mC8ORWB4ZZSS+oedWm
Kztt/l3Jr01Tm2cB4QFYIMmvBZ46VDSumDwB8bkagAN25TVg2a0OLEjxVO2MMVIyzHLKbgL6Ouj7
OkWD8Ks+3KPJB+g1Q7sCTexKADnF8mE+D6xKmwZv80Fo2BiXSZ/V6dUn/lYoFyS7q6LfogGKAtiW
v382h0104KOdCeIXeII93qhmg1urNWKkhoV94Ru7FGLbecZWLq3zhJ0s2YEZaUIrpQpBQwUzQ5A6
Rb8NEw9cb/rwkOsW0E8rVYVvcOE5c9JMIsvWGlLglEryOzXdkPgaoPEo+CVC9OXr0I3Ayejk2Re0
pXjar2QcC8f+wZRSmexBxKlQG4Gwq9eh1zPlttPz607YK7tgzcwc/Q+Om0kkqHEJjLEwH+rmNoYu
kL9SzF3caP+tGjpjjk3kkRIq7YBVSybCFbDydWt862uDkMJZkjeKCXQDQkgYbvUBl8shuGB57Z3f
WrMXy/4AVBqwdgrgGKiUHw8kKAcCUSMsSV3p0BqMQbJxrZYNgI2XxFrDwX1XICRryAFmpAGKJOiV
mgd9sDKBYRdmHWNlSvWiG3+bobbLml2ZD44FQseQ3SoTmBXRcVtRwQndKrTe2sMja3et+cWMG0X/
yukX0V1Du2NN5tZ57hr9JaEfNuTcEgivnJ+dpXB39MFS5pKDNVAUsyvFiVbfajFISiG+9alDsJvj
HxKAs9PoJQji7DIcp8ghvXJrh+0aefHStkUMQt4w346BQZWWiba56huhavJmKFIvtFnpanqlXKl+
HvLODBgXWQ8iDxY/hiKFvlo/oWMmMjUc9QCyqXRtAyxVXAArYxDfsGZwyvfMHSwlwaJVtEHj8yTe
mVC4mb1Ba4HT8tmy9+VQO5Q+EoP8vbserYc0Dyix4X6bYz3CEiUQzQKZU1y23T5J8WgMSEnBgyZe
6+ybY+I5r5VCdAAxzqgBuThPwWuFElqfjbyKMg/4MAjKGVzRn22a/ZPrIVf+ruZpJx2iBho3M2vA
zoTiOK8vYmEjyADR6dpQRbzNxuq3YaUPlbWmhLNURYWv/WdYbhgNOl0IzPJ8qX5q+3dV+x0wxS3s
p7zaNyCPJ9N9QS/LduCtuXIYLgS9IzeXZjrU2hoFTJi2zNRJu/cerTGr0ucLqEj7yIp0BgKZX3b+
CCsxjtgugabr+JKPE05bV7c/KpurYcZRI6V5A5+CEnPoTlmMottjETduEqHd+E1jqJQKPk1v/xJx
vgEEaNoFNlk6vOosg8rXiJ2et8/DeCn0vS42HdpehmkXjMBeXqYGOKz3580uld8wJzOO4P+YlQ60
ZEKfC8twkewZiomJlyCuQHcCslwEFQHXVm0n9z+6eAtmTp4LvAZRB+hRPgZbQR5SzdWo4wsnRhmy
sS/rte+bF/5kC6LlDKkYxNeAOD4+OPJYp2VIMCuWAWKDMeJJA1Xm9s6n+zp5H6eH89NxwpmCBH4G
zf5nT3JEkgcij2pMRxwNO9Rw1Aj8duqmKPaCXETFc2c/muZ10+/CoUXp8XqEnFkc/IoHN1LvrWJN
rWJ5Tx58j+Sy1mSlagfFaJQ737J22ldi2qgIeW30rBEnaV9GQ0Mx5akEtduwEnP/l1D/32TICBMD
oOxB1WGcIAMuzCvhFxvLv/bx8JXi+lR8sfAzppvzSyCHApC4oLcZmEYcL4BWya0WOdj1u1APa7Bf
zZuxdEz9tUnWGkdkv5KtSOe7qDJDSQZYUeLPWvXq1i3DTzPxxqTk8RpH70k2IVuTvBiSW1VKEzSF
kw4cndQxmzuFulHXum3thrnbmsWGNi9RsFa8XptMyZ21tlSICVCn07RbLb4cxK8hXENxrU2l5KJQ
os/VtIQNpvF+euvTfTptbdxlKqptJmulvjH/2mFAkKbyu/vrIP2A9HfUdvPCpbZHQO3Yukr2RcDu
OWngQGaXA9me98eTU0O2KAXmwgaRCyh0a9BSQdBJu0iBubtqLpkneHRdb0BUqjsP4+ZZbLuLnuMR
buUSLF85ZPtShDbZ5IfAMsJ5ksYLKFhXs5UtN7vf6ZyaeCGFwDNwXdKVo2vJzAMU146dv7RgiGSX
TfkSCo/qK0NZMzQP9XDxBmSPqQ9Dxbgpw69Jucjw5tO7rfX34oFzFPkzpHljHFiyOiCaBgOWlPwz
77kFifGSQvphJW9ZXht7bu3BrUaRUaxjDMlnYSW1E+OdIwXEz14TyVjeXX8sSDt4VEJtsq2ZT0KN
+Qg5pD7KHZ8aV11OOMB4bt3TlVrPN5bl1B/+2JR2tG2GIYP6VO1EWfmaQN4cbxFZiScUke7A92Lo
qGYBos6jOBnfo9ZInaROy0tLUAKaxIjoP7V2qj/bISfQWLKHK6Ufih8GegQeOhIb13i1RZXBZl20
S6e6ceMCMmklwDS/BTo+XtpRGX8amh46RTkY7pggQ3HGhqDh3woCdGhQf5MCC51zu2DJNe0gZ4RK
SrCPFGt4iZvmum7mG9CYG4NbMj367Oyx2NsJA80krY1fEFJGZ0yfpKVjEdOL9eFRKWi6TUrzUR8I
2xnou/QqEt3lLFpLsxf3APpasM/QoQN4+rFnkkyjFdrpaydQ36G7O5KIU50bydW/aNZiExyYmj/l
cBNUPbMJSRGZY21vEVy07V3B3gkorlR6mYQgFDY8Ya28vCxFaKAw5rZt0FQrMldA2fYxyQzsiXHA
Y24tNmgMhcJHu6/MbBvi2WsET3bdKK/n4/TSvNpIE8GpA7oNQ25DyYC4bUdb1I5fY7PT+86MwedZ
1D9jYC4UdY3vYelkPTQnhTI/pCZRBphLlPte1F5tP8fN38IM5tB/aESKYrSy2ZR3MBLkv9C2FQGi
Je7LSuUiv9R8ayU6nySb3+ZwBFD0KKHVVabsg9JGDyB2UUO1GVAd/wMyG0XFXB2okP6pxf5DwwbD
HZiNDffVn+fXb3FCbWiSwjqYBWQUnyBGEdt5g/qB9gVUvxMBglWuRLalYArWkv9sSItWpqARSIYK
iwbi02ja9oHm0hgZxLvWfhlrbNTLI0L3ItCCgIPL7Yu2nuSB2WOnZ7rOlZB6xs/BzFfyoaUTCHqI
/8+IfGlPekMxSJIjXc7rlzAzN1nFvH9ZmT8mpAQIlFskawnGURcRSlCElyOEvdf6I/+XJPm/U0ce
CaSyaGXVOHWywCPF1hgm6Gq3SP/fSoUzcjXlzxRI725tky0t03yA/98z3JaGl42hqrU5UoXMn7gK
dCd4D51kjd10zYqUxREqsilPEBXL0TNN0ER3m9D/dX6hlqcQ2kozfhB7RMb2BiUzkmyEkTZ+DKat
0j9P5jbB1dwPtmm0IfXPKnzGjfa82aVdhQay/6xKJ5pBtLwGHcgceT+i8iVSY9foLkm315PHxExX
rC1O5IE16VATIGgzdB3WCHmP9E8DBBJQiTo/otWJlLOuIY8Dn8FIXNz77a3GbgYFeIX8YgzdOkB1
aJZzdZOCrJydS4fY4Yk9D/7gxC5CcHNMDU5sWvnbCQqOaRTetH1wU9Hxg0It7/w4l8yhlIuWFRMh
V5cDPtMbFkV4NnU69aVJHM0Cc9EUuyjWcwpdifPGltzk0JjkJnqjT1qewBjrHn3rTgVirTd/2iJ3
TbqHnsF5a0tugiQLfSNIBRDzpV3ttxl0ttW2dnSt2Aa04vFgelmycmjN3yxnyodWpF0dK7EJyDIO
rZzd+EmDe8Y20e5isWJmKaU6NCNd0Np+mEZjghmoYOxEY2zrruWVboOxBNUflKCz4VZRm5UFW5tC
6bRkiR8wcPnDqvbO2t9ac6Gxp/OrtDZ/kr9HlOk1GhIQsJpB8JGNoE21tXfAkC5r9eG8rcXhUIDc
51onENRS4MioSJvO6GqnhyeAq+2iN8z3Cg34580sDomBjGM+8tFYK5kpmjwegeCvHRNXNxCBsLu2
MH7rQb5Nh2F73tbC/sUrAaiYcMjrOvgHj8NFFUdGCXG0yjHt3a1WFU7f3ejR2iPUvM6Skx9ZkTZu
Nho5XqDqyhHVrpgaXq2lZQvuDQMo74Iij4ImSHLv0RqjMfFhwExqN40pn1Rjk7dPUwUcoU8+wzrl
te2vNKgsxCM0AkBiDc1laFuXS8vMDy09qJrKgaLDJlN8PljGPQW3S5xdNVeFGd+fX6wFxziyJ58p
AURsfQJ7pNvoLY/rfCegRrPKbXICiEEaf2RIur5noWWJOoQhtdwXxt7UnMZCf4WXsBegcDQU70Wy
G+KtObW8aW1cAqeVPbCw1Q6/QC4c42Jk9oWGLxjHawG4sgaNoGx3fjpPqtPSMGUOgDRocTua1y8h
o+cPqWPEjEcDJIEAakto7LWIJqHaP+a48qwM8H8xzqDwCvoTcPBIeyKZ6DT2Wls5OpJG0FmBjnMj
otfMeKxJzvE6gbdwHpMVs4sbhf2xKsUWaI9rvUK7yqHtRoWcjAY+onqjgHsl50WabED4cX6Slxfy
j0HJZ3tfz1IyYZhVfV3at9D2KYeVC8ziVIKHQJ1pK9EJLmN5R4P6RVD0cFclam4gRDi4Sjn6nq/q
qTuwrOC6pUHpPdRibhoTXu6MXP+HcQLZAngeuEHRoygF0tRqRpL0aMcLcL31A83RpptwrfloKVof
GpF8hgh0Jk0dpKSyMnCG5A2Kn4rvMur01cq5cNLmNO+NQ1OSozQKqypfYDzW4AVo+ijuI/M1LB6H
ZssGPGQXnkiuQ/FTV7ZTu0NX26SjWx1vee/n/Wcp5h1+h+Q/TYRuLFHhO0gKXKf+kimji9waSlTD
ytZY8lS0AOGqbYIv5kQULcGzkRmWGkasQwwNVC54HivyzfnhqIvjObAipUQhK0JhCFiJzdRVa3cY
f9rKRadchuXWNy87mm587QpiaCp1hvbdTH770090057/jHnW5AP5cKySt4LnTekbUDM4euTREcuZ
O20JiEgIZcEKdcvmX3YHgAEgloROs25LB4plU18QCnvTxApX1Cbed6j2YULHd2UV9aVcA7Dtb31G
vIHL3VQiLsOkCDHBwJe4pTe4ACjxERywyQ0eWvcTL73eiy7amIvfaEHaRFfx66/CS2+1m8hVtzjM
XoUTXim7v22H+d5Rfz5Mxl5bVQ/gQ48PK+3HxIdI0LSHKNv5dV0KEJoy0wcAMovbmLSuk96PQmR6
5aTVS6kgRsS7ZryAqJqqrT0sL83zoanZ0Q8umtHI1GHSMZym9hS8WyTa2rPgmgUpBKVlI/pkgoU8
hViEWvJk7TVp8eQ4HIQUXdCFlUZGBxNRvDery9Dw+vQjVHax4bXkwq+v1GHlvWcpymgQZwL19syp
JJ9VbZWlY6zOXmBsFNsroyu2ZuL7BVPe3RpYaBX08iEllrFygHvh5gDKHAcYs4t6U28Zc+vPaPs6
uu2m4KnrOz5UKHhKIfmQQ+3kvBMuhbhD85JnkDw10c80T2pROQriNDJjalxE07/YQa5vKxBfgI6m
lPTbVq/EdYRhjsNtZLlG/NPKb03t8fxoFhfswIoUsBWN9DNTHgJ2rKALYWcFaHZca8w4QenNwUFH
ZzgAKmCHwt+Pd1OviXZuA0Vpw05viLKt0Jtnv/jBSztx3cwvE3aXwr5hb5jw2NpOWzKvoZV5puPG
FUqTax1itIJQzcfa0YbbGjiZgd7T8NUcPrXsiUAzbnIhVw0Oyla/1fKViL2wzefyERCBwImAbE7a
5jXF/RPM8TWg7eTLLkowE0FC4PwiLtnQ0NpmolUcXG2GVMtpk65uRmahdloA6KeO5sakycrtbOFM
BQwWpXqkDnh9kFHfSq9Cjq4LG8cMbT5F3jRBZc/+3UZePVQ8WuM1WdhlR+ak0GWFY6pEE8yRHpxs
xAbNx8CrDjm9OezOz9730SQFFA30bCBSBI2PhdLHsXeGttFVPhNQrbvIObp4IcqYcyjZJG57kW/R
HQgVGe+n7ZbcfOickFMHje3uZ+omV1CF4PR9jftpaa4PPkg+SwkTRj8Z+CCAfrXo10hDFyE7hMhO
F1wX1bhy0V+6EGMCoNUE0n+QXshPS11g5gaF1oWjqpxxgiYQkO86n/VbuGMJf++h/EVBybGSNenz
rj+d9z9mpdijVR3KkzXMvqTeoHCocbZbdKRwf2/cRVfTjm26SzQsc+axHyjRp/yD7T/qnR9wnQeb
+udNPrnNZnR877xDLGWxmA+KDiFcXXXAso8dAnpHCt4q8WH+M9kU0CVtPtuS265/FXgqmFIgjIoc
ZL9GALO0jQ/Nasdm/UAQddJhNqghk6R33H49P7CTVl0s79HApDisK73ZlRQWhs/O1XeGF93kN/Fb
/Rw5/qOJGjAPHo23Aukk4AjuRegl/Pf/5ydIi54WiRmIIIVmlFPz1mt+qleGmz/fpdef78W1ue1f
fYiHfhDX5qY7XtorTreEVjqaAimHZFoQ4G0VU0B218Nt+hvwzZ1p7ez951u+BXDPzzj5gV71R7al
9yP/Oj/8pYvnkXkpexgq4IiMCMM3b29tx9p2P1UXQo88uP9UncJpPN2BbvNac8vCKa+hqU6F/gVE
ClDTO/YslhRRkU5J47S+Vxcb8KqjOg6GGwt80I7SXJPgAk+HSuzYUAb+EYXesPYQsHgGz+w+1tw3
BLIJad7HghYW7THvU4PLtd7wBKwXCMqOUW51fZ+zW7vmQQuUUHYz2TfF2v136UABjYuB8Zs6VeQz
kgzalBst7INYyI7RXbzPICnUdy/nF3jNjLSH+1lsp1awvj6IW6Yyv9JU65NU4YPa+Cu59knTyPdu
BjIZ/GxoUDFkib0wCxvVnH2J3fpO44Zb/972oA35ZD+pW33XXQ4P5Dr7/Wh+IevY4CjZ1O7IBwgs
r+2q5Yh58CnSsKu4pn1AMLvJiG3b4Q6Mq2m8SR00zgygf3A03m2VzXRB9+fne+mOM+c8YBhRwdiP
4sWxaw+jqoCsJcYkNCAco8MW5DDQXcfSDumEjvfxFgXWj6bRQRG6JnK4FLBRGocgD7YWqN6k3E6Q
Si9BXgc15wCg31/dWi/J0ra1ICcy890ouExJv6+MJuuD+YDUwnEcwKue02AzqIFAL3walN75qZx/
TTqOAe5GfofStIqSrzST4AoLM6rgTTetBW8IeyyhvBmZgtvRDwhIryQdc8g5Z00KhJWvVqAYn7FX
WeBk4jqtHN+nbm49JH3Nk/ra0FdcZdkiCi9Ays+P8dL4gNkxsqRGwKOR8OoK90TjNYYoVJvqj337
W/iB0yVrj2pLudWspoTcEo+twHtJR25sxF1jmQCHqFA2N0FsEXBNyziY8ZV+rwlQzEBOg+DR/MNs
c14l+1JfyW8X1lU79CIplY6Dsh7LAV4kmmafVdamqXVvtDu0QRl8DN/Pe9HinoDLAu0JWtETUcKa
qkHf9nmDoyQCNLG+GhSxcjNemlMNDdOzSAxqjaiMH+/5IM5HRdGLxsnzkYOIk4MhGvIJtpf4+WWX
ZRd+H6D5INrRCiQANfo2VYEisu5o5lpjjrYU8IFtpXjPBM/yyduc1qWB3rXQwMyI7RVDg1YzdKKM
Yjv4w04V2ibLxIb2j2oO/UxF34p23Geayku74JUZX6Eb0AlJvm9Bk9P6P+LsI8FjpdmCUzYR12Nk
g8GlEXg4pyuZ0GLkRL8h7j26CWJquY6SGFpIAgVfrpZvtL9SGdea98LetuGdWfAhu7TQ+3/eOZYQ
dDMR1H82pV1v+WalKDVsBjP9K1AHmU6coPdSnWyU/HZg16oQ6F8BOnHT/kNZ+Mi45DYh5AaGeITx
tifPTY1OcPupVhsvFikfQAlljD9Xhru09Q6HK2+9zDbroZmHWwBriRpfmL0nKEhbhmsFFu9LV692
ChgedQNlF2jWKtuIIBr+6sdLyn6tfM0caqSQezT+OUAe1DTxLiYCZcDXUHQCsuHqGzFsggbAm/zE
o/5dmb0pIDHKktdS/CL244p9uVl9zlcoirfgJDcMPMZLodBM1KpEJxvmX3uqkOUa4QuqL5q2Ny30
tW5YAqzh2tv80lX60KZ03TAiVS0Go0PsFY9htwGd40gszvRNNxQ8D1Yi00LwOwr2krVw7HUSMBxq
Os3fshpdUazRqpW8b8GpjoxI5xh06UkAgkCgz7tgHwSRY5n3Fcjx8ZK0aYx/AK/BGp79ZkGe2X0k
p4kbmg4TTk0WKR7VJseOXtUoempyezPGSBDUYn/eT+bvl9z00KI5u9GBmyJtU+OunRGbwPMWmtj5
UFFIxD9U+GEGqCEDWQ/adKVoQEDF3ucxwLwEVzKIEU8/FOXj/EgWnO/IhLT9fU0vem3GnipxtkNh
lFvDZoYdgA1ugFacRt7O21v0DND4QUPDwkuxXMfRhwgAsrzEkDLeEX1T+7dVtLXBhp2N7nlTS2cw
2P7/2JJcvcvYCOo+2KJTrtyNTXHNIuu+ndi26ICO1jXyqBlRzVVUlPlQi/HOR73HA03eRSvS+Lax
0/R55ZsWAtzRN0k7g3VF37EI3+Sn8Yue1z9SpbgRIvn0+5cUD4CJ77s9KDLMJOaTgc5VP/jUrGAt
5iykBIyhHIvbLrgWQQN97MBFoAMmXgJaBwbJvvxoG5clrynI11aGO289eaMc2pHLVCYrfaWGplHj
gh4q8KKd77Z4zOYGN7cf5Hp069vJS93gkVxZ3nnjS5v0f0i7suW2kWT7RYjAvrxiIymSsnbJekFY
toV9R6EAfP09pbljk0VcVnRf2ePuaEdMorasrMyT55za5h58owPdZKtmttV8YxQZVKycXQm69etm
1qbydJdx8UJdGySzGeK+r25HRnnXgypzerHI9t/YgegYWFdB6c53eC19VaPkBztp7NnyxorzXY0W
NiGg9Mur8GuGUsAfQ9yx0Y1xSjWCLTraP+WEbMx5QHY5sp7jpNpqxXfTsbeKPbnaPPhl/9qr4x0x
nNcGm1Wp8ttslv3UKQUed9VPnXwUd25qYCEmcHnDTzHGvoOO0AxCr6UFqDKafiaRSvva3jmdA25R
JUkiUqdissmMMsLgQ5ytBjTp36woVhNIRrSI8JVIKk9VN2VATraNl1hNGNWVawDHliuC63h98v4a
Yn9/cl3VmRmNc9ajZ6L6pRvLnQWmMTuETCCZf2qRSCRv/UD8tcZdxx1N+hSoXRwITUMSwJWdfiNB
hAJEBNfnb825gDT6v/PH38I1RHgMSLr1XpJ+71GAKGS/HEpvMF7bxLfsfD+JSHAu2NAQHyLKQIho
48GsQwbofCbzCCDQrz6KpZy2Uzu5CpAhVdq4hV7f5trkSWYT2sYvqOUY1W8Vnch4fLly5fgmKTfX
h7+2R0+/hVvVxVBbkFTi6u5pBtYVQDF82mqJr6dJvr1uam1JT01xS9oYdWFnOkzlNN4Vo+LGKdll
S+ktk+pdNyUYFd8cPJNmUid0I3iGIh3rFsUTTd2alqBUuBobnIzoKwd/ciSwa4raimAmkooNSfVX
qQZ43hgCKdbcAsxfuQJQIDU3k4Xy9pgFFgjue113Uyri21w7nXC2Kpi/DBNZZ+6OtGVKpNbANu5j
6hWgzDYHy+sd40CHj1QBg2+1iO6stSgM9C8AqdhISmp8tZki4OsSG95Um7VnpyOp29dZAaNV67ea
Cm2aWBEc1otRKsAGqtDOAn0Q4Bf8y2qUKaSNJRvaFvLOyGaPQqfAOGjKSzc+CHt6L5cXFQSmYwlY
sIw8DN9FwxS8xkWqE+8t/Ah3v+9+BrePsS+ixr6gmmCFCnRugeydSdRAi/XcHcRSo5FkKVPvxXAh
pO26B0hXu16wFVRHnIsDyCoibAaR/ETi0+HuZDVSi1qNm9Tzj1Dsfjv+5ycMj+HRhVn8xk/wv//D
v2zcnYvfkNP+379zg8ANKvdw8Pzt/f32837r7+9f7l9+vQhcxRcJ4ln4gOIsE39HmRAkKIjzz+cE
oCFDj2oCbVqv98IwTL2vn20iuD0vQTbMECDzALUh94x9dW5IpnWZlzMm39/7fuiHGHTgCrzR2gqD
4x7SD9BhNvG05Bx+pzll2aZtinrjfv+y94/v4eb1p+6+BoIlvuxXYsM5scQO0IlHkqtYiZwElvbH
I5YNwu/XHevqwrAahIpUoAZfww0lrR10yKUgutofff/tGP52N9gO3lZw0L+S8PwGOLXDDUQZyzrJ
a9g5vr9/PD09xe7iPkHVHUEkYArs1xNMB4fA2z5+Nt7j5yN12a/PGUXrhP1D4Oy/aoeXXwQ0nmOj
mwOUJ+dTC3CLUSVMTthnx2X3bYfpZXL33nbreYLhf/2fXTPGhY7UqgCdb5kxH7vfDR82OJmw5G99
gSmTuZcLUyjtILMKH4cs8/m45KmP58HpmakjOwHhjh175ggwPIzPZ7+v76L1uTyxyb2qYiefSN8O
sFkC44A/UIjHny8Ybe6l3u/N6+bucHc4BIJFvAy9cD5QG/0zWPayPjkfpB3VRM5hGB6wdsPwafPd
uxU5ldXzfmpFP7dixYoKMQ02PP8Ixk94z7sNduqzaJtcppm54XB70kyLjoHlYejND3cb91Zk4RK7
wiyYug5SKCiDQHv1fChaVldSDqkMtlJ7y30bQxL44ebuZxP8/HKV3padAcFbY/34n5jljn+uRSXS
YzDL9kfuvhHv7aUPKK6DGVmAPhh938KpcHFT6u6AXwX+9RUgGiALwCTimi564XA6fcHF5Fzkdrn5
4O4Lu0ogYaP/Z2nZNeofv/7AwWGHh92ouEbZYWV/4E/8HPDPr8OE44Qfnx3j6+fJZOfl4gz/nS7+
ESO1UUvks6/6+rbQ/8/tzb6CfQt+40ZgP6IvuMRrY14AwQUaHSKciGO4ealrEN7qHVQmmGFEFF8/
cJEP7itGf+vdMDfp34eioOYipgE/Kzgm0M7HCnEXIu9a1yfaaMPuSObOJSZ6jBz0iORGoBUiAbmv
TqKzaeaMcV55yCopS2wNl1/tfovd2AVHnTe6v/FvC/Bb7L8gcgswXhfD3hzuvIfdw2YXBBj+5+f9
L0zLLmQH6eV+v733719e9vdb4n7GPnV/idJmF+E54mM2KQgI0JcEdd7zk2vktKxAkYEHCXraACKe
kTENFkVDQr2dImJt0LqU7uKuKgROdmVJQBth4JULkB3qhZxTQm9bOy86zb1JATc50KJgt6qXN2M2
spu8AmmFYPPzex84G8TO2P3Q91J0/hHWkdrqxmUCTyDwTC0U2Z1AdZhYanDdziX2gxlC5RO04IaF
VihuXDFNZTR5wZCCdkTFRHVnAjFO4i5Q+tDCRHqLo+e+CqfqVbU20MqY1cdCCmxzI/gOdntwu/Ds
O/hdmE+OTCJ8h5lFrq1GYeGEVnkHvK/eoDkLyK6DBcepBG0FaB2Q6ZJAMpY532sfwO2sfkH/2azi
A3QlAf7Ejl1DhrqDAUn4Ss6DMo6CDrw514e9sp3PRs3dCJHWECOjMDpMSZA1Nx1IZYoklMatNH3/
F6aANoJIEPpPVL79oo8cokLuPgcTfA3i9E2jBkWHpqjRj0TYJrZnLqYSKQQTSuCWguc7/v4kHrHz
2tLjDnpvk/NtGaAn/LqIGLvXTUAgGa9YAGx49FQm62PVquDRTOYWGHt/Vj6L+O36jF0GIuxsQPv5
v0a4gC7pkmiB9mjuyT0UwiH4IfeBpMXkrRyBdDeR99nG+SI/VhNS6EXT0MPQgMk1mIiU7vIiNUQP
odVDcvJBXKCH+uvSpKD28xIwu8helyCfbvtGtLdAOpDcO+mudcKUIKVmHVPD6xTRBzADlytroZYI
NKCNB+b5yqpDri8WiiGsCO0NildKgabvTPlooF5ipG4t+Q76NymEmH7qxk6wHhdhytd6/LXOrYc0
67Mxt9jCtbxJhtvFilw1/bBnn9JXGR2qXdh3ghGv77O/JrkZd2jejlWHAWvRe5E/zM2x1D+vD2vV
B4Ar679zysXVdSsvSsNMQF1H7n6iyF3a38YFIlUipW/RYNjfn5xLvaxRZa4xf1o239bkXXLkUE3+
Mfkkt0qcJ3dy8Jd0I7MCWF8CVKy+obZngfrW6gLLEbhtFoJd25Gc266dKjcAS4GvWe4odXXn1jQP
U7VJIRQ23EAt5PpiXZaAuNFxHruFXmlGJNirwMzyFn32rrZdPoqPeFfvsgeggjb5EzbkhyGIhtfW
TkP7C2TgkNiHqPT52plaW3RR7eReg25X+iPOoLIh4gUX2PjCHJ3sD6LmSokaLMjA8wgSR7mronsW
shbXp3AtkjoZyVe258SKCp0aarawUhbak0q1ACVWeaQ5QPOCw7t2pSN+h2Qc0F1QtucOLxS19M5J
oFkD0aq4C0sIY8xvJCUuMfY02lwf1urknRjjjrFSGOY0KjBGIxqY8X2mQ7h6/LhuZHXuToywjziZ
uwgeEFEhjFi49tTxWJphgcy7HIlc7epoIJ7EOo7RtM6/fOyhipe5xxXeAN5T/5xG6s5G6RtK0LVq
YCePBeSAlBpPhMojnT9r35LpR0cEn7E63L9f8ZXnPBku4AZjKjX4iio7lPTHZNxoxWMkCY7WmhXW
ng85ShPcvF/ZghMrjoM73MwhNT0st3ruO/atNPm2SCVgbUYRXjOaZ+hSAZFzvnRmMyY9BTgXtYwJ
4tnfe+iP0kzQY3uZYoN7slFLgMoNSO4uXo4zVSChzqwoMvRxSNEWOtSaajBUqC00qeD/weMDPd4u
iHObHG17adA5QOf6OJlWj55ru7Db31RCrhSainXsqN6SJcS340L9LfeFkUHBLoa+Ym1Uchv2MwS8
At0uh+Ewjtokb4rSmBCZdHqj+7pWxaLK5tpioYEaUFwNqb0LnHMB9KVEUgj8torqV1FQKpATs10y
/1MwGJtIAzhVQN0URPrcvdI0itZKFiay7WI0pmbWZ9EYIqIN5hP4y8sGSQCEBpiEEA/5iYieSBDK
xaOn7vcpFETjKhH4wNX5giws5DPRhgo9NG7bjQlplyWFFi2wHv40vXfogTInA0wFrQhWtDYc1OvR
q8ngCGjUOLcVoe7QzqCaQB9B6dr1/VjcXXd/qwaQsVOAjlKB/uIGA05VQyoKDAbN+bicdtnw898Y
gCaPjLIjsOacASfOptjREzBGUOuXU8ieDR0bwdP+64LjVx1dweiwxtobkFs+n6a6U8u2y1BUnPpo
o6SBo+JFW/qS6WvGS5xRv5UOlc1YAQWW16fvr2H29yeObmxi8HMUeeFZbfUDjKKeHquCY7O23U7H
xl1QSl/YEJLG2MCqhc5kX5sCyTbC2RDctsxbXswhQxnopqXgocktFNrILRtV9sLrLCXykvbnxJpG
6Gs3ZnfOBFIQvSoOci6KwlaHB7E3dJrq2CN8VbNE+XGIRpidRzMB9Frz88z6KGpwf0i/rm/F9W2C
e4KRxaOOxxelZCSLK5Pp1o+N5pnRwaq/zeZtku5U7Xfdbg3jXlKfrHF73Sw7oxcTa+LiQDla1vF+
P98jelrPCAowQrNL7lQ0dFa/WoiP2vlGp+F1U6s3IthtvtgAdFAGnZtqE11FWzdcudQ6tzRVPYVq
hyHOg+tm1tYMif4/ZriIveh1Ug/oVIW4rza6GgXtIDifU0iWZaQQzJ7IFnfJ6zl4tMGCjzWrvtvF
vsqPRXNLRCLXl+B/djmh6gqEIkTUL0RU4jKdew23sYfHyG/SZ14rE9cqEqSKdbdMuru8Kvy6/Ug7
kSD0qgsxv8QLkJWEGtv5mtX6mFitiu3RDnje9UqHhl4h7FtkhHvnZ7JVYWfASErzFxrJTxZY6a9v
itVtjrsKLZUsvuSbhKXZcqZFwk0yS+R3G6e7hs7AEjtbm7633SjY6WsPEYCj/ljjBqTJeOQDrlx4
RFkQSMskQMrVjekPO5Feo9G5VYzX6+O7hHlgi6DPH8rD6PuHTDl3uAxLk8pUgsk6ae4p8EhKkz5b
oMAHSZFLIVhuVIo/VE3jRtqb5sy+SnSf2E1gdSIShfW5/vsp3AGMADYtihbXjmNQr5Vw9G6HNiBA
FBWiPtGVibagComkOW4GvJS57dl36tKWX9qPEwTf+01m+YkBjBRgtPa7JOogFFnjljUl9jAuZYVj
iPeyuTy38dsUq6jT4Mnk3JgiTrgV5wLKFEAtACEBfs/knEvfdMaiUoLr27A2yPsR6ZcxPNhL61/f
Oyt3q4UoDg8Ihry8aIrSJ3DDd+VYeDlUWbonk24N6abS0Q/Vux24ykgjKIyuzSPYyVSwFWJkuFfP
nYpdEigeR7jpiuVuar2kmvZqsCNZMA69oHFxZS+iXQAZcHR9OSqGeG5KlswulhvcOT2x9xPiCnci
kFY3AEWMcuvO1P+p3iIAXTCIZjdNQxMhAO7nBpe4nqJcgqvOqLohku0OKGlQnLPra7a2N07MfFV4
T0K7rlcbY2BmIjyLsv4IfG7UqOGkCjzZWlQCWn9AyKDahk6gr78/MdQ6BhmahXGqNR1UZdE2nLtD
pbb7udDvpalP7+101n5GrQl8YlXnYZKZJEG3kFm13vUxr12DKMs6KAdiLRmu6nxupcRWy8FGd+CS
HRo0oBsUDeoRi91dTQslGQ4N9RSn/XHd7up2PTHLrq+TKYAOXjmNiYr4fZLu2xoHMTFf6sTeSM5y
11oZlNSEUqFsKFxYdjZULq42oinS+korvEb9PTXBNG5UfRc7B8vZWfo3Z3gmZdii29fIdjQSPCHX
/MHpNHNOFU1ligU6SFzH03sqv1M1LBamr3xjyF7s9G4qSrKKJpjzq0sftWltwmA9S5B/em2X5xK8
IWqdebR8V5Lt9fVc9Qm2aQKwqEF5nUeDEDosdcyaTAcZjaf9drDQYGZ78hi7tBekqy+ZFJg/QE4B
DeFo10Yr5fnmyeMpGqUUY9PMRkZuPAUAhM5QJCt1NDMr0U89zpogT6h6AybARwk8kT61BtNDAtjB
JZ6I2gfWRg+QAZRxUNTG05pzUA5t2syodOysyA4so9nr2SbrQ1vKNy2kjq5PtcqWjt/HJ9b4jB4U
z+KhQVs62qi+EQVsHW0H4pjhHs7LS2rdp2XmV516bJOwUXzVs3Zm+tRkBzhpqXyQwTp6N/mSr2SC
D1sJOS2sDOrgSJ8xhdzzZZG0XkJKDbMwoS6at803XA2762Nfc9FgRULXFfILNjopz02AcDoBeSHz
Vnlq5f6MRqsOclnoI++WNg3TyRke/7lFgG8BagTZGlIy3F4bW1TM7Ar6dUvaZd9I3CNPJi/5sR2V
1I/ioXev22Mj4BcXrxFAV4CRAG0zN4l4fBgSkMx4lPeSH5Hdgh2b/L5uY/UCOjXCeV8IJ/QyTWBk
lBzHnZrMm2IpKAzNHzLq1uO0WZBJqTLnfrKcFGRXvwQfsFKFBFPX33Vk63zi/nUy5CrieQTzTubV
7Y+RPJtLQBWAJV4n9VgmeEh8v25zdXfCMWEH4pDqPP1KKUtxnnXYOgUFwVLZH2gkaoVf3Z2AviKx
irQUAL3no1IiJV8ArEGnfX+Qi70F9hF149D76wNZdTboIAaaXwHjh8WdAbvWutasmbOJq7tck27a
pH2c7TSICblN4s6/bm513ixElSCtQy8Mj3WXh5gOJUSTPda0te/N2jmYi/1y3cjarsd2+GOE2w/Q
dYGY0wgjhjGhV7B1pSz3W/XHdSurwc4XszvwDpZ6Qc5YIJitstzEvtfL+44qXuY0u5QmWylq4FL0
LWmcPTV+W86/irOQbrXgIbH5NJs71yDASJwodfDwIDhl6XcFTdhJp4ZjEoEHttyUxjutpw1Q2gKv
fIk5BaHZl03Wc4e4k53Fk7OmTATsisbCQg9nW1cgF5gsP05ftFndSpJ50zdPXZzsUVrxHR3MkaoO
LS10GWYIUAbrWc+SrU50QHp+Xl8N7SJE+fowpLoVlsNFheD8w7o4G2vAmQuIykm9L5E4v0mMWla9
wkmzFzWSl++2Uzg7tAtSMHbOud+RAfVp8IbnXjwskdtCgPW16hr5rorULPJBemuwbumc6G5NpwHi
cWgJhjyrqfmWmjS/SDbG1FelcvpVVBl0vqIuDXt9ArcMTU31AwwBxq6ic76fY5tMXhR3ywNxOuWp
GeT8e9S3DBiX9CG0nfvyANUb55jLYy3I0a/NjILsoYXXwRqgDJDNseyxTy2If20kc1EDVHt3TdN1
O02rS3+27Yipl42CV+TFYWf01oykSrfQeQJA2/mSTHZiZcsCufmheYoqpBk0Efjw4qRzFrj7lIJ2
Z87KpETCskHUezDJTSTS67nwkMyGjno1kmxoYud5bsoZeHaHZhiFcpAnn4zfRyvU8t1MBW7ra4ue
3dZfllBEA7+MDGItzuMTLbPiOUJ0QEAoN/gMqm6FcF+u+pjuFq+5B9eU4CVxmZXibLLNc3Ke7Uod
RhNvRm8K9c98TwPbXzb1obhtd6DZCI2daMku3i6cQS66LYyhM60RBuVN/FA+p4d8NwWNJz9c9wcr
mx6r9mcu+bDWaNLEpB0LSkIrBH1zHxoYzigIA0RWuP2XVQly8yy+mn4ufnwfHcB3Kvn/mGnpfMq+
QvjTNYrVCOTGsJIdIjA6Jq+9PwZpaAkqRZcXGmeHu1WIog8ot8GOfq+E43bYdwH8wluxEQUdq8f2
ZHGY4zgZ0KJaJeIDGDLl7RL5cbeL1Ofr638ZlSLgRdVQwRMSXg9H+NwGKgyjPCwp0qzF9wbszAhl
6jGYzYfICm0HsjmflhzWliCbdRG0fVllj0l2fh2+e8dISGRC1rz0IiZvnQ5uGm1bXAK16NyyncX5
CgwP9LuM+w95LG7nKQUpehU9ZV5vkqDWWsAOX2v5Dbe+Cx2iwB7BGd5LZAOEgx8vQvrBlRVE0GOD
6gMCKuDJ5cw3epQ5eo0QC4ppNGjCalsftMxr9tGW5Vs3YDyqNspj/Hp9VVem98wsl4coskHRk4Y9
VvubZfQk7RdwEpCJFjybLjFlCCbQYYBGAzY48Jmcbx4kfccB1TAkyMcOyuxJkoxHhAf0MyVIR8g6
ARjZzJvpw650cltNtIHi3pgjTQBdshtqTd1Dgb7VGLxvS/ncpXp+1xYS+WgcaRHc7pf5C3wr8pgK
HpRgYrsonKRlYzD0SeGp9+TFcctAU93El3fLTR3Woys/9dvri7ByrZ8Z5BYBClQsbQyDTn+vgZDQ
EpFhrK3y6Yg4PzTo8WBLCNY8RQtAY11LKImkspfp/vWBrG1iJIGBKrGQd75oJpHasSWpgvjENlH9
IPltpSGXPnYCCNDKfOF5jDCdsQCCVpG71qtybDOKNgmP2NRPJQSek3d9IGshCjp7wbOhsd5P/hFH
wdhIxw4DUWdAjAO1Ckaiuj1w+Z0iki5ZWRzkShhqSkE1C3n786MxynpTjGhER3LIHav3bvo21EGW
i3b16pBOzHBXxEhpC3IxxELzxnkEpYzq1Q/WvvgW3aXe8FnFbp66KsSwJb8VuNbLjBiuQRti8IDm
4G0PSrzzEepaPkR5jhEqj8ajfqMHUpB96Pcfxi3yj6D529mVS6Aq63rpTvPmbQZdT4EDWtkyZ5/A
HbHccFLVntkkV99N+5iJBJPWbsczA9wqZnI6GqkDA8ZPLXWHyE3d0dX9VIVwaEA+TFGSdS1QOp1T
bjmTtEjGLMEOTXbkWKNtDuTPy0Yn7nJTucq9tJlfIVHlvWhPgyBEW41wT00zL3ASbEhSoRW6iqF2
byCp3aW2P77qblu7CttI3vCQh//cQZ5NLjtCJxYTIELHImV+ZapcWQri6R8X/bktyrkU6ACaQ8nG
VKn5zhyzbd0IxrB+zP8eAragJ2NoITzTLjPG0FZx6Gig05teTXRAKuF117VqBwT4rKOPKVtxG9EY
kUAH7Qg63JT7xUAJ3v4xaLdOlghc5Iqvh2jAXzvcBjQhrgkNErwUY+luHo89fZWIaKcxx8DFZGc2
uJ2Wm5Haow4FppH4IYtQhSuDCsWnmG6H5ah292m1k50f87+4Ls/MctsN6XNHSm3mLHSPoO2DtDKk
iPaaaKlEU8hvuqRGAzfB8CL70Wi+dUDNarl/fTuIbHDbbq6XqFQH2Ojih8Xe1iDx1IV906veFc2c
IHzA0/0iCUnQxxnrQPt6LSirieE7YPoCBX1ReZb8DPk4PX3pisce1OWRAhXW4kkSRR6rTy10DQAv
BPoJ8Hdz277u27Ifa2x70oYaxMPLsFLARdyCas0BCRF15elQCOWk1mYXhWKg73ES2PPh/FAPRmJ2
M0sbdv7kR7vmY0FLfOs66GSOvxlec5QfoEcskjJai1BZffqPWW5RM0nLMAvgzTM3Ft6VUxi7bref
PPLWPrZ70TN2zaOcWuMefpaZL3OnWMhQlttGP6In1e6B+w+ub1T2zfxZP7HCk9J1TmmDLhxWjO6t
anx9OdrQCgHbcz+FUfl23dhqSHJqjQtJFKmdllaFNXC6byY/xpJl36xbhECZW27w/lHfYuSLkodH
7Qa6mZkPebtRpKewlvs9Xcev9vCTO6GeSDNEkAz2lm/vqZsfly3orB6d4Le668MIjTYNKof7vahP
cn3XAjdlAjQNXnBu1y6Nkte2jFCw6Pyu65BG9izp4foM/x979K8Rbo/SBaDvbsbYhnD0jS25RU7x
R3mgfgSmdbologhvNQKDD/ozKm6bEhB9qL0Cg+pGKcJoMz3F9/XbtHiK6cquKIm5OofA6CsI3UEM
w6cL0E6gOy2L99IKwfNhyLZU9MxZN/En28vLz9e0y2g6waXpZeYCsD3lsduPgmt8xXWfpT24wHjM
c1myU6Q96nRyK/tWEUX/K94D6VdWfFcBHYYUwLmLLCxo/1AbCZweTjiXPieU3ZJjIroAVibrzAw3
jiHRhrRzYEaLD3F2GJOtEYXXt/TqVJ2MhLtiFlWy2zgvSw9SDT7tZbeJn65bEA2CfcGJP5C6uEM+
AoNA3QX4us9kHFyjeb9uZO1kmoznWMEb3WaST+dWFiCd0XEEK1msuxDecKOkAM+1W1W3SM3A3mT4
Sx809fNEniNRhyY7hpyfP7POBVe5pI0ZmgsRn47ZpnesR3kEsgoS2LFmBiBm8zMAmiq731wfNfNp
18xyPi8tshivbwx60R766FAYx0n5rnXv2iI4UJdriMSBBeIxUEijhslDGEtwzpq9bEGIvZYh0UTa
29KUQJydCBKjl/MIHAcwYToEO5A0uIjzB9IO1Wyix7BC3zY5NuCKa8Gspu3kAY21dxUVFJ/WBoaO
d9YUoOMU8DC/qSlNNIBbuVcAzq4858mD1H+/vkgCEzzEzyBm5UQ1TDQG2XT6m0ZMvxe18Ky8X20T
/HeggrJRTLsghIoUZ8ATCS1JC8RcPu3GKz8dt9lD02joXOtdOpqPuV9vrw/t0nmcG+W2/Sw1FqUT
jLYWeifBb05FnnwlpoEJUFRiSwDkhHT5+bluhyFO0jaCiaB6GsPCK8NsU+2cQ7HrAdf1wN9avVib
xrunrnPINs5B1L5+6evPv4BzwqUumZWc4gusEYTVO0MNRm3EnfVyfS5XzICphiUYIeDAnMn5QHG8
wE5AUgyQPBvOXptCS34iIojeFyzs3GWAKg07xIEgLfpDv6K3E28s96rTlkWJiNQtH/IXZXTjIFM8
pHXc9CbdRH7harGXHccgDstHRxgdrpyGM/tcQNMWi9pDCQrVy5slVPwi1L8rt3OousWzffxlbX78
uj6tKxfD2YD5Eh+AU12Z2TAYvRuKS2Uvfxn3UFwLjCOZQuUTsE9XYPLSLaPg4QAwBkg7y31yd2om
z1JnAD6MB5T0mN21t+MjAO3mwWyQPls2zrviAWkSedAEFhU013aRzSgeUMpnmV42/SfLa0izqeTQ
NEOTdlS4Sxs9FDK5pYvU7xSI1gvO/9pAT62xrzmxlltGtkgaGgertM1dvfkxVcWTGn+3F3U7D5/X
p3Vl50DRBb0YuCAMdETys5o1SdS2WEinhgit/GOaiWs2j9eNrHg0mx1BBQSM0Kzic+STMg215RDE
pQwN5aI4aN0jBLQFu3LNjKkhWgEjEfDlF8uU2mVmSRRPbCT6IQjT2P88lLeRuAANM8gR0arIowRS
J5VKNQfQZal6X7Ve0FzsJqK2urUlAUUoUKjMFlrBztdft4q0oTYKbZJ9P/ZhQXzA+a4vyEpEYOug
AACrK7qXLgq0c+KUSjsOgKVEYb68JR11M3T9oEyrhOgdQ3GhFB3fL3UgzkfixkGVBM1aGBVf10sW
qXSSGP0hGtDpiyvr0eyVkRzdTZqFfW4lyKRhMhvds+yR+A5NqNsqNrArSH1BXAMzL/WeTiVk/NOl
pztKJf2ljHq8RlJ5bLZZo+WLP2oIqGSovCcbQgtwHY8Irg59R8kB5cbutlXmmOwbK9XvzMXEzbPM
S6gOc7I31VJ+V+carRCp3e8IDmLqKQo6OF190ZUWjS251Llt7JifpVxP4aLb80cqzcZ93UflYyL1
+WuDRvK9DvLD0ICN+8aOzX1TVWril5Mz3uiFab6NwPlt1HxOWL8FHWZfiaXqtk7t0V/kAgoRcyeP
PxB3A3msxgoEdUzsN7ejoICiVTcse2DTaHTnSLL2LZsc6B9RR3MGCN0k9c4ykvmlIV0SWunoxG6t
DGiCoLm5SVJtSVGsrhsQ95IZANEFujnfCrCHveXtEt3XQ58CN2YZLWiKpMy3mpl2N6MOPjGko5Nq
XzV5fYNl1OJAc/L5t9qqdekuNC+fUqI2SJ8ZshxWfZ9+9kMLxSDJ6iokgSyL5Ei3gSxI1enwvV7i
MXHHxM4+lLjTAjSV61AOrArtoCc9suqDGYnafVkSgd9+MK4g84hGPXSQnp+qFLFqIrU13vzl4ulQ
TFGlYbNkUKkZGg9drL8zSZRnUNccEpprUKpDgA+Hwdkcy7ZN4gF+T3pEgqo6vNWQmHDLow6y09tx
D7mTR+M2D1qf3JUfSWAjDFOZIuj1w776FWhCBzktiI7RQHs+ciOKLb0qcdi1PDTBWk0mYfyxckHa
YGL5Y4K7sjQaTbU9wIQThQZx1ePsfSCPbLnqnVP52n27Sw+d6+xEF7NoaFx411SFVQ8UdmMN4J8C
vXzV7v83eVxuapgVApYR5ilxvvr0dlLvrxtYC6UQUiCuAAD4C5h+vjwD3h91NcyIHWtVerdGy/pe
JTGSiK1doerjLH0RlpEDPgS9NMfFHZIoVX3ArstfXaxl2L9pv29SOoo639Ym9/Q65UKDIo4mGuu4
Til5lhDSmomgOL+2a04NsA84CXTsbshrFXJuXkvVl1ytNq0DOve5uanUf2Hp9ErlXhtOWcGjZIBh
9tN7bph+Rhq/qyhALCKqQtHlzU2aXJO6oRIu737eKt1Nj6e2iPl+JT5Ew4SOeBRtE8ZF2306zuoI
b4ZoNK/C0qjDcmM+gl080CNlc31zikxx8zbVcpnPEnLfUZNuQelfFYAlDv4gH5N/3HekI7Q6GRU3
cZNixWMeoVCBFkF/MCG4p/tF/aLLrV9Jpnd9XGuXAQT3IBQNWVYTKqrnO6+N65H0DqaQNl7ap26T
eJq+dTrNNaYdzUSbYm2jn5rjNnqv5PpcQQrbm0tU+0d/lj+j0R2Ll+ujWikSMLkJFLYgD6CbBt+2
AFWZLqHNiGdgQAJr6zz+Rg35J66cDrWm1NU28pbunW3zRh1fhC1d2/gI8pG2Zcq8F4Aek0zEKAzY
TqTBBbbbBk5EWerg+hAFVvh35wwKHTOdcaNmSeXaCVpUH0wSXrextlonI+GTI+WCDqR8xkiMxjA3
FPxtKBAqR/CqKigrR9nj/88cd8bSWW+LvoA5TftZWD+hsYjms8lNstfrdr6StXwEdDoubtNnbWkr
EnuFpT+cJxm5Rnc5IGmGy/NgBShogXfl1g7TD4FZhjS/MIuwA2EQ0FHgVT0/ax1cSBcR9NKMuEFL
A33vD0R9VGakcVM/qcNhFiMb1s43A0gaLFOATmpuqE6iJDRmnTVaXTVes2j7mpBHQpsSoue3I4rM
kiNATa25SmgvmBii7FiAaJ0PE5Ew1SzWFypRnYAY887ICbhb00reNXb7BgUEUS191SLD9qOUDuE3
XujJJIPetzmumnouLOABlHTZ5jRV3tU8khKv1duo2JRoSRFUBVbiAvSfoEMS7L94VvDoXixxlZsg
TfCqxNjV5GhF7eb6nlk55VDuBXgYMgeo0/GtcxIA17ZOgB+W87wMjEX+H9K+a9dxHNj2iwRIFBX4
quC0vXPeL0RHJSpRWV9/lvqcO2PLgoWeC3T3wwzgEsliseJaoWfKqkcnovXruqSLPQR6Ejpokf+Y
oATw5/zUMCA3aB1rMpfWtUPActr8lPTRiH6Ya+C2F1ZlkjQxdiP+xfTQ/LSauKktLW8ztwWEaqzW
nh7tTGTM+MojcKH6MzmzFcUVa5ARxYp0C2StTfLDxmQtgNA2iWCfBqeHIllrGFwTOR3niR9nZR0y
ViNEIsgAIJoXhk/VAAbiHJgJP0Jw2l4/s+WdRJ8ggIDIJZjHgMlNQawuQ1EK1ZL2ruhip40ejeSv
Ha1pKw1oxpTqQclnlogZQYZF1BSCKvFupLeK2EjkFjLml120sqbFLTwRNXsEsqJnVq9D1KAAqIk4
JG18IQ4BMIeS5Gj8dQ/bbGUz+6hHeqgyOW0hYOuSkN8EXbe7fkqXzshMxkwRU3C7RbSZdm/4ysyn
QQP4Su/Yw6GOD3LcJB1gnBxR7FAPV4zBNaPXjj2Z9QMKVeief1n5mmkDz16h2dfMdDQmTZ6rFF8j
W0A03oC8zkFG0mnRJ16YN4xLh6gbjEWGmb9K1nvZbzAJR04Ss4+Yckcx9fyCKGaZBHY1ZOjeIp8J
3AjAD94pAIKwtWQ7MJA+Z+gKkl8ZE/BFebp2FNPvXywegI7I7xKwHM2fQ0QLQxcpEzilZmLsDK3J
gFvMmlfVRIUi1XcK+rzalH+jpvyg6srDeFlEw+rBKo/MC54qglHX89XnetOawsbq2+69y0yPE0Bk
2qlrBOUbZ2Rv5ZZf9CAVHno/MJKPrst8btZHmYLn7roaLJmO00+ZXTODGzrYw7ERwKstgtBX2S89
vFXL4L/s+Kmg2QUDI6iKkByCSqtwRfKm21uiFmDPejGR21QQ6raVExcPerjKS33hb/3Z7unpBF63
ipTC+XYzQNW2JcN2TzkRvfAN86euPgIrPu4NP4nvw+EuJf5/2dd/ZU7m7eQFGCluVlNCJqAqxtIn
AD0Rnhmn3VaKqP9sWdE9XZe49HBjof+3ygvIu3aUjaBwIgF3Dk50XuLltm6z6DllmYuUrndd2iX4
+Z9NxQAiCCjg9cw5pAQAV/JGVfHboe2Eo6uqjwYVTmG92Ob3eKJjA3s7/cj5ffPXQEfnoudTv1Wv
GIk9QHRd9hvAjaRN46U6cuDJmo1c1JyJXs4E3z2chJnmWLJXRkkgKc3fQr6Rg0uCW2SagUV8QF+b
NbrjGsDeomlEAeofmTPNscZRZFoOmSaYdhNrI1TqKvxoxxvFuDHL7ch9U/Ei7dvKgU4XcG4ST+XO
KqZRayuN0CAXIyKuZHtZ3xkmDKFbd8e0Qed47XGxQXiCYQ5urs0ALNohxGKoUQG4FQAo5/dFq+Ih
YSnNJhq/16aLAWIN4pvwTShrRPHTL12s80TS9CUnN7PuW6H2HSTlQDkrwtDT22hTKH8NYw0lnVx2
AAZPpCAXDWha2wPHRcOCFKTYrTgOHDuAzcko/Uq0ZmWkYWn7kOPQwQyNv3SuqHYpU01RlcxVSOYC
C8hhdQj0/fKR0zXqvqX9OxU1008dVZhAR3kGaY1UeokOqFVQXJpeYa6BeF7G59MenqxqppIWgAXa
NoWoPLupyBdhDybgEstjWPxAXUsHqbf2pvEdad/z5Enr0ai/vX4plmzqyQfMkytZj3YkTH/BTch/
pulBtY8ajV2bPKTRWjV/2ra5Wp6KmvkEbclpxYIgd6vR+p2Eb0mG4X6z9QoUYewi3LRUrCxuSSI2
+J9ncba74RgVaTs9GAb9GSs3SeEoPHfC3tXV21isXfAltflXGuzp+bXjWjnEpMD7b2X5IcqrXVFx
OJy/rh/YkhTw2uLGYRjVQN/JuRQlNpWkajmUMzP2rGpemyL0ypb718UsXrcTMTOvSbdDEWkUYuBF
3tQ53YwQEfXGTqZkpVVt4ZQwfo+pSjQvmibGUmYrisT/qaDFusoXnDKvU1OJkQTrIa4V1TNkHzpo
FJUr/sQUjcwU0gCJEjCuCeSbc1CZrGjMME3DHFWYSHnSm9QCMKrdrijhpGRzKWBxRjwJs29jXPB8
eWOp8zzVERin5Rs4k9ToOIxOxb9sNjiYXHa0tcbgyxIkUNaR50aLP3BzJ5Ctc4ll3gLkr1RzN7IL
R8cQnWhapxktd2iQiuuMHSOjHxHqJIay1xvNsazAN+poW48ANw+6uyhDH7bZ+aNpvai55ti22AqW
bGKWeEXG3ARA2tfVbUEHTJyBDq2GEwLf4PyTxwT5BKFo4OWx4CYLp7R9k/tl8xnoJfgEVqRdjoNM
bSlobUUtAIlr4Pidi5M2EgpkEmelmKv53mGeG+Uo03i0xp3W+V2zVQz3+goXDC3skAUQUBT3MOc4
iw6M3LapGGnuApHBiwIU+Sw/D+6kfSxptLK+hcsLBWB4JoFmNHXfnC9v6DtR9gWWh6q8V3D4q7Ej
4p9p/Xh9TQunZmAYHlUHjG1j5nla84mjYbWZEiUt1tTXW4MgVxfug+6FJIgw650FS///J276nBNx
uSZH1Zq2sA9ecxY6GruL2/uQv2Zd66T/JajC6jCUPpU2wJY428W0KKO+Us3cBeiMsEGiXTtxonkV
eYtspzL2Y36bc+f6EpdOzsKx4Q7gKgC29nyJAWmMPhRd7rbSqwF2mIlf2fDSqXJlKxe0EWAG/8qZ
mfcgZWAg0WCUDHvXAqnVdAyFonbjimK1C2jS7LkBxDsFXC2CJiBU3s7XNAS9lDSCLEt76OmD0rsE
6Qhw+zV16xhsY2leXmwkGrdifWu3v67v6NJdh3JCNNCA8WdOmJeaVmymQ/9HSWv1R1J+WcaGtLuC
uaqBRpZmK/qVezFZq4sVn4icKWpY8z6rTJyiCUKJcWTPqb42QLN4gCciZhYsNPWhM1qIUMrwWBpy
owTlppXRrZGI9zYcVrq7l2K2012c914TU1SFXWMXrbL7KcN7S6jgaQvukVE8gOj6WQnsDUPat6Yf
lb3mWS2F4mfSZ9eC5aweCobVhtU+Kf0yBuJT8aQ0P3nwZofHvHgGL6DUXwq6EnVcdmrgLT3RHja7
KJFCSDbYkCzL2FMk6md1eDTM+F6a+WtViM3QPQ16uFWCFkj4z4OORmCxYs5XN3/2diS6OeRdgc1P
yp+CPzZl59XMTeP7tnRFu89GROvv1Vrj46ItmqrKMEVoopo7LsMQqH1GITXUvKx+tqoH3m3ibMUJ
W3pDgMD0/6TQmdecxLzJFQNSDAoPqYGvshm1HTG+yNT99nLdGCz4YkgbgTllAnHB+MXs1kTWkFEN
iF8us1+VLNmaxdvAlGepAoczN4+xge5pY42AZEXoPJkDBBtN6WoIbXNA4ryCrC5GyiEEf4d6tILI
Mdf4xyaDOjM/GHFFIRRoecAhm4cIGLJiAZHw/zDjXdTEIXI/oPfu+lYuaMeZkNnFMFIz5TVw3d2x
f6iRxwHSJahPsH0rL9XaYma6Hym2llvFJMf+jp5VVBZQYV3D7VywpnA/MbmCLAYGlOeqnpWYRExQ
qnNRWaXijeW+PfogNkW6du1wFvftxNOdrYcRDEDkKkQV/H5sf5XdsxU8G/VKTLWkcwDSweGjxWbq
YD9/c+0qzAm34SrlaejkyZ5pr2H+Yfe9Y9Q/RnRfwmb8vT7AdUdDD554tBzOrtZQmgLMLZCIjltH
qTm4BIKjBrQpIv66tQbe+4moec4CNYfEKJNJFADtgQC0U8g7MBKdMbcfri/qkhz2jyiEUBPhHGqC
Mw+3AhRY0QdG7g61FD8zHuTf7UJTPjpSFc+VRbjhD7kIADsZiqMYR+toDoDk3moaC/dJY+W5Y/cR
rR/QXa01fjSGZeupetqueBwLVhSFbAKyevR3o9w02/3C6PuqGawcPhVItcjGrB4MgBEJzITqeeh0
8vP6xixdGHQ9oBWAwEtFwf5cvwKzKdqigrywLp0kR2fwZw8H0lQf7Chcef4W14ayL4r2yMRfFDcU
KvNGn9Y2llIDwGw4+MQqbmVQYM5yLO4SkUc7LH6l5WEpjAYnJUp4E9XnZcQWCr2MkNQsMHJu8jcb
tBFPVkC15zHqiebqrag/O1NPdoSmxu/SaNg31oetX7UAFnR61Hz2aKI2PhCwBIMD/BD7yY4TI9kq
Oe06zyzbMPRlaybvRgi6tdTUKy9WpPY7GHXkOzQt0FZd8YVsPxCeMdMGvi2wR80bonkBHJUuQfNz
kX8SeksYWDDMx4I8EtJ7YX+oqI+S5HVVWTi+M5mTQTyJ2qg1ypbaVeEqAkVPMXrp8G3KqxpCODXa
d2uU869LXKo+nomc3dp+6ILeopNI6atA5aJb4HhPNVjN2hUaQOKKPQtukWeqy01WPBbs7foHLC8Z
YGZgSYLNmLsZeGyB2SQaoCyqt0XuVfWTXaMuB4xk1B6gDNelLfmoWO4/4uYORoKRoYJrONVYRU8j
2eXsbmj3TekqmE6bCAC4+VYA+Q9FHvNnL9c43JYirDP5s8cGnKpAZwiw3GDcx6CPjt6BSR2o7hC9
hvquNz6KIF5Z84JXcCZyZn/A2Y2ixLTDhDyG7S8VvIXN7+vbuvCEnomYPdRF24qxV7GrIUiGc/Rn
qNrGQHmVpbt09OR0sv51iQtGFehXgArRgZAGOLzZPiqdxrpRHwFmzA6DDUpQ22Hye8S31uqZLYlC
/A+CEwqoVdQgzi8lkylGcQJ0wvbKV555Bsh47ARIdqnTj2stNQseDyZ/MNsEv0pjFzkNWgNNB0A9
4MFNUcXMjvBN/Tj+0Za769u3pIeYKkEsAds2dRbPrr3WqiZvhVa4tDHQv5xZtBEOFTT0uqrOR2eo
VBI6oFnPjqZi152XxhgX8sqgT1d6z5fUUwN4LQgKQHV5MYLaBiG3syGG7pQY8gmA74oBem5bK77x
wimCE0MDbwPGXTWo/PkpqlS1a21MChRSHQFEZZU8o3DKku/6GoLo0mUAQIauYnIMKfo5fk6bYcqI
AvrQtYF8mb0VQ+yo1QHAeqnSb9M83OPhWznNSdtnUcwEeQdUTwbiRqRuzhdnK1IWpZbj+VV/q8kW
Lq2jNZGDGf22TzYJ+8zzt0B/i7M1WNbFXf1XsDWLSPuiSdRah2CqtG7ZAOxA8WL2YPBvRLRO2W0i
fmDl1hh3EXMr+iCtjyj4HPO7ahXJZyGRdLoHc4vQ10PaNiY+RVGka0B5Ow2NRGChVb/FVuXqckfS
YzB62eAECnqXXZ71/8HSIlKmGFfBY3YxeWDpXA+oXuKnbebHxn0YAi8l/1w57CXHBH19E4yrBR9k
jh5ArJqk3ISUFtWIbiPIN55u7UmR5SYeDjJuXdNq/nZpsH+oOuH2YJAa7vPM3rZpLJldFph0yB7G
0UvKx2YNzuKP432mxZMMzD/+yZGDvHqyFCfej1WXStH+Iar76u/j3Cm37WZTOu0u2FrQHm/0/c4b
AMWXemvLW5ZtYuhTAyQvmsDmN8iUvRbZmGNKdnHj9M/ZBmwUgI8FilDtKm7psV+j6Y63AMJCRepm
rYz+Z20Xa/9X/vwiqXFU6LSH/Mblj+AxkQ51AXft5tvOB752F3qa+7yiSBeXd9rvE5mzM436Nm5C
igZ3wGXGe6AmHawPJXe+A/bgR4/Fe6Hf+/y9uI1XbPFljpISHDTeHh042EA4nb0+BcmbAnUlcG1H
7xZ31WhfAnsr2Bo25jGVhxYELmXtZKYK1Krt9VVfvLAz0ZM/eqJkRd1rdaRDNLH6fa+BisP0+/Zp
rFcisUtPcyZoplE12j14NkJQcdR/ys34kR7oXr+VsWv4dBNNOJ3XV/Ynlj/XobNdnetQXFc0Fiok
qoNLv/Jd78X3w23w1O4Ehip7V3MNN3tUN9GrNjjWoVjZ2QVk4nP5M33KYo2rkQn54V65BzLqm9iX
b7GXHO2XIfDHnZU46IB7IXfj2vDqhQ9xvtfWzMXVRA0OBC0EDoktAH78HmbFplZW1jcd2LXtnXkQ
kkddXHVY3qgRdIdWDmjUniqGwdxafQsQKqUYE686tnZZVjR23oPfY10JHhYc67Y9qvGOOaUb/RqY
03QOue+8/kBuUFDw9JUE8OKmaujlA6QD6CjnfkzRVYk6UmwqF6DTircyf+NrTT2LawNuGrrHwQF9
4biQMmiVdpJRMrPddQb7BWKZ+1oZih1AfjfXL8jigv4VNr8fLdMTECVCWKj/MlR/RE9NQFeU5NKx
nlTxRMjsElgh6qSmDiFUOXLqtciUW62fpfpGkkOl+WPxgygf1xe2sotz9Q/jkQ0ah0xA82aeFPGt
0Q5oWWC5Avx10q6YtrV9nF2EVIXnZOWIXlX9MeQPJTrG85Ua2pqIydk7sdIhQFZH5PtxVPZ3G6T0
YGixVpuQF7cNcCkqGg0IKCWnjzgRYoxoCcBoRuIa7FbRkDK7zalT4/XXd1zsjejFUgLE5oCmAVve
PQWelumQei0BMynEhVk5+YrpK0++gmV6AV4vfEUv96ruEAwBIOizkm9hf582BuhXPTP0Wbvmbq2t
3jqXG0oMfhYV5A7xMzFdkuzGIvJAoHZdNxcvBJYHFA0CAkhM5J7LqcYGjHEcchSMLDkU69BMEAHz
3CMcbDThgBlMVfOUSj+Ai/i68ElN5nv7B3Qc7NtoKZpDC5Z6HIGfIIcaBcOdrpR+ItYqf9M2XYhQ
EZVP5D7wZ2bPfBlxY9AIlpeU9oFaiifU2u16/cvMrX2w9sZfljdhXhCq/p841BrPd7O37DIfSALo
sLByrV9Fr3kBd2j1VNjoR8KYBFpy0wzgH2uZ5SV1ORU8s2tmpFYDCSA4A+JWqZv7IJIbJPWfEMCv
xBqL7iFF5Gyik4SA2WammqKp+iaLIMuuQLXa6qNjN6OTGcIbMJFhFL0//XdZ6XeJJnZQPm+0V4pC
yxt98g0zP7EE8EgmOnyDYsX8RQI35yY1M0S3Y966mQq+wU4Jxm3QY2KniIi8T3u5rW27WwuxJ9/l
QsHQfoUoG91DwKE+P3EtFCkGtPEhqhm7vPbaZhdbP5R6kxgboA7mZu8B8aWVidOvWcjFM0dLP5JO
mKa/oBciA2Mpel+wB9EXON0T/SebyPNWHJwlW4/CLgOdIrLtmME5X2Cs9LqSF3LyM4wDIvhdCE6c
bvh+3RRcJrpxc1DQhhECLQj6QWcKbIki0uwYbhRpYWJ7br9llpKixof5P94I8spBAxtjgBnRe/e9
L/KPqrIeS8pBpJnqr7ym+op1WjSNQPJEMgq4K5jCnel5KxQ8TDKF7ahSn+v8KUJPXT0iGd3VXsKj
R9pgvLNP/UCseAyLvro5Aa8A6RkJsXl1gyRp14LlBqKLB2n220jS72JI0Br2NGo1EHfCX3aCsJC9
th3GwIrPOsYr1EnA6RoJHDXimOzz+glNN2qu6DiXqUSGbgMgXZ3rwWBVZVkPMNZRHx+S9jHVhy2Y
Gh3O+7s8azc8WeOqW9LvU4mzsKFomRiGERKLeCwdHe5apYrPyKhRLV0j5V3S8lNZMy3XlHrsSQdZ
CbxphgFJq3grut31LVx6jE6FzNwmaSghcHshZIB9jOPSiQLwDB84Avm1nONSNHQqamaWclE3Idji
E7eqiVtlPhOOFX3xJPAI4jxgSDlFs2KTl0Ui7YWxBlijeedB3BXooDSxOpWXkBS7MiH7galOY7I7
boLSOb1PlHElP61f5NtgONAfAHxLVHHRdD1bqeCNqRAB+0S30Tt1Bwdh7DG/1R3h3ij+4HLgQvYe
2lS89LbwRoe/fJQu3feH6IV/lD/pyhkv+TSY2oc7hTIvuhZmioRyoAFkLBhl5Isc8CDdRcGqz7ao
rIBiZsheE5C2zAxTnqWjYYgKJvmRPmmb/BD4LfPQjLgxtsEGjc2d44qVZ2BJd6dDBf2mrSK4m60r
L5A7yCsQHmamNRQP6dCCHiqB1TS8SBQdpplr46mqckuuuBtLiwUohwGpSNojiX5ud2SR4q0HQ5Kb
DveJvqkzpI7XvMQlS4N5fbyjoOtDL9DMS1TrvssiowPIV/NNGe+C8DVir6a9uX79F1eCpgYcGUb2
8c/5SkarHwSeU1wQO3pumvYtlpih7Ub/uphF/8zGOwrqXmgIoqdzOTXjPFB7zOkLdmuEvgluvmwz
yK1sHlTDzzVfR6BkHrV2JZZYXN+J3Jm9DnutCbtwnGwo8rNJvNfLpzxVVnZx6R06Xd1MEeMgAi9k
h10MLVq4Urd+TUJ3LMKUGCkyaxMVjeaVWfa3xX/YmakLiU2T+3iTZzpidFmpVzVWNzHDRal901qm
N4zKPVcyJ9OUjWn+vn6QS6bkROK8n5DXadTqmQpTAnBLO75jzRq22qKLcypipiqI8GhpBhABHk+3
aHCz/DB4CLr3wgRBzI4AOo+vdaMvvRNo2EC1jyK7fPFOcODSVGNsQE1aNKcZn12Ghuakw2hffRfJ
/lDT9Kh2w/76Zq5InW8mxfuetC2k2v39WNzHzQMJ36TyUNGdLIE2sqItS3fhZJHzggy6jRoAgENc
Fz/n4ibUqbM6mL90E05lzO5b3svcDAhk0KRy0LJkYA7+D1vR4A21P/6X/NypuNnFG1I7GUoV4qzw
G0hrnaz3ZbNySktpefTc4R3HRUP73RxnRE+CuqzgSLjNIES00UgbfIIfxPwRjQnbsFzLnoHVl9xZ
fS1HIE0Gyn2aqSbKIUnQHUNAwd6gSN8NK6/fwnH+b9fWxOIKKoTZ2u2MRWg/nZLL5Z4HhwqANeBJ
XHnplm4jKAqoipAa7sNF46EUo8z1FolCUJgZR4Dwk4cgNW5E3yGolGw7tATTTElwi9LQAIil/O8h
3Sf+WMzborUBRm6egpWWVRWpQDALnh6bPuQ2RohWdvISWIOey5iZHL3FXCFDztytoxjoIKNP0VDU
japncenXkXIkteWErQlS3tJNdIxopaAizDQnifvdkAmvB0thrX5ZyAleNxELXsDZ6mf3ybaSkldT
4lQGPtPfugZ36BCsVbgWrDqU28a8lgXGRUTU56+z2YoKaQRElUT+TuRLKF+vr2Lp94H0DKRpVKFB
2THbXzNHDG9a+P0R+zSgTQsP/nUJi3oKSBkML+Pz0YA3c8kCQEjXRoDgIgf2SL3rK9/GMJj1SUPV
xWBxjzmKaIVabyk/gHzTvzInY3iSh5UhmjlaluExfGaaM2wNR3PoZ75ldyNqzm/VkXlrExNLlx6I
I2jYAAYXdnN2UsLU05rmU7imHIW5VRC0ZWt1yIVnyTyVMenk6bIAwK3W9bSs0tNU5Ii8Mb3l0atq
OejTatZc0MXbh/oHmCsBM33ZZxPz0NKqHuFJ46J79xWk5BN5X+vaDgqPR/teRQVfuak3YO5dsW6L
u4nxM7RqAWJMnw8vVcBUMhsdcVqkHWh4KPovO1qJBRdfD6AS/CNjpiR5ltAmCxAYqVvLiXaBTz75
sdmwbeiYT4GnrWSIlpeEtqgpb2VdNEemGHcMwxFLsjW8Cj+69HaoV0T8L2zFLO+CaWLwF2HUEuHe
fI6ujns5JJESA5sgKl9BlW58N9SkfaN2WuyagpMvUWVsz6NYubOyuD7EqZb6sW7QHQd29D6IZf1J
e65+K+Oc71QtGDexAvQaBwGdvs3bgG96TOsdVHNsqTNa2fiZDDV1zaAHnk/bUyC/KKUt0e0aN7d1
JKAjlTkhTzbkthos5V6WvK8d1R7GbamVwTcSa+LWTJvikRdVf6RxVD8IRTbISoUFQydDyvpN1FSB
F6jkuz0mTQyohYoTjNIV9UvTRBFehTa6MyxpVF5kRDE4zDFyLZ0stCob7fFD9VabCd1i47onPCnB
XjNKzWccsYDTNDbdhZgywswwOq2Pka5PX8bjfQsUYI+UTZY5Aw1jL2N5tylNDJ2pWcfSbROUzQ6l
gm5v8jQKXHUM9ddAjPahM6teglst0yOfUzEUgB5S6ZEUKniLOwZQ4qJSqwrDyS3ddKnQMes9Kp+9
ZqbKrm0EZgQto2Wb2Gwj9PAy8yMFWd0BJQTlJcYT9zVym99XRQfSUC3UGzcC05BwotoCkqguAgoG
ajXR3vWRINQPevNGpI32rRGS/KJ5pD50loj9XGoRYkpOUgGYnly8p8C6K92A5VPLv9EfYl1J32Kt
bfd5hhlJ2Q3Ac86j5ja0bWC0CEu/5cqgoQCrh3u7J/EtiYzSkzkACJwSZaF3VhLzscsC0ECwRuqF
U1BbdGAuCwKxxQQ/2eekqh+TWC83QC9lNWYh9eGgdFkHeOBQ9S1FoqhkK3mw7TBqiVaayBAPtgiq
O8HLuAAf0OTmsD54BglR9pRno5l7QPov9k1elp8BNUMU2TXZfaNg2JGO0IbROJBQ1B9xYimbeBTF
gTeq/pI1hc73tEvQVZ+Q8VHrdGDOJoMBkBbFejSsku9rrTJQuqeo4WNKu+QapphQPHFpDBTNraiq
/lEU7dA6vWD82BlKugO8d7PjUaGgw6sv8+8ZGnVedOxL6JShVJ4DzagyL7Na8ZLHtH8mQa19sYKh
lVgA4AijOHH2kult+c0QyDw6BEjJwOVJwvI97wR7BFxyBaLTQte3jULTG7vr0aDRtP1G5BWmksuB
SHTJyfx333a9r6Hj4YWYUVq5wkZR2UlJ3hc+IMzCZz3h8TGNDKDRB4hfX8hAlE3OGz101FwVmRMC
JvlNx6j8notUMifrTPOmKwi/C/QaFzhXQa2pjwPdh2nR3nRdon4O+QQClpQUn27YPPWGNrfuUonE
l6NBy/Ylj4CG35oyGbZRMcoDBafBwxCPDZqOaVjuS9tMNpkBmktujKFEltLojwp8r58YqO9eC4Cb
7VNbAHOWo1hwnyGNgW7zMvQKmctvgc3DO1hDQFHJdPhupaQEmr2uIITMMG9QWQXa00ZM/d1EbYTo
jg0m35Y0Tp97mOuNGlcEU7saDfY5K8qNrdvJLS3y+EnhQ7gzQ93AdUgKXCQzrP1Az/obMYztJh/N
5DNlleLQIWz8dEisXQfC794xA6P1pBwsFAc0UpWALkRZmg6Wfd/SsvOjOKN+3iZGty1MUzLXTinG
fED8XDGny6Oy9khYCcBfZBLtKwDfx+hRS3XAuVlRrbtWYCU+WDzEix3rSKVmwFVCFzA1gHI0VhSN
1kytkt8haIUCp8/L+q3MGfcHXRafFuX1rg1FshmoqD4BB1PvSsOywDPR1L60ZOGhrbp7DTNlfKda
o/7uaGI7lpXkj2gTs45BzaobzM6Mew2K+NqkCjrSrruUi673lBgDMufU4TfzKHEDKz5UeElTwBOW
oCcSzlB6YE9YcfGXXmzACSA3awDfDEbs3N3qSIzYMoHnqvMDUX6V7dYWK2nwNRGTf37i0anGAM7u
HiIa+5m1kdNITx1Wqo5rMqb/fyIjT2QLGCN4pnb+u0z8JL/vi6f/ciL/7tSFY2o3eIywjAKmojTe
7fyLp24n19K7S+HK6YnMTj7SSBiYBuRkzcHQX+P27xMxwCv5dx0zl1Ap8Thziq0qU78Et2BlvGn2
2/W9WjuOyck/OY44AQoAGMMQ0laHuHmX7Dnhj9dFrGzTn5DsRATjGYhjJEQQ+gF+ZWjV37f0wJFl
gFIwkE7B9T9fw6A2yaCmCAxS7RD1vpJGjsrXgrjpes192VMhs8NoddFZag0h5mP6rbwL7sad4ppe
swHqReMW39Td9V1bjBpPBc5OJhFoWSXTqjpXw9v2MO4e2hu0Xj3o21fmqce1IGfapYsFwigC0hho
8GxeLFdthZSshh0bwGQpuwdbeWyM28C+R3fy9aWRJZN5GhfMshU6Fb3sEsQFhoMW1o38qPf3nR/Y
oMqNH0zPcsF12H3UB9Nh2wJs5XgiXqnm7DokVvzr37LUjXEWo8zMaggWmUS3eey2+tMYbVS0g2jW
J2HvKroGsXQF/LbDhrab63KXLgValNHJD37Xaa7/XGdlg1EObeoYVKptieEwIdfARRbD8xMJM2OO
STASsKldkDXDV6H9FOh0Yyp3TB0Vr+gHE+KB1mtzCov5FaoamG1ERwSG3md3sYorvdLiP0dLgIrg
GEg87OzGqd3gPvp+fQ9Xhc3uZFlZcdMrEJbYyK1Fe6PdNLj8trGJwl0fvXMAjpW/V4ROyjm/J6cr
nN3LXMZI/qcQGgLXfyd/pgeklV36Q/Viv99mryvipjVcikOwAfx2A3W+2YaChaEMuDI1lzzKo+6J
/ffIDW5rx0qdyCUPfFPtUYSw74L7tWrVkgKhL+sfybPdZXIMAz6pqBSbYi9+B0f1h3yLt2vU1X+g
xa4tcbajGUsiLkMIoobDnvO3zbiNnNQJHIwy/0xvjafwO8K9uyBzzDv5aq9Yo6WGFeBPYd7FwBQe
mvlmWccKQR2hBQ70Nn+q7+0HWjj2toSb5TIX1IFf+cNwg6Caeen7fznbE8kzO2iwEABKkyrVH7bh
3MMt1ramp1tO/sMOnWEjncirbqLv8Rbo5dp+RfqiIp9In5mgCEx3GRzn2C3fOsRku3vNcsRb5xUH
ZRtt1uZQlp6Xaa4IM9yo7CKLdm7woioUxJw6iXN+F0VOZ27qYttVt/yvcTeRpD8VNLN77QBC63Zq
8FXkSyM/9GDfqCsqs2S8T0XMfNi4hLoCyBt5amvfp2hcAEzr9cNZcstQZkc9SdcBljSfxMoZsnZk
6lNk3U03YEjJZ8ZKe/DSI3xSMJnPJWlVWqlai5KBMtpHkD8f6ijxtDxy9Zh411ezdPaAQvvHtZgd
SYkwNMzCybVQtzTcBdJ2qPk4JtucrUhafBLQS0PpxIELyruZLYlFaphtClH8EVzxmo/3pz3UbkR8
/Sd/ur6spUM6kTV3bIlW8P8h7bt25NaBbb9IgAIlSq9KnSbnmRdhxkE5UVlff5Z87ra72bpN2Odp
A3uMLhVZLBYrrFUXCWT1imuSm5n4/fAvsTMFLbeKAgJgRDh12GgAuCNAM11bXeuAK29zgQ6rVvBH
AD+1nhVtaZjRUtLpAeDmG9GhDDaGJghmV1cKLcxAPQCyD7bm9PBTOS7qpltKBXQzhL4E1kFAN1/e
jTVNMBppAlQId9ZZ91JZzSbIu9A6EoGgJkcvkQEcnNJTEu+ynLUeFeNYEGfNspQwkreLoKatrpAQ
TvcFEpIebZvmjjJMnbG+w3ChYXyMstK4xqz7mRFrTkdAmHj5Y9ZOFopxePWgA5UCBPh0YbNWm8tZ
xSOBpr6sYhAregjlQ4vJu1ERVCgWtfhb+ljUcp0cPeOKSq0RLEDUMrQTa/dDJGplWpcArD90HWNc
kg91wKKb02Qps7TNpipvtF5wmFYtBAXq/36fD2gKy1TYiN+vi+9Jl7hhgUwnACC1WDQyvDYwhzoV
wnp0iaBJhXK3HQwRLRsMoszecDG4g2hU8vUwtyvkm9uZotcaFH1h7IVpeYWhpBugm+3mpkNWu7cT
LUfaUrbjwdp2yk0XWEhaC9ZicRxnu3n0gZwRAwirm7tlLTrp1TTuImOfR15UOnW7r6utJmqwXF36
I3GcA0C9AMFOjOpWin6PJm7BdAuM83IbIrl7+USsuZrjlV++5NhMrUQHHSEUSzCxoD230o0sCzzA
qp0C4IciHEd5lbfTQSoAHAGwfydRr6JUQc1d2Ny0vl5/RHCmOhklQQED69Vh+sOJcqe7KfzQo2Cs
NG67neQWP+On7tEUxASrSQewxP5Wjbtv+plGUrXsEybY4pv2TpVsFF7s7/KV6koYFK4cEXvZqgf7
I5GHNIyLzCrRnYmOv1h2suapoX6RvWXNlZSLpstWK8hH2vFdjMEQACPNgm1ku/lKO2gu8us3llN5
8a75Jn9TbXo1bXWE/w+zoBYqMBkeqSmwDDbUKkwmiqttmcRXBsn+4Y49Vo5zOY2mTmMSYCEto9uU
2oDKQ2FnNBMYv2i/OMdR9ykjSoA1nEYJvS02LYDGkLqkfxySzP2Xs/zbGnlo6KmS1ak3sGpqS1wg
PeZA2DBMwbqtDMir8NV/pHAeA5O3pJFR7wGTunVF7kfX8gOMUw/v7SHws33/MNkic1j3vn9ELot8
5KQCWYmp1WCvwmQrY76GNdfTcF0DIJgZbqFsLM2/vJLrAtFVj8AIyCG8y1I6A6jhWYcXy9twg96k
q/Ru3mtO/HpZzHpsZMl4RxMVQK98h1AFdoWBEMih8VWc74PxFpj9qFe9GsO2Q5sGsQlAuxY8NFOE
R7fq+Jf2/QXj1jybuSzGOUVxEqKjZl90kSOjyhuJgPpXkwUYKPothTOWPqGpHi1SGhA9zo+6Pfvx
vnotKi80HHaYdvVj8iwNNprbd5fXVqQfZzPggp4kY7l1LHOT0A0DAboqatlYdVNH2nHXTl3Esz7r
kDHmIbrl4fw7wZEWSeAuGIAdVbEkQQK20Q4kwHGKhr5+TY+fhTboOAGeCHCI0LJzerjA2KvORTui
k8YZNvEDwNX82pm3xosPxFGnvzbeYj/CpWb6zdXzZDdbwUPkHK4QGQhMQP3+AM5GRj020d2KDxjd
68C1vsUHtvuRXhm75EazJdco7L0ItGr1fB+J5IyjRPu3UeaYAijM5ClBDGTn+dBczVFpOFSbUJbM
pge0KXxiGkFgl0J1OaPR1HhsjRqyjesI3F6ha90mvrGJ74tX/ZpGjrQhlq14sU8FtrTqbQC9hBwJ
MkogX+WMqU6HJgEcMvqy9PA+NzXM+j8NTY2SdXXVN9QpRvmejV9z+4IZVo+AeuvykVw2krc0zO/g
TasA9ZGelWSlfFCZAs3zREkTX6aTvCW9pH+3sgrYFGapPF8WuOYDYFcG+t8AnY/R41PTHuNBaSMA
LzkL7jqINIzidhYi2S22cqbVkRDOfCF7jCsCIZH2LQYvULnNEBN17KnpXi6rs7p+R5I4qx3Hegr7
Di/pamwdENbBX89giQekUvt+WZJo4TgbRThkZOi3wNPS+gxD4IU8UupdFrFaSQJA5TLzCAZUZO9O
N4egkaKRlmNfU3e+Ip7h5lfSD30/PHWHaHNZ2PJb53tkoj648IEis3IqS1XrugHLGc578EljPwXX
WVyhy0m2B+tTk/w6/LoscH0BfwvkZxBMoPwlcwOBaql5xoh2T6P1czRWXRazfqSBvPf/FONbgNMR
4DZTvcjZgy/wqUlc9TsznR49nWBrUBKX+ZclrtvgH4Hq6UpWpa4wgIvDBlPfKDxC3CJ71IjAVa1d
e+iZ/q0WF5zrhVrmoGlDAoy95UjnV4KHm+j3l78fBZQ0NuYxzGUkZ0YnaUNbzKS9anFLWIfOW4A7
8YnCPmkyE40pCHzoI2snJxlfmEzQEoVurl08oVwqYuZc9UMYbMMANwAZgQ92qlPYlhTdD5BoKVdx
gNH4xC/CwR5AldLEAitYXb8jWZwVqGYm6TrD+gHc2pZQ4tdeLpvZ6st6GXX/TxvOAgrQMBI2QkKN
0atkX7HHMnxgxCnqTYc2N2QRkr0S+gMa8xQMMIl4R9cPFmqIKkgoVfMsMg+G3FC6ABYoRQpoW3Pa
T88kltA2xxITkOgtWIZ6bawfMmrkt8BaSoHsjE7KawVoJsxGx5no5K26FAynYy5bVhcemNP9pWo4
1E2g4Yv6x0T1mmHfWgKfLBKxHP6jY6Hl1lTHGUEomNCbtCuAmpjcFOBkv7y5q2fjSBPuHsPl0pvx
DDEN4IgPOh1KhLbKPhljsHzryd60ssgmSXggdSnKd62GX2ip+72M3NU2sEqZVIplfMgsW79VveC9
sdtiKx+0+9xlnvoA57kVvWBXD+eRVO4CGtou1vtqURlgrLLqs/SxjDZlhCkjQTi9ejT/SOJxxpOk
6c2QQVIEBjhGZLtVBYdfYCW8o6FaSSkrISEjeFNVvopuaZILeutEanAexhqVCr2/2KZeeaEmZDxe
tsHVDTFBc20AhAKTLdxpKpKkGPUa5bwY6XlZd3JgtGXXUnCH0aPLklZHFfA8wzsb/gxjzZwqaaYk
mbZMywNpzw60Q9//zAK7TG4kljlt6Q3alubvU3Bd6XcYhBJIX1MUhY5lbgEJFIMPfQqSglGuRB1i
uLd8sikf5m2Z2mTXeleTS9FRZF8xp2scSdC4uC4XLQLg4UBzC08zHxhSkUgB2thwFX6yCEOz4wdG
Am5H/UlLG4HjWvMoQOIBYgWGrgmqCKeOa2FM1s1lPEMlsjPOhzz5GjXTBgR+VBz6FGDWPy4v66pA
YgKSBeA4+G1OoFQhRKmQHkUrTXmYmvcGpGXmeBOZgzMH4dOcT24IXITLQpcf5aNYBA1gJwYnlwV6
5FMtKfI1tFAwH58SDPGkO7U/TIAe/QchAP5EmxWGM0HWcyrEMscORSXk2hhp/CaYd3Ukb5rQ8C6L
WQ3/F4oCqIP5YHBHncphg5oaKXDdnTzOrid2O09I3LPmRjMMD8NYflRHd4QqD1PSOFb2eVn6mncB
dBNQq4FyYKIceCrcsObCqK3l7TGCRGW86svvlwWsbpW5ZBhw3jFGyglIVVKPsobwgQbzZul5rSTZ
D9Gyd1nMciGfWcSRGO7ClrXMBAwDoiSVAnxDxRhZ7nfJI8Cj/29ylsN+FBgopTL0HaZ3nAAxbIz+
uxRNnQrQWUS9jqvn6kgh7naOzQAkDTPWrVRlYN58ormIZI8tue2oW4AxoTH/oXMEIR6uAdNEQzrf
1lENnSWzGu4xTPfT/CYbW0XEJbBmC6CcRbM7YEt08IqfLp6kJchUS8iBWkni0BEQhLibRSWwNYs+
FsJdMkY6JyQqICQ3zDvZ6O4tEeeRSALnGDStyEsgO+PMgJJeGW/1TLAVqzE3ujb0BZpjoTnk/Fsq
T3E4MJzKxnyVS4AgHCb1Ueqek+gehL3RtXSNLPgsekOvnaEjqfxLLUKsnelL/mZIZ0xDv7SM2pXp
FiLU0sV0+bN6LIczg5DJw1jIkKPURrGJ1em+H1/ZDPLc+VsOoBKbpl+XT+2q4f1ZT523iSLVyrTE
YUp1TOs2uaN1DyAiuyxEtHycWeRqo4YsgFq9tZlBqTQbdk1tLRK82EViFus88kAlbQZtpBBT4cWZ
jZOdG1/tsK1kUeP6CsjQAhj+nxHyJRkyKRlV0Y7g6Mjph9PnHGDDroPqgY2dHQK2XtVVRHL/0MyB
cpMGih0QeyI/yi2jlYQYVVquw6yX921Bb/ru6fJGrR2vpaIFZHrcenB3nBMP9HIYMTUJEbS+qZe0
QDXbcdTZeaJhfLxGOmxPtcId9LcxfFOrfwCxQy+JYS68acDe4fHzwC2j5LGKS0RGtXwoNwnmG+QP
Pd5c1nPF6k/EcHciKhwhSSnEtC1G99rxtiX1z7aQ3ctiVo7ziRhuNdturvt4AYnJmuSaACiPYtr1
fqTWNQPBJqY4BFf9ys1I8e5H/wQghc67KBLwiNdJg6s+MeoXopZe1P2MAqCKDY8wKUyCfVnxIFjK
VR2PZHK3sUSkQa9bdXFZLpsfWXpv21oV20kraJZa3TO8ExDXAvcdeCCnp7tqWB7Gi6BhKjedCVrt
Od/Xcyh4k4jEcPpoI9iZBxliQP1aG3dJ42fR9rJZLF/KeXkqm7qOKgf4LRAAnmrSBnVVpBh5dPoB
UyixZzFkrTBandutqLi6qg3AHwDUaOA0/4qwj1wiCChwpBZRYzS4nbHVxs7JRPmSdSE6eJc0UIIA
oPdUnybXMNyqm8g6AV8C2IwToCb0UHDzr9kZWIfAs4LHlHqGuRKGoyqFnYSO9kTZBBEqGwkB8DyZ
XKu3MKo8InEal4KdWtNMATaCiZcUfBL/hEsGY6FaDwG635qyA3KZ2qVWD6IMbRaot3J3AZP2jyTO
I4FgzcA4KdSLLALoJXJV9NYuLCIXN83usvmtKQWQPLQDLHWVs4cwgCwDcF4jCVyNhjfIwApPDG9i
luA2XrNy1cA7FLZu4BXHWXlNOwv8ZUgBWWlhx9OGYBXNg0HtKfEvK7S2dseSuHs/kvIZ0FVQqJB8
4DbaBv3qLa/XHi+LWX6GP7bHYpZ1PTpLiqTKIdSFGH2+pYO1KcFfclnEuiYUz3YcJf1sMiXLM4qS
KDJaefFzAvaV9Uo7b9D/xQCA1PufFM7Fxami1dGSJe6qu7LbTQCcHDeXFVmbRwPJFFQgwG3C5nOL
VY19nsoLrFeOUb7se3UVP0z7J8nJDuNW99kh3tE96rm3AOe/Qffy4X6BGhFNg6xZ+vFHcIcqznOr
G5aPaKebUX+RutiRG8GWiWRwzo+NA8ONCxkm8Un4NihAyRY19K35PhTkLQq0eqDA8qmrMVNTYEnj
TgLyxVeVR1e9lh9SLfGzLHP02rRNJRIxh67FEsugxJKdAwIRH4npGMoa2hB6xX0FLJqbBNdGnZd2
w0LHqDygdwyi3NWaxzgWyW1XX6lZWMnwGHVOb9AR56hD/q2vFC+3TL+nucC5izTkdo4wdEYHBlZ1
KqvSacn4GVRSs8v65q3s5XfZCksviK2bHP3IggTaWukKEwIy0CUXDBf859SXJH2U1NWE1UULma/F
8Q7Y2o7SF15P2y0uG2QjExfASg99r/noH/XM8FOWwrssEviCc48D6BcddA5g8kFkxecLhww4DvGI
JHPWWYAY2MXVR2K+GdS/7A/WLfiPNXEuR8I88ZhV0HdGK8RGrpAvBMRn7+ZU+hzL4F0uletIF1VU
zpVDlQZTRUvrGqBceLCccM7VqZKWK2g44LWmjak9xw4Lfl5Wbi1PCTkGCMuWESb0A57uJgHqxwik
LTg71biWU8OZMsO1VGtTS8khT99bM9/pAO3Qw2kb6t23y+JXj82SP0TiGhB5mnYq3ej7ngHiCW+m
8lub5jgpsa+GPSKJTwzCCSx3dUmPhHF3rabLcQCobeTCgCZfGS/pDA7eJvR16V8eM/i532pxi6oD
tiIxGNSaIqAPyeaBFhThON12Y3mbtLLLotY2Z+EsikjD5e9H13yBTwIwPORGSbUFlLCT6J2tA4YC
ANTX4zQ56E+/CzE9qCbyNujax7wybmk8tCAHzjZ12tng6xOs+uoW/3EXfMIB0DMZG7rl+KBgkEW+
FboGcQG7Zk9fl41p9aAeSeK0HygDqmIE7cn4QTQ7z7YZil9oEgmWWdFeYLqrl+eRNM4Fl9PC5Ljo
FQMRU57eAqSnlb/n1MSr5MjZ6pzziYZUl/RssSQdAyAeYFJsBMGCLVq9TY5UWf5+ZDZaq3eRsnj0
uWvfNKu9ijrD7YMXzDV6xIi9OPosMBxzebcE62dw+UJwsBkBpiWXnLvqkkgFB0O8qaRWEOOsRb4a
Rvot8G/gvco3+dOsqXQrxQMvpLo/JMYWmEqbf9Hkjwj1dPkw2BOPoQS/0vThPqERuvmjl2CeBWJW
D/eRJpyvLLW2NNsJmpAp3LGmulb6B6Uw0eNjCOxhraSLblmiygSThui94vaGWG0jaZGF4BPw6uAn
n/WHDKjn2gslb+Psd8GtPtgFAdRF5zWiiV2hdG49I4TlDWFQVEUirST3RrSPTGeoDqCrybovgAbh
FIAhsFfRIjh4lzdz1Ykcqc6tckOHumNLQqCMgTOdOLOxCePODfPnwrKJCMVnbUD1ZKW5OykMoyrK
8aR1ovlG770KPf96v5ljhvDtQZMeMtUdE0HvwaohLb3Qy4HQznA7JSsbZKuEzCqIdgXrQWTWeIUp
bTqoeHk1V53/AssMDCqC1CxnSP2k51OgIjWgRz1aEhVP6sgmw0NmJm+ILf86IARyPqIZS6YyED35
mutUhkSXSIl3hUYbm6XZ97a2ekcNjdieVf35sm6rCWeEn5ggBBaDKvO5sLC0zEbWIQ6Nj2TTpNVV
29Slq7fhuAOsrbHpDO1bG9eNPZpd6WojSAerYH7MjUpEb3a+zgiFF5h+BFGoNfPOdCiZ1qGjMHOI
OXjqmAGfIHWjhtiZ9h6OROBTz133qTTugM692icJg7R2Bj65qnoZvavHv05mLkKAuo+WgCUrvHzE
0aWkRukYUivG6Go+fBtGY7wzaf9cJm0pSPasaANjQaUebKqgO+DrlzqRohFhcOZY0kcD0LEu9gwR
RMD5DQtSZ8TxS/mDYkRw2b8jZZRuHDLMmuGYG19ZsJszUOnsGAVMSXooy9fx5bJprqmEvh9wriDj
gowjd6HLrYw0XDiBZHTyJHOrm4/z33dJaUtr0X8i+D6sSh10mVYQwerrLHyvDU8q/L/VQqWIStBZ
RHDEzvh61LzVRgTsmZNk1p6AOp3U9DoTZihWfDBq18tSLf1DmEnnVqtNwh6sHD3KAPGDWXxW/X0J
qqOpd9B5GRVeI0lLye+ybuc+GDKR3Ma8ggb4eL6BQjLVKC4DyExyR2keY5OBYGlXDiIkbpGc5e9H
hkfVLgkBCIr4kTpt9zgVPp1vGXn9v2nDmXeVDKA7NKGNDoyfyMTAvfJIZPS2PF2Ws2LXWDX43AXx
F2wh3OVcxxEoMNtFm+xx6O8L+bYW8SqueNITEdyFHOnVbFmLiJF+hXSnMDcs0ZD0cxbV8c4DUxwe
WaXodAJCAQ7L6c60AIqUpmV4Y6zuQ2Y9yGYnqDqtSjDxtEamHLcT3xqnKUkUxAFKah1z2uSVaH8d
R0AD1BbAqIkkBYonpxp0UTU146/yGX1uNF8LSjsNbguMc1/e9TUbPpbDvYHUsUC764DktZG7YZbZ
IQWQLcq5RKDP2nqheIzyLTK/AAPngpWuxWukMpBbZtatWv7IBlVwb/7KHJ+m4ZEVQGISaAZAFkJf
zumKGRKt5LHHa666wkzU7kMNberWXvDRbCYvt2X75Vrda77uYeJ0tl9zTDv0+9BFrsBGNgR92p+B
F6JTBHxVm8trvDLJiE/DJi6sZUuFhbtuGeYji6nAc6zTK7sZn+QusCOgSmGMxWbltWX9JEZy32qd
nyb3ct9sUT196lTNlRUGgOUS7qsWJWxWziJye6CXwVUDmBD+uLMuCxogbOKJaGSHYO4OLFY2Wq37
E47lNItaI9bEgYYWpxIFBlg0twRlCb6AgcLOWDNX7xMNgB2azyZVnTLLmsxOJoUALK2r9W0h5Zha
JaSn9jzSYR+CX9azujkzbQCNlAXYPc0FZDnpm+cAueE7veyJ7l7esxVviCsYVOlo00R6nadyAHbt
3GrSkDnxvJ3Iq5xcMVFT1KoIuA9DBhgGGia5Ix71qsJmilu+Hx9RzJvSK8TTl7VYu34BJPJHBne8
Jx1A28BUR/zF3uYPgt1Ft67+Q40/uv4+C5mtd7lA5rpaGlyvhRkcjTf2umo7UiIx5ehsF4Y/YxBl
a5+X1Tp/R8JoQQX6nwju4g0U2cyx6YDpDLxB2qY/G91NipvZ8tTmHwLYY1HcJllTmEWkgygLpNSh
sh3iD1T5LquzcjZO1OE2Ke2moVFkyKjjyY4zm9CXycxtSzloIi+54u5PRHHhmEJrFigVRA3lN0Xa
Z83PanSGcHNZoXOzM+GIl6BPQYUI3oUTE8tRI3Wgg8TLOxuhUgs2LtAjmHH8I43QskujysXFV3gI
n0K3pgP7efkLzowQH4AfwKAq8M9xHSx/PwrNymlUq6zFByh1H9r4xyjZTMNXIDUiCr0zW/wlCZVM
dEbhJf7L9x9JWnL8CbqEmGOR4LXI+t6xgE7utUhcjjqa5dEhajOdTgL/dGYznFjOZhKUpgJNgdga
LYdAfY+pS9LMjorADv8aQJOTxe1mwRgmayQsZtwAtq7Ahlbbf9mu34t49uBhKLAlkOPE5g3AtO1h
ODBRR+OZ6Z9qwT9FzU625qDFioUAdGESutdUu5TD27buBT5jWY+TSGSRhJYNBCGKutz4nPGpU5p1
BNqk6BCn3YjiHa4r62XWJqeJ07ucVfbU1IJOEZFUzinKRhzpAWlgEcl+APtCZVxhRsWeFGdcQI4q
P2pz//K2rRrhkaLL349sX44GKqMsChT8XnWrUgFmbPeYFrUr6xKmU0Rx1OoOHonjbD7ugGdtWhCX
6ROIPndGf183k6OJLuZVOSq2DhE4pvcIpxb6yAplmhDYG1Z5iALq6H3uSRUAUQrRiM3qCh6J4lQC
yorV630LP9UAT+DTGLdxOqLGUjjMEOV+12XhVYy+GwTK/FO8U82hygscAF3rTHsqP2mU7ZFhilzk
2LaMCIeXlpj+7Bwsz/D/FfiLk/PIPHQqdUUvw29gxGgnV2RvxM2hCeVd0b21UX2LSRIbNaWrOpdx
TLLdZeNcvQKWQiEwHZEa4h1zPWZlkCHfDEaUyk1qUNDOX4EeCPzwqq0cSeE2sASJQtcmkCJHsSt1
/U6OEr8D6W6ml4IDvnqrAjEEDUAYBqBneQ0TSOsszCFLaj21z8CriXbKzFVD8B0Q2wxB+KHZRIR3
sbqOwLxDIRsX+dldrnZGnWfDAL8ygQLGGCpb0RLXkFpBTnLVf/2Rw/fST5E0BLnUM6dMLSfTPkBH
OxRgLQYECyaSdfZNt4h32USWzTkz0COR3KN0NNVClzSIzLBhVuTivu5zp6k/EqWwZUOwfyJpfGbX
rDB5bWIhyWCrwWMoPRjWdUQekQYLRc9t0WJyj+HBKAxSyJBl9LU3Sy5yU+2MYOSl6DG3pLgp3ruX
11IkcUkAHB32FDQnaPmDRAV9fC14LhIr9AbksEOcbBQjn7N4vMWAzvfLYpefvbSF3F2rFErcmyXE
huhVyevMjYBsfFnEOZbZcp8jlARyMUEnB99IoRZo5qbxhOhEuor6F1a/tc1BA1GUugWDCCu2OfHn
ObOD5N6UwSGFMUL9QLudBuLRMP7b5xX3Mdw6M/C39FMGhXvjIe8mr0oPyOgJhKyu6pHG3KpmGrrj
hhoap+leY6NXTyJGs1W/iQn5pXQFnFJ+io5iq7K2n+HLsIRK/70hwQJxZtaieuuq+zoStHzIsV0S
LaiSGoKGqrXLHuQ62otiCHzXuRAwMGEEAxOdYNSQ+diSZYqaoQEYjgRJDAnUTWVHfCAL//W2nIrh
PIhE41BLNew9sBJ7VBVlcLfErQgK7nxrTqVwvkMCsEHbt1DGnFU3T14Y+L3q4GvQPy6fq3U5SNJj
UBRRAj+2Yo6VnmQGYh/SGhtQIW+ZRUHFNbSbwVBFmZBz9wSlljFmGJsCy+ZcvWqmc4VKFMaVYQbR
9KgljkndaOFDTTy8PXBqBW7j/AydSuQ2K480Iw0zGfeZMd/QhtmtFd5fXsFVs1u6L/43pWZxtt3T
EROcE5SStOyrKAbymhIabIIUHFKXJZ3HjihoY/AGAxYYfMU04ukpyippHpWJoOkpLcGhte1b7YY0
ql2/I816WdQ5ygKmvsFnsLSXYqjybOaxa0o1NXMDYePkKG++/Dja6n3pVAf0zqV27Q5vodN9KaJZ
vl8p+9Or5FQut2EKnmbmZOjMofaTuc+u5rvGm297/14BTTq1O7vYdPjfNLQt+0n3Rqd/bTaSZ7q6
B0rSbfKiOIYtu5ZTXpVu6w2v2vfLK6MuX3DpC7mTaZYlA1XZ8oW30SZ6ql6pFzmma3n4gkPlDUhm
z3vTVh8AexZtNFsI+HYewpwuEXf5zDKgpbsRHwB2RsZeFeNJSXYkv5s03BQC414Jd0+FcZdQLKth
Kc0QpmauQq413QtBFyaj5Zf5QfXIAm+uBC5p1cyPTI87UNPQJ0Ucw/SWWpvWobOBghi9tPtgS0U3
4NpaaoYio+aG8wuy19MjhZGBoC8liiNV2qOk2Zivs6ce8Hlh73bsIOp5P29GxbE6lseZdxGDCD0B
+oZTpM8tmhfkm7z6wOvPscpraUInkm92TiNCiV/zu8gFYs4DLweAhXOOY6xGKUqzABYz3oJZUYot
Ows9BdR8Kboo5WdT1Key5hPJ0p+CzCOqv3x53oqBnDWBNcBpU39gH7R8GQPBOTxvosJSHsng01W1
rlZqyyTcXIw9zsXsdt1nn8YfBNyvbFLulIocKj1zZXPArFjopfMrxjcELvm8RYb7Cs6AkiyO8BnQ
dBgqp9K/6qC4z8fSVzA/GKsv8xDiKXMlSfGG9R1KKdnfpq05+ZxBpaWi51aBVTAwVVMDEm0mr7Ny
pSd3dBRg+q5Z0fGCc46vLPqqpg1UlZHtZBUoNKirdd+1xkewnTZb2v+L8zmWyHm6UtcS2syQmE5P
Sb0Zcycscxs1RrftnxsaeiAxZvLfZ1pPDYtzeSOwTsi8SB3pcwkoRyKKuUQLyTk4M1f0pqkgoCnm
yA4BwiMNvd0UMUZHSk/TgpdCKuy50B8uX11rzu54OTk3IDVBVZnUghvQQFQ0PpIUtDotdaroR5Ls
4r/PyizriBwJRRceuGY4e5lbjLtmMkwzzH8ObY9kjF2AVOavMSJ/nYA/YjgjUeugV+hyAto52QbN
dE1a4slqLXhdrAXKx9pwVqHHbSg3GsTIzUMxLJeS5heVQ9Fwe3mX/j8u5Y9CnHlodTAloQRJLKqc
MWs9PX41ZlelGzBZgVthecLrzhy5mi7qZly9n5YxXhNgrgpQhTl3Zo6NUs4kbJwh04cfeUrGzYJM
sSsqClKrLg/6B6kizSuYc2u3Z125J3o1eCzJRWxMa1EAUVTMlCoEmBvyYsxHT0YtM7qYsqhx8p64
UfJUAdwBrwRCPBoLSgW/agF8SHcsazmwR7KCUe/jtIHWlHUuYCYhE8Lm5LnGuAiz3nNtcqHmodXT
Ta0a7xR8ozJ6PPtxuJL7n5KZ+zD/XSZ/s5TIwXj0RhulTRIHDzVLwE4BxnVLNCgqWh/udElRlaLp
G98syT/GYjcwv5IOJZK4sugtIJLEHTAL1HlJlEOSaYVOSb2ieirlt7COvBK4OJeNf9U1Hu06d8pC
JLAIiImRh8/8lgE7xMEQMZCZKzvXY0fqXpX45bLE1Qj3ePO544boRaKzgeOm002i76TOwzS+lBhO
wMBacW9NyC91tkDosjuXLI5zxRZYd7uWYk216p52sCb9kDWv2ax4DUARC9ba3ZIyvJ9Mm1l7EPIJ
5K8GaIDU1VEcxnwZPztda1NAmzZuHF25woXnDEZng6loTm5wzCv2YYYNZt4flNExhqfB2hsyhl1F
TLLqumX9+Qpu6Uk6ddWg4ivo7a3xjuGdDXOTHRqbZZs4LaI3e3DlXel8q+zI/olyoeynruRnnuXO
75dXZPVuPFoQbkOUeu4ZPE7jjBJA99XhA0kM8N0Vk9vJ9U4njTt2uqhHcvUtSY6kck4uC0MrahRI
ZS61Cz+K7B8f1k1sB98jPCPR/I8FAHeIjbFOTHHtpO0oenCLDIFzfbGap2UGphInZTYGj50hcstK
xNqjLVHoubn/3miLm6gskQBPMh1SgESWe91WBeGdsfsCT/2XbmvfJyf0qtdAsk033hX73mttNES8
aw/fFCf2yx06JdzUFR9Cgf3x+aiuaTWzXz4rHBWg57PK0P0gjRSnDNn4LPWm8qAAzGBw6BC1+6aL
Mcib5HH3gygJATVpMFlfQINJDn2jWNdym5utHRYWme7nMWjfyz6tr5S+CTCeRvXmAS3anT9FCQZK
1CG13NLCy7aNRwl0kVVldXYU1UHogUy73oeJ3m4BWqodSjCf23ItKfej3BmPyD7ESNZSSrZBVJmv
eTME+5SFU2ijubZzcaSQ8daG+aagVrZJpNHaNEVTerUkYSzY7IqrHIN6LpLLaDHLWfucldOwDwwr
cka1LpFBt8ziOjOJdVtiDPcT7Hbmdd7NVQe2blNNXLnsqeEHOin2WjSmvh5Q2S3Qc2qD9Icgxdto
73GbdnclTDt3QQ5foQ49F+7c5tGTlPSGjcFW867N+glAQ4R1jW3Ms7JtK1PH5F47Gd9kLOAhqsOi
RYawk0NnsCpZs2srGrfoOgx2IL2hQK5NwN/TWRZ7Med+egL0Xn1njmN028iAA0O/rrKrZbCiZUMv
/4xrFY3PJZPf+1a1dn0R4RcDk+V+NdEa5NyT0u4YilH7MCXyvRwMoeaiOmU+93LfXkf1ZFRuXcvF
92AGdX0QGV2wDF1pW8XMKzQ3hhkj+w5NdIatRq1V+Ehlkc5mQaDnKDal3WijHKROtpmowMUbm/Ce
BCoo1csqC24ay1Dv8FCPNNuozfyDsjBogDIZAq+loUxC411Nra1MCnInB2m7j3JNuraMNmudSgbe
OzOC6afR/A9nV7YcN45sv4gRBFfwlUttKu2SJfuFIVst7gtAcP36OXTc265CMYrhnumel4lQFkAg
M5GZ5xzL8KopLcX2uoP8XT6/doell6YxoVKYqbgs2m3yhFzwR+o/ZIfQ/wUCia12X+0T/62/sffj
JnYhIrti/YLVac7y/3hKebC0iJvK6WZPSbc/WxTVdvEz+Eymx9LVvk8BDdJHgD7to30f3tmz31xD
+S8mJg4wxFBeRhNWbj+NOa61EWVYvagMV4zs1jImGoRt/1Gk9FfG26Nd4qOZ1bi/vvTlnHymhMaV
AymIHKsTpttFPYAlPifNJtTB7FhR5yOLmbHheofIYClIOhWUZdWcJa5CUEiqqnKl0DDH4ovPf/Ir
pFhtC15RFX0vDz2pu1AZtoayn4otBNT96+tddMonhqRI3GF0VUFzrfFa1qLc22adW6fh0VSV721C
3W6VP24xA8RoMBTtwT6KKVDp0aPkmWMOBmgqRX+jI+KM1Of2M4FvFhGeNn433KZr7PlLqwQ1wcyX
g3QXT+TzJ4chRq3NZ2pMlf8sbcR5883ipkvbN3NtkmZ5fajEWZpOwZYpP8SjGELeDceOWupLNABp
f2MCLK20PsWwmm1sEuYnZE1oeimxAIs5AcRfx5SE3KzonCSqO1E2cEYlBlzTm1gkQY3n+fXTsmgG
8FcIUvxGAknPoKgdC9aFSKSracczx7WUW018XbcxP3Dko2+e2JAeQHj7QulRg43IrtmGcNHtWRaF
wXUrSxfs1Mq80tNH6DjqLSOw0vUAf2bM7QE36TWfD9HKI2v5QOgoyqBljtafjDxLrLJOFQWmzJ4H
U480GzGEssljTbUHYZjllqizxZz6Rq2vufKlLwYMH0atZxI5IgOD8DqOMIctQAqLQQjAQBPVcvWo
W6miLPlr3Oh/lyi5q4k4Wct6PCQz5YjL5oPK9R3IhddUyX+QEJc8N9xarHXolnfWsOaGGbCKOP/n
H9HM8FoAxLXxar4LdTcj2w6kzZo3aZ41DS4j0LFeY2Nf2lDMz0BsFJQl6NVJDtNoRwX4ESzV0Z9M
nJdihOb5ShBatIGBNQtAQvxXVn4ZCjY5VY115VZ0w7St1tW7uv7n+g1YjHTQ9fzXinTRUkF5LnpY
SYA5JWOMMJY9MYhqNQb1IMLWeQXnkF7r/Z6bLw4vlf8Qe05/wLwNp3ewBvC0KpBliGx8twaU36bk
l6LXOxUCp1ysPYAXr/zJeqVDahak67sQ6y3jrei+JcObSL517cpVWBidQeESuHqgoR20n2zpUIZF
XJCqRe4ytdnnpNJPMK8Epp25ehMdO+NXxyC8DS4mt9WTg6EVLi2yxIWCbe86Vpy69fBZU3KbQMba
EGt5xdLD++THUelpWNqWSKIQW95PLktuJrptIVtlNl6qQvxkjbdk+RwD1gnYgk2Bhjz/wBpw/2E0
bwX0Kdy6JD5Xqr1RlivF4kXvM6NH/8+MdJAHg/RQqIKZtHsT9X07pf5obGhOQWcEfgZUjdcI1NcW
Jp3cUZCQxR0sqsXkCRrlLsXQcSUGtpKJrxmSzmwUW7VBmnkH7dfMvBugUFKDfvS6J1jcPwxXzuP8
mP2VSZ0NO6uTWbAb2rt4/GRvfXoXjanfhB9AKSJAuQ2eYtdNLt5FsPtTApg06s1SQpbXbWuFWgXf
Y24oo5Bqh4zX7diSzXU7i/uHaVgTFH/QTZLpwjIkfhNIfRF7MTU9GfsYNT8wJwbXrSymlydWpK9U
0JlAa8IGMrM+lsAebSKhfLcFnVxNax+rCKyC1y1esmbhhXYa1yWTg3Cy3qo6vNCUX6J1mX2M0Tyj
IfMUgnaT7iKntrivpoEW/4jYAHJ/e2W4c+kbnv4EKRIOepznaYyfYLPCV2NzkxlPozE88Pbx+mIv
thczTICZIBqCnwuSuPNHPo0TUxeCPRG4vRG0YG6YqT5Gcw40qY6DIj7LpP3rjO23QRyaefoXmB7p
dAKrYw8RnRlDFA4v3Kh+r7dHqKz69jT6nDlg0SqgM95voRyyBhuc//hZ/jsbB0jRoMDwYPhYMg6h
SQCJJnBcDJ3j817dKaqzsVXo5ZjmRmn11ynpwX0B0Rztpaujlbbz7CsvrGM8cf4FoOOXgRwl4AET
NA4BvY5+9jEGa5q16cSLY4P1YVQBCD0b7yN4gPOvmXfRwPQuBEtgGBjxnpGboQza8v36mbnMDSUz
UgEFMrUKuqHYRvVbrQXRq/5T/T76ICUzInfcXjd24WUkW1KcG8qYCDOCrc7e4wHhJuzeoWs3fv4j
8pfBwwuvH4y+YSJXugUNn5KJNyBgLc1hA7RN7aKeTTxbkHELb5C5pdlnfl5lGIpPxXAHMQdUQhEa
D03RPnZiGtd+0byF0i9CeQB6r5hkNK0LWYgp7fECboG0HFkWgHYNXVrihm13YzP0czS+s536Dpih
7WiGt7EdPcbsb4eX5o03QQUJfAD+V4as6knYG5D5AGuE9gW+ULegd6GqPLROD0bSYSVmXSbMv60h
qZv5fPDkkD6z3jUgr565fGqC1waUBI9OqGMejVXse5dY6QZsAvcimuw7TVdvU6rYfjplKxf093eW
dn1+auEBTuCfoMRwfn9Ck8ZDF8YgMqmtHg/JrtBVVKUK40VxUs1HKZhjXG/IyvgGSg24ZEmaoXiH
sfFpb9spfxn0rJ1codjGB+1QdM0UfUIEMYrsoLKxjDG7g7/kNsJqXionIX4d1iibNqUYg2iyilfN
EkC4ioq8qMJQvljZsK2TKto3MwzZLhdj4aexMR3jxCjANBqGGLtAmf2hRZ3/r9+3aPWiZT3vBOhW
UFI63w01sdVuJAmunjb5gFNgqOtHOK2JxV1e8HMrUoYZOmVh1jmsJPpNnD63mEjIRu+6E7n0i7CB
OAf1Hwr2HxmCVfOiCicHNhgmNyYIyILeB6zzMajMrhu6DKfnhuY3wkk4zZxShBjuR4DRoBum/IrY
raMHE3fZ2mzPRWI5lxxAgaPbGkEhVwbcK2Gbo+kClwWqObO87xJf2M9ddYerklW+Xay8Ay4eN7if
cxYLehfwYGBEWFrYgPE4rStzzIpDsFWzH0rzlwBla0a421J9M6zJ1ix6BJD86DPCfx4UliyiuWL0
rY3nM1AJDn0EQKJs30r7Je4+WucxAREd4k2zNiJweRqxTpwUPKnmqRGZWKDPtdG0czCWoU+2G0iI
DCW7t7ixsp3Lq6OOg9IRyJ4vKrUpFAF4P/NfVWEPCZufzQii/pvJcVHWpEag2YcOMtH1Ws5+eWqw
PAdlTCD2QJMqP0eoIezQAljCs8Tr1D4PNdpzR6G4mfKq8h1ZI065nADCscEArIqKrQHtQlnooa3a
uoAoB8iuxGvR+YPuqZkfJoHIXDt913PgbHbEuqP19vo9XEq1Tu1K9zDV4lLpKdZJG7FN7GHXj2vq
VJdXHUsDBACbCRTPBVshF73Q8hJfEErwdbNn/W5kxSxDhAH9lUfk0qE8NSXlW1kVoQQAzguPRgLw
emtHzdxVi3xzfdPWViT5+yiFfCuPYSYkKCkOD0P27hSVF46f8erExJI/gTQBan0OHAp6Uef+ZGax
bMpeINJCcs55clLHdcxHHj63gDhYawSW2tJ5sOBJ8EoFu5clOxPCFJSG9DnBgyyMIK5TP2sTvlyg
sMcm/AZhdsW4baOPsfIKutNBAVHfxYCPkHRLuxvV+OQKc4v6OZ92peUnZfH091t/+vuk82qxRs/M
CIkHJuFT1e3GDbcf9eanSFZSnMvmJ24k3ClkztE/gYuTngg6pw2JTewER4Qqk20+gu3ZZTEAJdkj
s0Y/Jqj2ijLIK3j2/EeNvn3o5eyXqR+y4VtJB9caPNV6XC/mz+dLzr5Of5p0zFsNYIRh3gRW3Ixq
gc0P0DhA20p3XtJiY6F/le0qxc+jwi//A0kaKs8wD/kFFL3lxxljYGBCmz3HOKKKqQlI3GMAQF25
yEvu99TInKecpgdN7ZTQZ0V0Id+FcE2xtYuNHr/05q4I77W1Iv5l2oNvfbImKYQyNppRAvYAzzKB
T7JcQ78bIPrprD07lxwHyH1QmrWQXaEXc74slO1x5Cp4Wz3rINi659NTjGeLQT7yNTTZgt9AuPwt
SwSxjIuGD3SFMbZiwFSSPlsRhxouprer+4i4mQ6o70o6t/C9zqxJ36tPtShXZr7BLN1PrIJEdwyi
B8O1NLcwfugQ/YVi83VPsODrz0xK3yyFjnNpdjCpcT1QRev31a26djAWPtiZEcndTH2ahnxmhYz6
wmX5AXkwttWlmBNcmzbWFr8Y7hN6UuAdwwD1+eEoytTIjXHew/w5GfZ9cidKHWM0vhkFRvmSpIYX
A7BZfibWMZx2ts793kAjTZ0BJKCsF9GGh4DstAGEGjFFjOGiboOMIjPcKr7vnb8PgugM/fm50tbA
P7alluDvc4xhOBhXI3xrs5+9QgP78/qnvmxnQC7n1NZ8/E7cAaeQ/JvmLCVkPyvTb5S3BNxsjnCz
eK+OAU82tX50SKBVD8I6FGPpMe3JMd/zIt7WayHoEoZy9mvQGjv/NY2ah72q4tc42GZQF0e3JoDy
meo23d4qIzfs31s+bE3zoSz8fvgP9IfYjH+5PeWGo4KaQIPu3LwZD4Pzok0YoKoOQ7wSABfv1x8z
MthGmULFaRKYKZv3hPd+VO9KVq5c4iW/cVq9kfxGDRECaB+jeqPTfTf+Y3Uvmg5axwOLflZ0k6jb
lYM0O1gpckJPDY9BcO9RpPZS5tY5Uzz0xMRbiScehnDz5NWugjw8DMYEJNibjpKKQIqzsszf3+TC
LkRgUXBElxht4vMjYxfKyMPKAlTebb61H0Wg/9T9+LPC6Jyb7HnmRp9ofb6JW3ozrthe+I5Q/IFO
DaZBoCj8O885uTsZFyy0Qcs6M6pR6hdi2w3B9W1d+IqYmSZAfKg2lOxV6XrWhV0PLFEQPlmCThTA
QVuMtIGSzjUTH74oXaO3XYjXpwZ/111P1mRpJSf1EOLYGKmbp4BAJfupPab6Sh18ae9OFvb7cXpi
p1Mh/2oUDt4TSoSpRBSTBoB2/sMHOjWiSWejbs2yhOf2YsiPOaGnO289X2mTLMQxCPaCcnimg8VJ
kGJLZilToWc4f+AKPDZV6+kMKIU+CapZMbFLV/ZtIZSdmZNiQ6LgCaGoOHO59plhQC3RiJsrAaMH
ir1c02FcsyYdP262aMuWsKZZPk8/IObiGnw3ZL6pPWbt1/WzvhCmUbma2ZDAzIJALZc+bTN3GKbE
Mu8GhJfbbpO/VNvxwPdNQPeOp7wmnnEfHSGHdqf8AAFuUG/Tow+H4zZB5F//LZfH8/ynSNusqqFV
trYChdqG4bFxEEaHMZ6VOH9512AEPAEoCGK06wIfZE4FOkED1quBLtJofQYwcGE/2cr++mIunQjs
zCw7EJNDH11Of9IpqtQ6gR1CvjI7QBlrYm9ambqd9VjYvRebKwHuckR9LtueWJS2D+/qlIQhLOr3
PxJPf2+CZ2Ditm3w8stxp/fk6VfRBImH8awEg0Ou4SfH2s0P1XO0mQI9QGlvu9Zgubyn5z9JOsq5
2ldkLObNDgMQnHTOoRHfHdMv11DQC62pU0sYJJK8jqPWfTkf4wkTRijyhmGysUUY3YJlKN0kTmEi
c+LVpxFb0VNMaLy1Wid7uf7NLzkHzj4B1CzOf4U6kqjvLfyK3uN4NQBW7wTiZ666D6Nfg3MgwbW5
UXb2ysVZ3GYDujF0ni8G19i52ZA7XC9UVJ8Fu22gApJrj9T+Ppg+4yuecPFUn1iab9dJBCnMVOXl
XOfOelAvAroFohUV6hOVsYv7t854NMQKtG3xvp5YlFw9NULo4eqwqNvbqg8mzUY74j6s/0MnCifo
T9dDpmI2hrgcxrkfodpeYgFWBPwQSB9RC+DtV2g8qcnL4NxBqub6mVn+dn+aLdLBDSM1jaxyXh/x
QaLucuXBcoLSCdR+pfa86F7/LFBugpOIQ4C5giXFCDA+208PZHy/vpjla3hiQwr+RFFqgMFi6KzM
Ct1VUKCYLaYmcMIEohmvXeoq475bU0xeWJkFNhYU8FHgQn1LOiNpjOlLmiXI7dOjTR5y8734+4wD
1cMTE5JzTTC2mPYjalRZ+SC0B969sgp4i3utXXHjCyXLc0uSzxwYpm7QIsRD9D37MDxeurnbfQN+
ZBMd9TuX9Z7hxh8H5Dz3zUFP3a8v9Ue+Uv/4PcJ6nuDPxVI0ABEnQdgmN8ZHsLfQoUUTmBAQWLjG
lh7UD5a72bdqm9+UsTcdhq+h2WgryePCbTizK/kX1qJIaXewS8OHXH1OmUepZ8Chp+Pu74/qmSnp
0IAXmtq1hX2m+ZdQ3q1/4h4wltFt2lvCvpH0NgrX8FoLvuzMpHSIcsUwSppidSgn9eR9UrfcOZZr
vZ75r1z7dtIB6sasmUaKhTnkc+w+dMUPnScWP+XJLtRWfMriiijYScFvPddQpQeo2vZN3PeoNBoo
FHToymEMMsqP+toE6OINP7FjnMedrO80PROwE033mumH9Uu3lqvMf0LeNhx4eJC5Tm7KCVspaFxp
IaQsMEMHRtcvfa3SvGyAqtBmVjEAJT8rdYrqgD1BUjMiOuhgtOdpldtx0QRYxufOFAa75CErAP/M
HouevdRnVT9ZkIa6fmuWvvdMY/7/BiT/HguiDVNZgJW7eFTRTNeyezt/itfSuaXPfWpGOlY8ZR0i
FdYRN/up/GYzNw1X7v+Spzk1IZ2oOGoiQP+wElp9U5LvYHamCgpwY+bma+ysi18FzDyUYjxLI/LI
Ls2MnjQq+mtmgkn+2muKtZHWNQvSYjIkK1U1d5UFQgLqQLW5koUtfpCTJcz//0nex0WNGp6DMQAl
fk2MF30cvLRf+SKLNqAkNCuaoegntwajcCpZNqAFXw33iuLT6qgXX9eP70L6Osts/2tiPt4ny8h5
1GRGDRP1eCeo2zq+gXmu+pYpu7ZmPvCmK/dlyRdrFBOH6F1AP0SOo5huIGjLo+oYjxtmNb5W4ck1
+op1hH9mq+yZi4f6xJy0PmE6MdTlYY7yY092if3N1v2R78DueH0jl7/Vn3VJwbPvKOuSCYba4YeV
bhno7I2VI7e4FjSxZl2yuVMshTHKnAIiMyjI6/VLX78m8d6IMIr3nKYrGdeKIVvKwFnbt0XB4PjV
cdcVL8ha89rrMJdl/S3SC6M72p8VyYi5SKMYLMTAm2fFb0oOyk+eBM7a4Pmih3agmQD9dajWyCdO
hZJFCk1lHHGQ+EIqCxAotYVM5EqGuOhxTsxIJ42INCVxBDOa+qgo72wNx7L0kpjFZvGJKSZXkNif
X9UqtdIynAcF2FQA+R3f0DTz9UTbAc9+o/Z3Q1lilkQrGSh5mhWk6EJLBFUCE9Pt9pwDQ3Tq3Hha
6olNxQRXdEduii1Kvr6quGjcghbFBWFc6g4rJn/3H+T049Tk7ElOXBM8RQu2IZjUtuU+eXop9yCw
IG+Ox/z6C9WDbXxHHskP3VOA+HCVz+v3eenUgNVNd0xooOEfabeFXjj6VOKyDfS+AqbSTHe9gpmv
/XUzS24Dcxhz/oDKLNDA54uMRadPDcUNqMhWC//pxvsRWOfrNhZGrGYQ2b9GTOk+Az3WQuEbRtra
wwiND/B/aH837K1jeuAZnMqnFIQC+crlXroQp1al0k806mjazlab8iYBzqo23q6va/ET2bgIuNtA
lcj1Ca4BNzzVuBACBB+tZwCBswUJisY8ZmeW8EwoExT+dZtL8VLH5CTB5Dx0C+XMZdAnEA8Cn++F
wihHF8qFKWi+aoV5diLo1uw1EPY3dXKriBC1vbEg2+s/YPHA/Fm0IX1LNJCbjM6LZtVHYe8Z/d62
m+smlj3NiQ3pyzEA2Fg9wQax9uAycYHMw/DJQy4eJpSIm9CvFLBxBdetLgUdAOEhm4eYMLfIz29C
nitUb3MYNZBK5XrAcOlCJ3eV/JtWriRWiydn7hCiwo8qvzpv8olrUQu97RynRcuMJz6IFUCAKZgb
5xryxFVGmMUvdmJs/jEnxqaqzMOBQRpGrR9Gwxf9a0ZXvtji3jngZpwpn9G6kLyIAjh4XuY9Phgr
oYituDb9wMMaM3hQN4vNFX+yeAf+WJOZX5jFBGZgsKAxAck6/T7x98iZHotSvVFLilwBKAFjbcjw
MgIhfM9UudCOwuyaaUprrFKA65GVVF45bgbjHgjnDvQq4PjxOrAktLfwZS39opy7kFv1ibn2orj4
jLN9yFbQub1LNEeyHyolZKtEh7E47dAnvwz2GEcrMedySPTMxkXNfrTN0LQ4bDSO8QhQl1u0hjeo
v1ITGlapttOT8oeIxu9pq7haS/Z1tqY8fZGeS79AuvoglhJWTvEL5iFLB6MNTXNXx+LGEoNvIjsf
k1X99zmSnsV5mCQWiBqwtQuAB5bPSAFiVJ5SY/B/qwDA/t5OM1GKOvbiKTa7+pGpillsNLMGr0xo
2lF0JJGR7ey66vRNmxvqIXVov/bovohg+GVzxoVizjzYKgM/rKGrhko3SpDUmVtlops6+euscTZh
AYQFsMbC9GdnFdloI+QDKhvtmUY9rWtWQtaFs5tNgBLAQrVozn+lTEZtR+ZMaEF7dVHsNBa5ynDk
iQZdhr+nO0BYJFCKxVgaHr8X+1WleQbdYrCkppCcgwBV5RzM6jFaCxVLK0I5BywHyJswjSCFCmBu
jQazGPguhXpD1F8qY7tmUCF2ZyorUWnxSiLbRgKF+eZ5zuLce2tAihuxnc3TsHdh/zqYk6vGO5Jn
XlHdK9Wr1d605qHoXmNr5bm3dBVPLUv5b1dqPIl5XuEVdmuzW1LuNaJ4pn5nx69kWomIlzkiTslM
34DnhQ7woyzGnBpxVIxqBTpwDBAYlfY0di9OVwdRVG3qVLhC729VNTtShR4aEn6/HvyX1go+EUeD
ZiJmk39/hZMYCeI8s2VDWXnoG38bzdjVKn3jpNSLufqOw3ojImPlWiyvmOL2aRYmVSCWe/5llWHU
4zDCiofMfBk09aCMxB+IQCvPio4W6d0xcw5qrXtm+FkY/wFcC7eHvca0BtqUthxQ9DAmdidwW6rm
SGtXNHvaA9wLEDsKSdQJqLN1wk2uQyoAuhfAsqx98jlVlB0vRsDnKXC8ijX59c2dJGxaFY6hT/ek
AGGZCRiq8hXDN1jKLh/3Rng79N7ff2mosegAIGHkGtne+a5DJB4sk3OAAeAvPWaCF5BzE/UtahvP
U5vc2WkIymdHrMzHLLkMB8gBaCZj/vJCSILovMwT8Dx5BkMVoIV8mDXeJ0PvqiRa6QBcJGPIDmYS
FowemFCZlclQwtrgql0BStuZv5ym3QK+6IuqcR3B9zaa4Nf38zJZn82hIQVZPhhFv/t8QyE32rbZ
jE5A6vM8gMKOaoVXqVlAKAPi/aFzVK9rw01E1pRpFvb0zLL0KZXKSlmvwHITPvRh6omSI1uPNoCI
rN1V7fKowhSClwH2gFmI9nyRygimMqeAfxCTfjCS1EXkP8ZK5Os1D7LCACIh3lT0abLim6m3to26
Rha2uNh5tHsGasxw7fNfUE6gmotLLHZSfgjztlGASRJPELj4+/uByXELFT4M40AqTVppS4uwwZ1E
mkvaA6ddAFeNsTvySynFTimGPR4T25UjtHhiMbqINy1ggapcWTJq2y6pAptZsjerXWIeSLTl+c5Q
oYWyiye/sN9M5Vg6Gy19VfDsFf3OtO/btRLXQhQAKTBI7eGQZ7ivlGK3ujPEyojfkUI6Ldsa+ott
3lIeell84+Tm5vqyF7/oH2tyVaQbRpakDP6/rDpPqG+sif1hAN5nzeUtba9GkeD9Js5CSev86IRA
0vVtO4ECRQWtn5J4qdM+laS+ifXsaXD44/V1LaUseAqC8AL1OqDfZb/eqIOaQKC+wizgCGnV2q2b
DUiMXKO+LQsPGpph8hSW3xKaeBjhuG7cWLiop7bni3wSyLOuJyqHdhuQwJE3hemRxGushQsPMXQP
ACy30EMwMPJ6bqJr6jqmIQUBMybRadp6pjoiC0z211eyQH4BYgIE55m7CPKHcnfSbA2zA80U3Bt3
qm0SxQaI+AtgPmnk+J055FuAwcAiZ8E4htmaEaOqcTQiMYzMVwXBZt9VxbjiCRfO0sxkgn8xlg5v
L7khTFMbxWjjsVRlTWt5eASFRxpnYOJ0tBy5vc317MZUwnSNS2W+e1KygI4DUjQQeamWKvcErCSz
2grlBShvBRq/6y3ma5OFwcTay+lH0YC+f+0DLDj9M5PSh07a0um7ASZtOvisfnW46qlDERhK9gBw
BEAPkL9FZjO4uaZuc8fx+lBbaetcosQQXs35HzJL3mK0/Py0FSOStLTFZeJ64nY5imHQ0GbmZ6eL
G0MtvDBDwDM+nMRC7YhvjRZCbaTcJcUDp9YuM4Ubgts1tZKbkFrbWFPcoV4t8C7dOhNqJ4aOJx5K
JNKp6Jo2jUYHt67sKLK5Q5u9p6GLTlfYRK+pUe+N5J00GH0H87MGtGSachAyr0G+ly4mruMMpkWl
xpRDFy4AIPITEp9EV4SXGGTYcbMoPb3hK0+jZUt4Z1LMO+MNKJ0MgnHYvJ1LBqmh7SiJd02XB1Zu
rwTGpQhhA/o8D76DW0r2AIOqK2DULWqPxqgMNpAQ/UyqamOssb0temwMEKH4CVg5KFGkQ1aOiZmK
lNVexcJQC+JELTamygUSNwUzYnS030hLyK4AEvPY2A05UouTG6OsoToI8r2VCLKwbjx1CfAE6Gfi
P7MTOnHieIt1PJ1A1JUn43uSoyen8FuhqHvarAHmFtNXgNgQ71HTmyk+zm1VSo1ZqxCNiYa7XXIM
q89W+dJEYBvvprZFORPN4euO/bKxNJfvTkzOyz9ZXpK2YDvOYBIyWD5/Q0Hk6Se4GfG2ddsbQEHd
h0P8D/g9PNsvVtzJws6emZZ2doxr3jhpV3tp+Z2pmJ7PoWtz3+ti5VWwECbO7MyZ1skSwyJUq6aF
HUXLQSGkeJkzeMrQ7CEe7upKvLKlS4nb6Y5KiVuvAzeR9NjRXLxPfHCn+rlPnlTFr0JMDq0B04Br
wM+XghFqFEhyAKaHopkcBae0SO1SR+qGyprdgkFwGPi2YWikBfAM1oELjelB5NjOZiwE/6bWXHtQ
TGfUD8IuMO3d12TYWJkOYE6L+lu0MaZxfNTGCqOu+qTr+QOcLNtigtqwd0mYDR8ZGSrMwI6RHsRT
BG8f0Si7aZgjel/jsQFiC6ur4mAwFX7IVXRIkvl26qUWKl7RquTTEWqz05o+G321cJTE7+K0tL1m
COmdqbDUdAmh9YMeGeoL00j+bqoFVcG0RSc8HsF+rXpGQkLNjSuR7tui1/EcGp3MJ3bM8Rtoe9fZ
oW5CgUqJPghPah/FdP6sMx2jyWgB9kGbCvUHep1waYaaWFBTK0D+tjFjph2ivhoKV9RzhxkE5GYM
Wnel2NdwLxA4JbnhY4pO3TlMwwCwyFttAnZ8QIMmHUoGD6yO3aHPYgfyDlFKPysCMMrY2s5XFtVk
X+hOAvI1dfSdHCzbB+iVgJtDjB32rcImu1GTgg2O2W0LYgRhhV6rGsU/rB7bWws8lY1HsjRsN0nY
xqDf5qn5VTih+CCJGKkHzQz+C5OS5XOVVFPomgx8v4IqzlduYnuf7MqO7jgZAB+NxrzS3R7EMYaY
WNBxAFoR0xA6e2DfuzLUBi+uxb4QbXqY+r7co36q7VUx0A821OBk0cq4qDa8wQlT+KCXB9Mc9eK2
NCsaaNCojHyet+WNXnXhrarVCt+NJbEjqAqrCkjXcXahEa1V7xofQxCNOZjf9fg4MQjw2aZTPdZD
Gt9YfNQND104NrnlwBg6+13VQBwvi6NNGvfNnWJO5NngQwKORdZNYCPXK4081GZX1kHbkzZCD5Lr
x6HXmkDH2+pn54yg0LGs0kQvVrOKlZfrYhRDrRy8ubM3v+Ap4Vzg9BQ1orI6MzNtY3ar9d+z5E5H
Qyjd6dUXn/xRP1pgrLvu0pdM47GM0iF1EEbBX3Xu76pOOKzJkACJxDw2XXdnRp8ZWC/NrN5qMAcB
uk2l9TcM2N4GgybCWEPRLLhAEOsAbYDRTzAEye2pUlGnIkaK7LUKcTVvax7b3sCtVL04KTfXl7vg
3XVMS1pIsTRwXMuVS6LkZkOEgspl61rWXV1YXtLsxvAl1NdUcZeWhZrZzBA7N2flYlY99nCbDGz/
YWOgSsqM6kDUoc1dzDqBAR9epPWniGTQtmqtvl/5rgvh8iwRkcJYrmDIVbGQiLCB7SgzIQSOTwxI
bqQ/XN/ShXWCsNtwUOEHMBvyKecHSB9Gh9MRDFZpVwYheJh8TamelaEPUrsIKLBtw7AGclzI2s9s
SnmIDcLGuEthM297t+Q6Evbn66tayJNBWYaMHM8CtNXlibGwdhKjGRu0fkzw95SYVh845BFW+NEW
9+6PFflpWMZp2019C+r+1kFQVb4lGQRPSstT7HxjR8a2i5TtXy8MgHHMLeKygbtf/lxCH5sEOnwI
Y+BzaNQWiUa4zxPy9+ka+KTAVwqFalRv5LKjQAeC1jHEN1IiAm7uQDiGjOoFYLXry1l6ZQKnhmcT
rhgSN9l7jOAl1usoqSGL1PfvbMhs1OBHyMV5osuhvAAIFX5FnGbj5Fq9EVruiCTkR9i1HYPuY5Qd
y4jYN3HTObs4suIgDOvoJk56JSBG3qFW2VhZ6Geirx6G3KLM1XgHUMr1ZSzVCE6Om1x4qgS4lqcM
bAEY57PyBxp+acM+gdhr/hAXz1b3z3Vzi97h5NzNWeJJkpuKRAPEC+bi8JYOOwwsT/ybsQY+Xbyl
J1b0cyuJiRK3Pp9ubqOc1qeo8mTxGg556RmEc4baioYRDjig+VecrMXpktJUWw69SQvl1XjCMAqI
Z6YfsV66JP7RF7NYa2GQlcR9wUGcmZXcXtaUhcZTmG3NPqgLjDGP27xdMbK0gyoENiDgrYLgS37i
iVxvxk7F67ZDYy/S4/ssWsMIrZmQXCmpOGJlBBNFkeFuhPGjJtYk5Rb2Co6GoIsOsqa5ZXf+iThU
Z7q8wbQ6VeunslE+ojDfFGG98vheukSnZqRT3SY5twSFmXliNb+vRIEM4hasULkT6N1bYa240oVk
AsvCkkCSOlPkSEegYGi3FCbKeGKETlQl7tNZwWgwDpBABXvemkzZojmKvwl+0XkcQTKXThazWoKX
aYj2FJny/5F2XTuS68jyiwRIouyrTJku095MvwjjWt57ff2GGrvTKhaviJl7sAdngQEmKikymUwT
4aql5sgFSJdIcCp4M8esqwlNO3/QqH1RdsMgRCPQKuF26mtLln/V8alRNwFK2hCBWndIrE8naegR
QkuCqV8xSilxKE9BPwFN+63orqlvh/4jiZ7M3nPK9teA1vp1QNZiqihJIRmOmWrk9C+3pEIGFBr9
uAQ7zOCquQeehEQZrDaO7DHQR7vV2h/riKxDgF4dE41A6PAgNDlUGgy5mesFita5b0mDduv76hbK
V8E/WIaHz8zRh9BFo9mYjXHUQ5y1DOQkbjcdIFELtlE3qPDs4XWWsRZxkdmmgyTiIfU7JQgy9eot
F0UrD59HDRMj3m7kFbiuU09oeEf58H+NerQ6WZUZpZJMaNSbbsXA9h8y5O8QlZ1NdzqHdrj3n8wt
dLghhuDgDj/ne9640pWjpH4A5V0SvxRkX8IPSMH/Ns9edLzxXQYVyqWN1IWpC2IqDBHaA4eNtFEf
g6cgcDpHuUE65VBG1hTY+o3tf0NfhwXq6c36/rz6mJ/2wdnjWTSXh6gTkaYgrkdUjS7S6INMgjX1
FjIiZvas8jhheUjUSoL/Ygjqua2zFcF9DLkz0ybhfdeBIOXbv9iEIzc3FMyjcpenvAFJHWm0Af14
oCDSm3NV2p3xBJbKDqdiHerqeGP5PjkqdYLkGsTFL6E0qJuFJJ33p9q5MVRgyxYjbfLLOsr1c52C
odxyGAhRLleAEXbeKf+OWvrwoKCQf+wdFWJvFjpe1hHnv/AiYfgJCF5BvJs/qWIv7cpRUYdo04iB
M/17RD4GVPVK77bWOF0mrD0xB/CfbNFohKN2X1u3vV8F+FK+cGz9vSifk/4g5/etxnlyfVY4rgxa
IFG7T0zVvA2aeU9IxXaqzEPUgC2LZAR1wKJ1pA5C9Hm5lZEeHOr6V6G+/cOCwkIRFNFoiqP5ZtrK
mKbGnBe0gqKIoDh+6TZoOPY/1nGYG3KBM1/wi7jYEIQEFEAiVtQ4ROpBiTYCrz/yk/Lyei2/bKHO
VyqNCA0QitjivXYv7YPOku/r3xhJbHbaY6M7wrPnW5MdOhjBc9fNu4oY5n35ZR6huvnjQSuQO8cy
Dt0rMhBWOeyiAUV78jGCrkMezyLZrSMyTwJ43dEbAPFBid6iujHKveRhQVNQf0CHV5M+gtHxZV7i
iHkUwD1ggOoOVVO66SEdw1aOUCS3Y4h4Rd+L8Eno3bq4VXnD3UyD5knCOSGGzBt15pLWryF9IeMk
JMJeqz4Ms/tpJmhtqErO6eYhUWeuSrxw9Cog9fK9aaAM+Epq3QaNJWdTMG9QZWESdYNiXBE9bJ4E
k0rjNHW5RbTK7rLoGdX/hypuj6EIGaPgSS6gthXcIadgCeHk9sY3BbnNES1RkxbaehntlS7Y/8P+
Wfy2OcBYHMg2QbyulPhtUunUplsoJzHA/NXDOspV3D6fCw19E5ibQDWZHtv2S7OXpQ40bsbwnrQf
XWdDsFwsb8bC7n+tQzGZHZZY1GcNUtyDGADDnJKbvWHW7BasilA8cfzGQTgGcRMbvW35D57+BysS
U+ZeV5DGofVdpz6yMkZSb8TzARluc+m2bnhjGsztugCgvlRMhGKMSwCUWuJE5Dg2TlKSTcfrkme6
6AXO/OeLHaHLeZdqLXDU8D1MJ0vFVF78Y/0jMb3JAmO2dYEhKALqNjPG2KZWFL8NhW/H0GWP2geD
x+jDXDdwniufXWggxrrE6v0Ow3IjsCpIVAMKcwgihjA4qUXmDl+gUBdbUNU9GBHg+QMcWS1yG/Rr
5G4rImu2UYyn9eVjXjMLMOqGg4ptT6RZQyMUTx7oO2swiG5M6SnwUXbfleG3dTjOCtKddRmeALI6
fgYHb22+HTCqSZ580VlHYd/bCItnURB0EtMPN6UYyRSQ+d5OD/qmexNd3xIjyOta411m1XfqVnts
ne/Q5uVEk8wd/wVMJ7ylIo/bLAdwLRjbSYqdUmtOXqNzXC3TQyxgqJtNDUGP4UWACaBUFwaQxX3l
rOBVB/jsZhcIlOsrCUljpQXCJH8o6BAsq11vvijKg1y+BqD0E6QbI+fdbsyzvAClHN8QdKKmxABV
C9xmGFdGNO7EYWDh8eMQ/VcLta4ge2g1vEDMb0MY2EL7movZUwddjzJCM5XSP68vBHPDLn4S5SoF
qFGrGD5KbJRjMDv3WBTg1X2oeFUL1gcF6zoIGtGyNMs+XXqWtGjSLsd8ld3ITjhC+XCaODuT+bJa
QFwdPTX0jRzTgLZ/jt0BIpyWtwmfp227iX8hU47E0PrKcQGpTarlPhoTZm7G6Nh+ZHvvpsOshoUy
0/QhWjJ6azbrgKxPtTSQ2rKmH2tVGhpYw+51EJ1Bv5f0N/WvC484GEsUao96EbYDKWHVmPweoE/l
x1YzvDfmx7oxLEcCUpq5y1SFBAbtwbQ+ryPQWyEYx/wwHhyqspn+XnhvtuULhPZWhlyIAbpDEAeg
+J36j2bpmNG9UVl1dKjzyCkgrrZuFutuWyJSe0KUfRPyIUDUyo3i262MMy5bY3bsf8UZj0uGs4Y6
tSEMs+3QXw0wIX+KW2fongnnOmORGCLFito+PhLGZOh2o6YRlGps0RejVvWTDomC3TDKG72c3sxc
iq24N/rtUFejE/qdfGNoyVufl5hCj1wz/KlinkpN+w0ZpoYTQ7A8KfgzkOfSRLhxut5myq0SiDlS
UEYnYOQ2hECThwmM75FmNTxxa9YyL7GoZa78XBRStFnaRdlbIEqzp+qnwiPkYx3uJQh17BAS+cbY
AiSDUGzvS06edOdUiK3pn7inPpV1Z+0StPbO9i4iSoR9RlD7A64+yVGH2Aqy7+uHgPlxZune/wLM
ti4AxAht4noKAF8C8SVYr0kbWl73kiuulPE6SFk3C/TCdMPQ0aOBRpRLsNZQRjEclJkp6L3of5b9
Zt0Y1tdf/v2UMWXQKrrvEbxIkb71Se0E+lMz8DqIWEu2RJn/fLFkGUYwvRQk+XYe7Tt164muInVo
L8cL9/Ef7IGiErqdcBuDPeISKenT3DBmum407dtlvSEYkJJ1jt9gfpQvkM+a79Ic1evkWgSIB1p1
Q9+i2YPjaFnnRQe9KZGxlUHNQpmRVaCTHSJcU6TcTRCLztAr9hD9C03bAuVazldFxUCGHbK/SaWP
AUpr61/jetQCVxR626BjgTc/iKUpO9pWhX8ZgaCBXyJT9sgtaC3G87ZQ4TS8fVG94oTGzRYtEqAJ
dFS8Mtd/AXsh//wAjcrDQTk9qtDTNqdTA7syLE97zuu3gTfSwDxGX3bSQ7a+GEq5VMNOScLkAu6G
5NHkhS7MQ4TKGWYs0U+JacfLre2NpJa7CAmaTH5Rq0c13IvZPq/diJe7ZN3yaFT4A0T7BDkf/ShA
OgxZRLk/9f3zKOyU5q1KdwqPsEOerxc6R7sEo1yDkptthdZThH2tNW30R9MKrTGyUKe7O1qvr5Nt
uUfX1awd4dV5mKd4YSb1UO/zKEtGHcgRel0nDAAWIecaZxKcLo2jtn+U9pHpD4Agt23q1A+CLZwF
u9z6J90tnXJf2K41uP5j72TPytF3eO9Z5kt68QPo7Z8ZlRZMAvaM8S49+uf8BXKMjRU9/hbe6zvp
/qZ1MC9y4k1AczYQfRpyeUBzmgFUOQ2gCA3ikqPRHsvGUeL3RPvbBj+4GGMWXsNoIaYM6PnNyTeV
pJ2d8RDnm1CW7VZX9+1U7WrJhNbUYDVVwWGwYro1g4C6DyrKEjpGqHCGNF4YeglC0zy0PSJaIEYh
mCJqhFuv3KuGFXq/EStbUXmO5aMeOw13spP1wF/+gnlzL64gwag6KezwC/z8LA/o1ASJx6ZIToF/
qrC/ogcPD951V3rdyjSvtAI9ONQ15LkP4hITjHtNE7YmHjWgOO8VVJrvwuJOqA6BBvFvDTI7eWxB
ToYDO/+1tIcAeQFuD6hvoJGF8hCJYWRppgHWBFHLryKeapRSzP7QDuhiz+qZOBdco9sSUhbQao8I
HiRyj0eqMYn4ZeBu6tr+X0gB52Ig5vUgy4DG5MulaCPIgleyjymx6qEmrwl6PENMRKxbzrq7liCz
61x8Yzmbxib1gtRWBNcIbjTjFuESCDjWUVhucIlCfdVknPROEGEK3hmWXqJZlcc/yrOD2queKKVi
JgFBje/7FFlDYEBtPOA1KLAuSBPaumieng8mHWzEhpiXRRWltuBXL5Fu3lWScCbacDC0dlvLzW59
4Vh3PnS2keGHQiL0JCjnXiLtmpnTrJ0i5lbWvJXGR4E2iHUQ5tf5AqFDzQElRKU3ITFi1K1dKZgU
4YWaDImmea4PneBot0XRl35s5n7v+ZkHO4LQKlMr/RBuw8NwKDbZAY+b8Ki7Pa6KydXOwY26XzeP
We7GLBq6+9ERhNY7ahElJEqMssbeyAO7My1cUMf4VPaP8T52oi16FNbxmFvk69zSiTo1htSl34Qp
0j9Q7fF/ttA8jM1fWXHH1Q9gbo8vKDphJymj0YchLBv8xAmj6RgOgSMPPad2ydwgX5uevuHjNIzU
yYNFndpuB2m4n3D9rS8a0xJM8YHNae6gp3WINMlTOz8FRF38JFBYigO397+tY7AaqNB+iRZp1K6h
s6tTXj7VkgqtpJAX7e1pYx4V27/xf1e74NW/L34g8UgeQKUi/4KA4FyzR5tato9f138Dw86Ln0AF
hK1W+2opFKkt1qOnoNlUFO8gtBzpjpKBZMRdR2MlWA1JRTMTXify3B186d5FknikU2CxgsGhSMDl
pR49NG+1Ohp07GKKLaOdCYnuSNVsMN/FOQqMIO0CnrpdxE6OYi2u8FWVjYDSFER5O8xwlTYRb0WB
EwmzYocLNOqWqSHHEMch0Ah5aJBumNB2Dw51PXhpCS52JOCOXvMPV9sFKHXxqKOpKBgYRJ9tcVv4
PYJ83vOS9Xy5gJj31OKO9omRp0ICuwTh3lM3teGSwHcU8aR6b/E8KihY1S+SChjtwvTvKyYqZr5d
ZHVsHdSj4aHXfor+t7F8MjoeaRd7zTVVhled9xhN7QolkbQMB/y2tnhJoffafVenTV8Y27R6UiYH
mw/M01xxEcYpMjBZjErIXFy/YiUjoZongYFFH2/E38q3EqzTu9JR7fgJPH4HaV+6vQhiWc5hYjh2
PONFZBvQngt3SH2HIBKaTJBxdofN6MrfvXfZnaAFhHk+/3d21jbprYmdvY/uedcn01wV5L1gYkOy
n749xVHxSglqI7Y3WBF50UAc0WzWjWPahqcNeLWR0tRp6btEEMmAaVicVJls9eEnJn9Hv7aHbDtE
23UoRqg287P8gaJOTAmmTEPLARVITiKATnlnZttR5xjEuLMuUKiPBcm5eaoPKEa8HeTb2uDxJjA/
ysKM2czFqewjNZeLEACRbGv+c9htAt7QACtymdnjUA6Z+36vRBSCoBKqsANxvx6KLpQoLENy0/gH
hnFC6UggsBFvQEwFUR0e7TXrXF8gU/eUQBKoCJNZMqC8b1EWT9HK8gPJwQl1isKpUKTjpbeYkJgg
kMGmNjeJ028wyYy8hHQolCBLk9RPOcSmwFQZgz1ubK0IFGPCiPeDs74ZGV9xHlv4A0rbKRrRGM+M
uNl0l2t3ovShDT/XIRiX4AUEFX5Wnj+RcgCEb9jiaFW6pe190AWMBue2/eybpF6xSyS6WFd3jQoG
HSCRon9S2/Im8mY+uAgcwyMWkjgN+aiSN016xGui1I7pEIDoC303hiXGkWWowT7sNEy9V46vPcue
CLrSnyEkotBEaXVqdjf06m0Ehbf1BWI4hIufTQcpYRdIao2f3SGfIeebXnox0S+ZueswzO8ARVr0
FJogoaFzm74SeAXmGZG21yblJTTN9N3HNoT4sUICPENUePYm00CyJmIS/e8fWSq0xHCGpXmUCc6P
chdJmUJQLUTHVvKYi4cs4Vh3vZHx9+u4nAChgnN0/vOFO0o70It6Ef7+GoVaDN1ijjremOLb+hoy
ugsBg8ZdZEpQpwPWJczc8KHmKpRjkvABFCN9vBHJdvAdzffB7XyrTk7ZWbp5bOzySVWsxrZlSy02
E881sszVMGeOsGNWAaA7UZugkKJRhrll/juPtWMzCtuxlXmd0tfXIviK8A8mezUUxugsY5NkUpk0
JZJwo6U+idvOEV/SG++on9TKbiz9lP7K7PSQ3PA06D5Zdy7PMpDBoyKChQLjVXSP9CSKrVCIcMC9
pk2BJeB5/SGh3fCA8f+Zszhp0MvfzAzGYU7q+3xIIBk0pVJFHCkM8zsQPyDG9pM6hAyTWWsOAb+R
29dVhw55rU0zC+wePobZyzh48vS2fuqnHN+OiLGxk72Idx/PG+PKHvR6g1IM+UyM5VxunLJNE02J
KlTaFR+5mUJv3cRMJFsXDMMq5fQ4VglC9ATKNIizeO2M1zOyCNwwEoS3EApe12MQkpegz7zC4Y/2
8rv3nVjFUUCO2rSVPRjJ3zqkqHeYQM+sm/RWOYPBhROOXPu4C/zPy29xPAUJVG2iCfw8+fC1gxdu
O+9VTTmhFfNUfFn5GU8sUEBY0EXqLIlh1A8xuD0qaHJKz+sugHUkMKeLDluQ+8yM65cfsq3BlF+Q
bh4CKu7kVj0FJtlq3oQrOrcMweNc0NdxHPqFMUAN5mwQjV5xloEoQ/ClFiZh/AlC4rIlB5xaOxMB
+WZEWdp8LdCe08tlWQ7mEEDXNqaCabuKI2bAXLIFAhUqjiU6TMC2jfJBft954Jh8FKODGYOYhTez
f33HYbXMWYcV2S4wvlDuufW6ClJYPbb5dMY4gFjuvMDNeksFGS6303x+T9NHegF2ReWOyKbK5nGw
qnRS+dSP27R0DXCH+jtN2QzEyevbNMR0/c4Aicf6LmQI7V5YSg/DeUI6zzQCvDzX9+JgCc+mPbr9
9ldyUp0TuN0CR9++SjvL3xeWhIEWMDZZmQ2GMzdFZy7n57AO3nIp5MtDgbFldHzN6y6WxwoVTXPn
BxwPwnKgSwgqu1EEpudJ8/RfmzjtsJfR8jg5fYPK4kYw7JpL8Ms8FmBkIchXYTPRqaMhi2MlQxep
7ReburkTpzc52hn17YgRvOa3QfaJ8l4I4DnOYjsXv9fqXycdceiRYFd1dLjjQUAdS6/U/KglsDeF
MCqUQKxO5nhLloXozkcDMJijMYlEIYhTUcSyNrfIEmjDpCcQX3K2BSP/BiNQxgIfGsQVCH0eq1IQ
Sy/GwAwUBzztkI4PkrkT4pPfuLnm+GZslTUa3fA/TvmQ5QgWwPTZjPXOb7oOwBhWM4WtRH5EzVka
n+viRvr7Hv4LI+mjGI1wRcVsZAG673r8XkzyjRCEzvqJ51lEH7EyS7RxHuYKCLG06TbJDniJeNoP
sdmh0ZmDxjrQy/WjTluLtr06Fmeb0Hulv9fNTdR/WzeIdStAeEacdewwzE6/CIpCraqygY6I4Slo
WanC32EHhsc+n0Y3GPzJhcAsj2WRtYhzmg4FVnS9gwDx0k8NQkBCc27ES+PHpgEtvS2Iz7lkjSbo
t57W7WMsIYj8wQoPcngwO9IU5UrbSbmgAasxkfiVFe2paLRpk+jhyDlmDNc4k5+gwoiH3UzEc2mV
L3p4+EIP0g6z0JLG8OzndxhmOgtScVOQcyCSjaEiPF637+r7Ia2OwpyBeBJjOGA3vUTNiSejqTzD
+UX/V95+Kz/ZZMJ91vo3yHvv19GuvhyFNv/5IrRDeBRpbQm0rtwL0nNU3ah9cD9VPWgXIosYIcc5
8qyj1jRLpy4KK+Al9bBJdXJXaDUUixI3bKLzkIN7cN2+qwD50j66T8xo5ETXQ1C1dVKDPOdTVX+U
+q+BNxt2nVKjcKhkQ2N4YVRkwGlM+b2Oo8Cqokw4QGn8KKcpVJaHQQNx9QDlBEheuI3cfQhNEXPc
C89aypnVoTFK0mxtJWxkwynQEttilGfgkp8zPyMkEbA/kQ4FufLltoFmQiqbIz5jUJzScjPE93DV
lla9BrwKPHODLpCUS6Re0M1sGoBkyi8oJIEiMUO3FVjd29iw/J535pkrCMJTpMPBA4J0xCWcIvRJ
E4LVzm5KIIWSk+KAN5N80jA1/Q9bcwE1/5TF0YuquBALAqhClx4NsNJFKjKRvbavVJ7A5ZXPnHfn
AoryKXUkZJncYBEV37wHrSx639sfilFzLGKfggUO5U0iBdX4PihqDKC6ZHIy8IjJQeFk2Btl8oRZ
7BRyXZjI5oUKvK9GeZVYD4Y2r7CUJUFySDZzK6la9MDnTp+pPJdyPZz5uZpgppEgSzIv7OWHK9O8
mKkia0jwDL+TQrLRMHVrDP6+ScM3L0uRbazbjwikILGZHQNDRL9I7USl56BU/KpgbnZ9I814Fw+m
y99D19E7Qc+Kvv1cdRAziZVtKJ2VBBrYVzaC5oCjp6j7f/A0uH1RO0DeBdc+taOEPFHJkFX40mIO
wYpMd5V8dKaicnClcN651yl8GLgEo7ZV0gm5AdLtGiMpB9IdwOSohMc+dXL9GaSnifkaoHiwvqbX
GUkKk/rIaTk1GBkEpiLdZOFt2mAhC6eJHmOEia2j5Cdf3MWRW4O8rjmNxk7qb4LmQQ8RXx1Cn9fx
yTrBiyWgJfYEAcIwJMHPqVX/vY/rX5ocb4vB+9vX0afV6ERE6/YsgU25PwmhNglzwEQ6WjK07Bvy
fffrK8u6OpAP+QNBuT3TJ5qH6RssbFRbtXKocflPwp0Uv3giJwXDg6I2qWY2s5YrDkYFwcAgva+F
clPooKLP8LDlrBz7A32ZRe3Rpg68NEE/kA1HBEZ4xxfQzKdwZFzYIDOZOdKNSPlTBsWDaYS1gFMX
1+hliQLQ+nuHgmScT8S6c8Fk+AeGsqUKk9wrp7q2p+w0VE+aUL/V2TlPmo2GlEgAwnBOlMa8OJaI
1GmbIGgmRg0Q2wxUt/nO/A3jyHksrJtQsCewRnV/T1gKpzKLqH2SNoOy9NKLN4hDm3bAWop+c4zQ
riXovZs0Z4wgN4TDDX/ddTufqwUYFcUUiZ/5agj7woK4Awh7gxTN1EVle8Wm8yVL6jBW8pKb95h2
hRBwK1kJj5OCvcaL30CdbT+bEmSLYbCmWab3PigPIFtMG0gX4AaDAEdfWYZyW+vf1s87F5c68BBy
CXQUCHAK0ReEyoPY3edgFZE3BRiEhSS1Cg2UT4ojITJYh2Yel4XF1HHJ0k6IshHIBaoCYnczacO2
471o5k9H374oFcFZInBCjpSK/IUe6gKC39a2PIkOGBPwamrat3VDPuPpNRAqsO/NqtHNoQHjtHkL
RrVGfjXNbSUcU+UMlka7fDXlbd2cjfxnY3IWkekMFvZR50QoY0XoTECTpAElo2hNoE0JMNIAGmHN
3BWCzquqsOIZiJCpkBRHURVcp5cnUy2ySPQnIArF09idGtPSw41X9FZCSqttdvzx76uW9Pl4fiHS
t2tnyEk9ZkDs9G0ju1p+N8YTBuNyJwtmBiPMpRaojfGmVZj7k0C7Ca2baDyiR20x3hNn6oCSXy4c
6+E+9k6Zv1/fOczd+QVB1+79NivzeZTJLiGRBKUGp094hH8cK+g2olTyeiGZrVBRzq/i3PHHQxD8
XreDHQMqkCyapa6gw0ZtQ9GXklAwgJLEwTf8/61UGbtKL9zIm8BzTra9dp+hvoTAl8eJzDwBC2jK
eU9Vmk5oYAC09FIMgWUmndWH7b71vpH+vS55uofM/b/Amxd88TAs0bYQ9d28oOa0JdOwBbu9W+Sy
lZrdrV9qW3HmXkh4vKs8Myk/nQ7dQMQZVjaFF8H70SVlAAbMcZOTd6lL3V4ueO9F5tZBof1zrh0t
utRHbQMlNZsJKxvK40aWB2hIFqcQ7GGGMZ0j6TmUxt0AbT5LH8MCcTaaaU3hVYxNy6i9ba7xRkqZ
p2Um3JbQGQXWdsrzKOhZbyPVqOypHLaJ3D4MAeEcSGZM+gdCE6mpvq7Ag3QKAEFaq1fPeLxE8dZQ
MIrNCUhZb2IEN/+1BW+Hy10ktKqemoOOEAPCBSFa/FpUrzCCssu4JTv2Z/yCom4nTNXnoTh/xq7Z
ddq90b82Eu9S+D8cwBcItVcyrZnEsYE9euojmwe9BDThxslN6KFYlbkYLpd9PH9r3igLF5g6/pgv
aAvIYsI6sQGHNdohCCimdh2mdyArMmo7Up5LnROC85aU8gEQo4yNSABoJjs6Gtc9f6vXHSfsZoJg
Mht84vgXLZqXW4RkSToY83fL0JwxhMVWGTUXlD32uu9mbvkFDOVYSlkbjUgDDNLsVlv8qDBr5efo
Wos2njdwwJjbfgFGxXyS2eh5NQKsHDNrTM5Fp9ij/73OeaUcHtDsThdeWvOlCm8kAIXZXdRvJRil
G5Af51TceN+IcklqgQsgjrARRB35Dz99DMRxk5b14/o3YsOg0RqjsxgLo8nNyiIP0nqCW5IwDNiT
EXnsxwFsO/8/FMpRZHFR+Sh9VPbQqDvJDJ4gd7iNMpPzTGbeZBhB/58xlKtoQz3xW8OEj8W7fwq2
ipe5arhr8JwsfWfivV55a0c5CIhB9kqbAw4DjYFsF3JnRSGvFYBnE3VWkawJTG3A0qXoWnMq2Qwi
6F2k38PEmNwGfZY1JqB64pJkap/Wvxrz/GoEbTnozAM/AWVfVdZJo5keoNUDouNBqhzSOCSwRelf
UplgP/gDRVlZJxg6yQpASaQ9En+EmNrDkKL8Jrb+j65K9gQFzL6A4NC6icxPuMClXJQixkMXxQJi
H+yOFixFaL32h56TyGR+wwUK5ZtIDNJtMltnKE6TPBRgR5FQSAf1d1GZLre1g+mhFnCUh5rarjWl
FEYlvtshEdwVW1K/K1rLWTweDuWipKTvjFKEWXLZWMMcNZYhks/xY5tHvIhxjlquHsJ/bJLo8AmS
sKkXGsAyg+ew3wfgoYwhttDaU+9ZSfw4mR+D+JQrvInJ63H0+Ym4AKbCqUHQEm1KARzWBprWP2rP
9DfGANkpuLIyFrZp8dh1o2V2htMjWC06sHdA1Usm4LTu9AcQrd+Nqcir7KxvKRTGL2+hrNEV1N3x
jZvouekOqnHf5MFNlLxo2ntc8ZTx5i95vfqYV4euEeZH6YF1Io1FUSVwQlUiWlAG6fLBCkltZdJ+
yL6PCVqEg3+5zz9HcqBygBk+yiMMsSfLYQXnigc6Zq7cuvlWk98ljyWZnWFZ4FAeQGjHKKo9mKaD
2yDbpyGI9H4m1S7t7kdpK8n7ofhVtc9lco+xGWfd+7BTZHgLiCicIulB92worRA0fY/NVTWuWh2m
1gXBtkXyc5HfmI0T6VZbVpYPwpF14NlzX3/PP7ifk42LGCbzp3LsYhg9SbKVoKPfG3gHlpla+TKN
nsAcO6FJEgkQRobme1hR6DsNkSymIWOIJo3tRhs3if/XffGfx/XLMupc6FmGLucO20YVdHy69mWq
ku364rHvjC8IKspQtbCtRYgA2GZ+qiApGuZPOq7/dRD2ifsCoe5eMAwbwggWZhs1PksR9vXMUyAT
q8YH04aHJr6ZhN06JG9TUCcu6cU0a2VAZh56mPXkxsuz93UI9o3xZRV12DTioSnDQFBbopU4q06Z
l29b7RSCjepfgL7iCeobQcyq9xQC96jomARPI9+WM8PthszKDeV1HYvpihcehLrdFaOUG23eciA+
SjT0kMUvNSrQrbFpfYyj8SZEmWu4gKNud62oJShAAc6HJGF4Vgq7NG4zleOamJthgULd7RAG1TCy
BZQunvaq2v6SWpkTra8bgrLj5RWWiJFZZCEgwrJyAkQnArEq4S4pN+vfh3lejbkMI4mKYtIyIeDg
lpsoxfShPOQnQSEnLRVftEp/WIdhO/MFDrW5MUMStx6BXyD9K0pZEnGjcEMkq1F9V6wgF7cDI14A
ZlMO7ryXr5z5Apfaf/Io1HU7zZcIWqqqrrzxJmLh8eh42WBlceUG5vc6C34WkJkpSt3K2vqo6yC1
W/8dzM+5+BnUviTelJG+mSOSpL0plOJQo6krHQZLFngjzLNFaxZTmzM11aLH66uy2/SXio1TRXjc
oa24fwVtK8crcsy6YsWvYy9DIy6OW7Xxg9AGljnaosLxjEwnMt9d4BwDSY5BfURFGbRI77FJy3Gr
1L/RqVNgSDIUHbV5rsSac7qZt8sCjfpWZqvHjT7gW4n9u1w9a91BNl96L8DMwiErNmPTcs4gD5D6
YnHtCQpUemBeFlm+ZmfCScLwRZWfU+Kqmkt46SCm//qykG5YVoMAMkVygENvgBYBmYYpap7WNzy7
VWSBQT0NvBrtPtkAo8REvDfD3pzlPDsMt8qdIyXDueyjW7Gpf1akn2xdmZ5rb9oLhof8YXgbVjO7
W5VEbp4QD2LpoJfpxxyM4iZEejm/VGYcmFlNcm7cU2ehcsrVekIjphAxshOCsn7tbzHvheGovNjJ
EaYyy/gm6JqtUsRg1ISnivr90Ji8JNA18QDWapbkU0Gejv7az1B8EXX6BZSG2/mbjDYoZjEGautv
+A8axfSzWluN+0380djig3DMts0zWGOSe+E4btfXgnUbLH/EvHEWP6IhYPIoBCxFCSrMoZc2uWJr
ROc4QxYKiKf+d5zN+YMsUDyMGULIGFsjEqcbAXWjpFDOfgll77+3ZolDxTkQS42KSMdBRhZ3R7zc
LXXMHii8JDzbO4HhSBdRndVo3iCM2uVoa4M5uvbcaZNVp07bYDBzdMHeImq8WXj2VYqhbSjkgA8V
Xe2Xy+f3+uDFCnZKEtuJPlp5e0xRA4bMxBCc+gzyipElNKAwUjknhek2FsDU7vBDU0hyNGzYo15u
obi67XmyW8z7ZIFAH8UgVRFKYSkHAyHwtCk0SGHquxyy0+tbg3lJgisQ0zaQ00MC73INQStmDnmP
rZEFD2rphmi4EBGVKi7mozlQzN2+gKJWzRvkTsyyGaq8V6Te0moR5M4R5w7hoVArB3VwqNfMuToh
PJpoDAjR7cklr2VeVGhuBoexTtD8T4FAzFooSY3PI4FM2Q+PI+Q2RFD51Ldm4kZxYpWEc/NfMzrP
bnGe6EGGVVeho3T5oYqki9NYB2STWfFJfRjvtKf6LN95G9GZhckw49/t/Q8EdesbhHWoF7h0ZCNX
cRZJn2+kaW/ororG2ehO9g+t5IwRp6x1PTB7aSRdZ4ACb9whEMZduTUt39V9y4f/h4DsXXqTQozN
nKxX0Uqeyw3EyRsLyqkC57nBOg9Lc+XLZUYRmYSagu0zDZs2OowjcstPRuVo0vf1dWUWDpdI1MlT
UzOTex9IcnSAS27H1iHiQVXRWUJ2lbYpoZFd8ub5rjnRqBWmDqFhdL7cCVjh2spPE8J8TIVagw8J
Hit4bZ69h0NDLMy0ON891+dVtwlvM1HnRp7iUOwieGyQ5G28J+0ueq0d3Q1dVOG2Pj7ofeQYDsTl
9+pD6QjvDVgrtvVbgd1d2PUOYZMJKtFovyPfqo14LxxC3juJ5dpnQgMIOMoQVKEHjTHtNcXQu8cd
Npy9cABtA+/aYjmoZZRFffcqS5v/kHZdS3Lj2PKLGEEHgnylKZbtam/0wlC3JHrv+fWb1L07qkIx
iNDsTMzugyKUBeDw4OCYzEQccXlknknAriKkrscdVFhMWF6iMOdcJSRUp/mKSuHQoU9HkxOYJtTg
h9KilyIRoKXilOLLJLq9sSGj6KxbN2+R8/12EdmoqOqicRHwUv7QCxg1RPtgmvGKrIsRwOUq2fdQ
kwrQA4E9If1Q6Zu6Pk79qyZAXD55r6MXMd+ScldOj+uLW7qcL1GZd5FQDOj3TrE4tRT28UQPffIL
VLRv9Sj8WEfibSPj9KtOzLMMrO8WHe+J9DJ2T43363+CYJ9AUZu0GfWxGDmeLDmUQfs6baYks9dh
eEfFzmtOuhGQtp83DaxsyD4g0Gj1XSWfO+L00o9IOuSSLWrpbh2Xs4NsiO0HQyeJAWB98l4hhd1J
D0R+W8dY9mr/vJvYOJTo4CZIC5xS2KOZtAMdVy+863p/qIj8GelPtR5u1xGXvdQfRObrHo24SlQP
iFV58kSEuCkkRjgX/yIGhGQxsIlB6Jvuq6zWa6mfPYjcBne50SMVZKh5+7W+ksW9k1RDV0FuphN2
70R0O0F4Y0aBqPIomCPknpLRlgUFEkVnH4nz/w2P2bnUn8YY5ETwGOVjpZ69eBOPx0j/SL2HAaw8
62CLxnexuPnPL7wgFcMoFjWAjR3k0dVdFddgAeB0jy96owsQxtXGftejvA8Qry8dEFxZYmgg16Cf
0dTCMTveYTHuVvOzSI5FQIHTVDHQnuM00+c4PCnyQWg41fDFvfuTBmCLibSpxyLxEKhQMECP/V7S
7bDk8Q0sB5wXKIw5ZCpe+WgZhXjeKThX22mLevsuPRVQropM1FByM7SVXWYJp3QjpmZy0h2Zc363
pDtzSHbxGxgraVoVJDExPoHu6wz1I/8V/Ys/3p9lAkW/0u4s4lJrssY33WktZT8Rq9monN/w+8HC
5kovfwNjRMgDD2ntYx9a8FXYaW+Rx+FQu902+iy/ggcFxJ0OCveSs/6BLIejF2tnLCrJ5FGrS+BC
JEsXTORaDs1W/uH9aBUT1XBxI5vlJ/o6zgUa56mT8uqPix/PBf5s8RdfqKeqcWyEwCdPJwMUHW/e
sY8cnL24gQjbY3vwHuU70Mz4n+sL5+EyF3uk1QXRMpw5yMxD5EfU0yQ4XHFfDsrvJ8jF6miMeYRB
werC6jPyDhCLiKPOnErO23T+sSvG8/vqv4CRSe0pkTFvIkiBk4D+VPCGgCyFKSq/pkDEs0ZEjprX
HrzojP4c3W8WjAtUNZuqoBuB2hY/BE+1kxi0MwkI7p415EjDerN+Yjf+CFTOc2IU5F/oMDfYcf+p
MLRYFEDWHuW1DTnVlrqFXHK+h99VpqutnAmj5bmVBNV+PEGYxwFEKf0gnQUCQVk7OuoJxMo7xc4O
KILjYTTBIwT2YJl5ZqF2mLn2972lO/v1ld5mrJkfwTjFkIIkQp2FHkcXrK7QRP80Dp5dn8JdvjNO
IM76Ef88ymZ8LmydE1rfBB0MNOMLMeQTVHE1K+1pozmAYVLpOXfYrbtlIOaP5sJulLLSO30W1gY1
EjI16rdv0Ub7+CJ7/TxtIYr+0BzDb+lD/tzcTZ8o1PqqJTke5/U/+7W1c2b8Hp0QmIoKfgRIbMvo
PhI3krJN02MOhRDOafK2lHFxfiJm0HwCFDWTD8xUaYNZfKYvx+5V+KVvVTQJOPR+HXMREqriEHcC
rStiyOstjrMhG/VxZk2RwITcGlYRcMLGBdbJ3/RA/0CwpxiGYiZMgMgTWzpj4CF1G1sw6fkZ7TBf
mKn+pT2/VaZgWJWTuqXdF6YOBupN+KndtYdI4OzyjaeFUWlgLVLB2qVCl4Qp8sR9RAulUKAsI+3l
fp+pzqj/ygkvJl9YNkJxkALifyGedtMKRJK0HUPRgPFGYb4xWr/bZmgqmEyaEc23qRHop1BMgzvf
CNrcrvK0vOv7JHkKJyXcJ6mc5q4H9YDILEskeWXNS55kQS+PcjRAxVtWhxI0WgS6uHXf154Z5WDe
dLQwHGXwe4bkCYx2EVoGa1nbRXWNhh0hkQTeY/HmQoEMEKbn8SoAexE0UBgv6I2x71UVVqnERHTG
PvMsta6FXd/MgGUDImS5V10ytr2LUvZfDwbO8DoFeRJGr0S0lV2bb0r7PowL3GWhLJebhsb+uz4q
BRI2FW/M9PZWAdTMH4NaFyivNGalgxFJURZBCSNp0R1IpSzcBYWmI5c79BwTXYLCyc0ycYYiI9t/
vaqoUIS8T8DnHIxFfch1rXiQo0b/1AslHDhYt0U8TDtqGHcGD5UMlhyWSHLA8GxfFyWuKSt7Ns75
drCJZLcJNJDqyIyPGJXYxEff1W3iJA4c0Vvm8jLXCwu++g2M45Pitun9Hr+hi46EvAb0IwYp3bqn
42EwmzrGot/mOjCm7Oy15yrYROHTOsStM73aSjYBXw1T3QgTINRp3EhSskXMY/89BHiMMJmN/8Bw
N6/y4kqkvZqVYPvGMwcMnKFG7/ss5qziNiH5e/71DwbjsLsGTJuNAIzSSQInuk9f9KO4k31H2htu
YEqFOfEOZ2nnLpfFfMd1SAMwvQEymSrTAENtxwl8b9t+mUUxJuYjkZwLM0J1pE+BJVeoVpBH1dbM
dNPbNR5v+pnuM0vkvdfmv/g6fpinif/sJmN3AvisjCGoQC34kNzPfQSW/kEO8n1o6TvqoKNmY7xK
r93Js3gtX4vIqgzWStS+JBBRXduKRjpoJZVA1vLQVLPn6D2nsUkGGwVfcfhcN8yFiwBkBmDanSVc
EHgzYHAvRtJWDUQxpPPYzTxJ6JXzrUGDxp47eph15I0YLH3Q2FqMa6O7BhL3jENuoyA3ihy6wxlC
P3HYp9F3DG+vr+o2WADCBcZstxefW6VUAqh3gSFkZvirq99E344C3gd301o71+GRvAMTDTQKUcy4
RqlJo8tEHTLLexH3xZM2m4W8KXVUd0bOM3rhmK6gmAUFvewNlQA6H4yACFpkpsGTBkLKwDAlDUlQ
q5w4VbqFHcSnBdZUooNQTmKnFxPSGegSBg1+UZxLpTdjFZldtEQVvJ6YRSBwPaG3Q8EIONvS4Mta
SbO4Q+UEc/VjKJkGSKVBWODUavm4bhUL3kpEZfe/UOxj3SvUXJwaQI0zAVOdnce2+FiHWDBuWMSs
7wp+Z+PmDVuqKWK6AhB959upp9zHyDcFMa95ZsnXozIOlVJlprbFqq5Nr0V/RO8nY4qxi007PYbJ
QYhefXlHoMsRoiejPEyD1Ud3RXIP4qf1Nd6m9GYNSQVnRUBApCAYvwbXGkLjwFNTS35AWQ0ZpaO+
c2I3dpF7Hc1xYzwIeMdCM6U1XwTX43zbS6eIfJ6I+iHe8DL79BEFgXZhTFJLwhxq2uKTCDfrC1w6
RAy4zy0A6NoADdn1+khLck/D0wJkIa8k30/yAzdUvCUkmfdQBXU1ch5gsGZV4NSwG7VU0vA2JYe4
tw0z23Tm8BCepocGzQ3C5ru8Lbfr65KXvjWQZEPlRIfiyc2Q4VSQvCElFpaatdnu32uniUwMjYDQ
rTVT89zZsmvcoYHpzttWkJrZpVYMaSHTt/wN78fcJibnHbj4MfL1LsdTWhVJjR+DhgfJMJE28yz0
HJjNfbTBc1J8p48Qr8YDKbTufnA2Yv67mcv9Cpvx3C1mISRQP0D56j3+Ne5tyXdKU71vP770H5M7
bNEDsu2PGjWjB+rmuSlZXH6rRSO7WP5s5hdXVFuqUVHNZ5E7xpPy3pkoap2IC6OzBkc4PcgPBSff
f9sPAT1wuCS8o2HaCgilGUhc9r1f5VCabVzQ/Y5OfULe61zXTnw/cMAWlje/0nXIa84q5KzM5ejH
eTVVKIj38VZMBXOatiHETNfPccEVQK8P7Trwggit2QtYJ3kZFroEExolC1ODYBzmINym7RGuz8PZ
uAQRskC2+3rPPKhq1VlOIaBzV7vBm9qb3lFuTfHpPn4PHD/aIiFRm+vLWvo0rkDn7/jCNmQhSDM9
BWhv1a6/lUwd8e+2/ije6Eneymdw3FSb4JQepFmlgAO+EGpAOxoUqOhn1GTEf9fg1JiGwkt1iGbY
nlueop2+91Vz+JTvERY+ZK+hTXbhR/wWPkVu87EOvuCgQGIL+SeKbjlAM6MIaQmdg8ALEBtmJy+4
C8sTNX71MscPLpjNzAivgbpZQ5Ln9/12sb16HGZNnGFssS9fJfVdS/7e9pFnUJDL1tHke5NyyOq2
GUGynYH2qDT72JazM6Zp13dq4ZTwPlBg+SDoUXAXXp+SnHiq1nfzYw/Dcelzr7s5BbXhTiSPHhgX
BW6ldcl7gGoQ/gMamZg9ZMc3wrQbQfs7ZlbTuL0Duq7vRmdnZgT2dd4LaOmru8JiPgABHUJyUAEL
k8fpXXrSfwQbzW438kY+W+CAP4mfIu+luWAVV5hMSCXlJbRfJWDmTgBJkBxXZGDHcMfKKbhrzL3u
8z7zBR95hTg/BC/sUBAlDD23ECSkuIC/xNfYtxpz3I1mbRuO9yRZyb7d8RRI5mUwV98VKGM4fS3n
YIqcl2k8TcIBY0u9ZilNamZosVy30aUo9RKLTazkaUe0ZgAWnmG1A5Ek1Jot9Sk7RPY9faiffHsd
cHFDwZ4AK4UDkdgcMWg3M3g1Ec6yHa0J102kPpdovftLlFmRZ2Yaw3gISABZgmhR9MQJjxS08DUx
aKntQsJgLI/V7GYpDAhjG2UBIg1vAAjxoJQFfWAlc2ueo7ox+Vn0B+IpCp7hmMhiH3mi1A/aMED1
J5Jh7Ird+wXHBG4c+m8EYEDvZhYXYbL2TVsUYD8H6dxQGnZW2rrxKCVonvj86yNBBAAxEXTFU1FW
2Vs6rwq8IwuoJGECPikHTHC8+X/9LIDUiwqSJEnEqeMBwqxFqPOAVBTE51mgPChtZ5NMcmWf44cW
Dv4KRb52CmPSe23kzShKvMNcryuF7Vmhtfv3O6bOjGuoqahIwzNuoBuQlNcmcKt3CTk2g3KiFDPB
afsvYAhyxDJ6PcHUy9Z0x0mQtYqgLF5D5hoBzSwSLfBYt+dv4cql4WCgLodbEHLKUEdhbgs5LzNk
9DWoKROy6Y3QAdW+2/uaXSfR4yD0dhDwMt831y8DyVwWkY4BvqGhINwPVTSmO2Hx3fcaOx6QsUs2
auVCn3P9wG78NrLGKGAgDIVgFYQqGROnU64VpEFFVddrBNV4mvQFOB4KV5v0x85LOTHSbTfhjIeI
F4ktsC4gu3Vth4GntF6bQqej90q3TZxC26eGm6MNn77E8askPQTBu+FzKuNLq8RclKoipYHgiRXm
QlTVh2mFZKtS7f3AyofGrMNDPUDeueNkeBdcE6p7iLPlWW8Mj6LrBcpZnExlDigEwbtU8Y5tEmP2
tfzVGs3D+tktQckICDH5hVsDl9M1lApe+p50sBaidSJGx4v2pAdjcyzqUjAbf/wXngoCL5g2ASuN
Npe+rvF6GY2FnowPopI1BxMPpk5RjuQlYpbOCgpOiHKRjMFAp3KNYhjxCOtBDTGXYorZGZ+a6Gp9
CKVERftEvhmz7H19H5cRlXlt8+3O1vJKWnVJVepz7wb5mYwg5lNLc/Kr2oz0eFNzG8l5ePP9eRGg
1UPd5DQAXpGGv8Sgseps2A9QVMdwyoNW8eKlBdcP3vs/y2M+8RHvzDKJsaF61m8K4VnSyCbnaUcv
guD1A3a9mVSUbQfN8tGAci/WMMTyrlQeGnQHa1L89/c+lS9QmJ3z07aKo7mXZwjkjVh5721TnpTp
yw8rTifE0npQbIVTxP0CbnPG1pUJvCFTNMITd49Jb1i+IJgBz/ku3DC/p5Ak/IOKOXv1q5E6Vh6E
9TBGKNmB+CaGbx6qrJlXP5Th95Ry/MUiHHhXdUUEiRbkga/tbhwCUVSL+dacij2Nj4nyo0Lrqfaz
6P1dpzytf1ULUSCFVA2CAAQ22EXG01di34p1h4gjNowvASSrShZyXsRLDhDhmYKSD8K0m2kufESi
KtfwtUjj7MQ2s9t+/IaaBjoQCeeeXLIHRGkUpaW55M8WtEKpxBuOom0lolvMNZqJuJ0H4Ne37DZ9
i9vxEoW5PDQ1TDOjxIKaRE1/CBPR9t6gVPcQcRxfJGGiW1RXChddKwmS87Q+RAVq5aDaiIyzbPTd
k5Y6ct/t1n/W0kliiw3kbsDce8Ow0CbFlCWBigSf4d0rYXE/lC/rCIsHqUCaGw4Ebyx2mFH2SWaM
1YwQlnG478RUitxBkcA5FRXE+94EHS9TugSJxBtUTqCYKcKErj8Gr1EUryZwwpicfO/FtylWHgrU
0zEHkG7WV3eb42COlfnwjHAkXqDBeAQo7CW9q7WONmGwITC1yM5LBeM9bs27R5e+dnQ14aqGIKgq
s82dkuBXdCLobCqqZhdqym4K26OXDNsRrsyr2n2sVvb6QnmQzJ52uTZ6mQ9ISFWZjaqZg/7VeHbi
ew66LrPwX/gzvC8JRKPwyLyZrOzGsVN9Af6syUK3peJ7Jhb7vEBNlsqnZgQvUUqd9RUuWQ1Ec5VZ
XBJS26xTC8ppIJGBkIuiAKdOaDZOs4Oao86iE04qbjFUxvc2+08A4r9rC5VpFJO8hYV6KN0ocY+p
SeD6myj+GijYVO5K74nKG+5k8aKrg8XAZlR0G7GsVQHaZadYnVviampKWXpfNfHG43L4LEVByK7/
F4Ylqar10YceKGDEynf85lVA0aLMN8E4mR2PX27p2AjEZNEdBv20GwJgnwhSJENAFpG/10F5WP9h
lD21hGYIIGYWu+tGsvi9X/oW5urzQRaHhi2cltYqd2H1mOs0N+O8dxPib+Qp+RgmDDWlZ/AYcW7E
pbNDBwQqEgickSRjbIaWXeb5EWwmLklsFkT9ZTTpHpXlkhOJLd0J6EmDq/4/zgDGpYWNkuXTICA+
asePvDQCUxl5IsCLp0agH4HhFzBKKPNiL+LkqB3SHq1Hs9TqaGLYyMyjCFc9CLO5NHE3PRfw0Hjr
I8UDNzITV19D6bkwTv2Edj6taXRp3xiKn5wQbBaDCdlQQ3ODLqp1U+vl+E5tSPAoB3J70Nsq4ORp
bteM5xw8C34JUig6W4YmSk/6AlGAhUqG02vm6IF4vSFmlj2uG+nt5wcgHdUnFR3rmEtnVqx0PWkV
A5l+rz5m2rcB8kZJtsVTFR1lnLDm1iivoeY1X5wjtAwLBTyJGVgxwbhvOEaOMIoXQvBAGIPsCKlL
aW6FSzH/XH8aQmfGhBMILWGglwleEfkSzNYxX1eod5U4+GiXAeGtrSXdNqXJRhF4SZIFGLRe40bT
kUVQUM2/3q9RQrhQSMg3ZzX9DqoRl3rwH37h/3VMi3fHHxxWREARkA7rFRQKtBQiAoWwqYXB8YjE
cYeLyzEwk/2bqAJtTdfLEQxUeOpSw66NXmeJeq6bhpZnZtPyZI4WHC/EIxGoIm+HTA/auq+h/LLC
N5wYIO2D9kiqOzrF4MxJz0Nbr75pRbDRpdKaeD3kt2HPXO7DSw5JXIx+sOROWlgHkRcCVU+S56Kq
XuUCt7SIHhUxq00iQI7FN5z1z3fBT0hoENNmyV0NWUjGRjrFj5J2CnPLo+KmUz6TsXcnxFoj4ZHn
z3/TdRoUhvgHibUS8HD49TAAqdFfiG7gCnUEjzjT8I1g5rhxSl754NZe4IvRJoOUO6W3/c4kLEDy
jFq1FVfNC1IKUAiQIztTCp7Y2YK5AGGWeofjhxNk22fBeRNA2wnRHDIBe0WPQDzvl45XB9+8rv8x
QZoQMz2WnGf3EjJC6wfI21bmq0ia3EOvPLY1qEuT9gjj7qJ+o8lvIdWdWninGufGXrQYMD1rBkRJ
bmOglqotGeo4tyQN3VTBwyCPtuiZHeXErUtfA9o+/x8HpYTrb7CCil7haVgY2EeQuX5TjcnyIksg
76nxpgs8Hv/bQEQCFDHw4c93Gcs8QjGGHPgVnGWpHWSQYSj+3xfmpFm4FbEjqgBzWHW9oKFMkGho
4b8KXRYx54w5w7hJDbOkRcb5qpcWg9wxGJh+exO2GI6KWiIkMkXjs1+YhNxzQ6rfUTXzNRMDRa25
uRQjGmyg01ZiHFcefNVA6swsPHKgKWk2whidA1E4p7VK9p7cHyVB2Ot6tRPk/KUsp1Mh+74tZPA1
dXCPGpKKWLbb5zLUlAVEZL6odJv1D+T3HODNT4Wq8lx2RTTEtnD2VYcmujjIoXqqbQop3YoBOmA1
0S46wwqHAPNXniUOX/5E7EjyLaP7657iuVSgQJYGuTIkzNiyQV14qECOkJXLpb3fUdOvHmWJpyt+
6+5mEENCgwqS+ZQtmaVJWqbF6MMRwAl5tehqMp6W2XZ9N38XxZndBAexTNA6hTvjRmOuTtQpkg18
lsOGbIS7z8FOv4NPEqwsZW2641f19jg3vWeHY3yuzOT1SXgO9sU3anObTG9jbSwYb2e8/ChGTNiw
vo3KTFJiLDgfYidrX+g4j0E1w3YCOV1VtfboVY9SUekm4epbLm42Xp0zOmI4VsQdYXephATYamR8
H4fGGgrpkAS8NueF7xhL/APDRrxZBVntFjBhjkpTot01QfixfqAL98dcnEQyAoNrBLq2115JL4sp
TgWcp1Y9qt5dl70raHIcHvX6XVW3rceJFReyEdIV3uz2L4L4ZoQW8hhGOTR07Ly6i0dIFVmDZPfT
XhW+GYrZ9C9Cx7HahYQoUOcECJkbqgx2oivuCqMENTlU6bdC4+oPopNb8gfeQ5qt2umuc+OvH+v7
umQhl4jMOhXEVGmBNkMUZ8TzqOT7wSfnUHj/exQU7tCgi15nJOmY218rjZmKLs3B0jg6VTPuyqq2
MUTGuYuXfCgMRMJnj55jsErPq708NaOPB6hT49TOwXHYdDvwZ1jSt/yofmFUnlP65KIxZi9Koocs
OdCaDWY6t5oLOa8DeM/vEhMPaZ4+wdJHphjopBYReaMNgNnDPtKDEvE8PjJQyCv1T7xd1w/ptl8M
/v8SQb7ePUoL0oopEEDzm+yadxmMZiJKq6Ym2fERwoPWd+SP/75eh44W3DgymmnxWrrJ+0UYpu60
Gj5KfJbIXpGdPuHZxWzF7G2ApgaM+Il40CL0vV6ZRyrZq4Y+t7JddNZPz9oPeWfcTXvxKbYtHZ1i
mIsDEZ+9vqFL3xaaCzW4X3QXwnUxqPEY5GgAgM9KKzurNNNXkOHgpY1uGfdwbJcws+FcGP2Y+TSo
ig5O45yPZmcjIswt/Rn9tbFLT/mxetW25cHYTRzX8ZvK73ZX/6yP+dpIgVGaIsX6ZPfbAODpnB17
eK2N8oT838/iWKL3r4PwOJptUTl/E/ZO21rJ99EeTbLjtsIvXRGX+8B8jpoQab6o4ec0tUO29AlE
JQfNLhz5qcjtejM4hq1uy2N4jt8skPKtn/UiOJrAUNiEleEFeX0IvqbnBlKe+Dq1Q5u4aY1x7/4h
DuzM+1n1dsoT6l2waHSbYWAKD0cII7JRRdJVlWrETWEpoYjOR/BS99DMuA/10EyiEKMPnAtxwZYp
RnLQ4gEeU4zlzOu/MDJh7EiJbFBuxRk4ghr9q/MRqiryX89C4uZDMhc9aPOzAOn4a5xMkQovCMX5
+V0J+6mXG5SkCY9P+ZY6AjDo6UCdARuIiJv5NKOA+loKgmJLe9G/0WNjU3RVevdGaKJDdrBae9pD
Nko46Ruosa1bypKbvcJmvtcyqsayLYEtW/Wv9LU6JvfKIS1NHUZqFKDQUUCX/SK+rcPOfyvzsV6h
Mh+rHpcwmASodXoYutf8ryUe5h1F3gTWD8Eqke1RlEHCnaMdJ7eEyilEFIhitJM8S/UROn2y7468
4cSlWOkKkLmtChDiNEUxAx40tzlKR3qYDoYj/Kzt0cYEnHiot+tbuPCNI1MzZ6CQ+Jr5E65tEz2F
pG9E2CbNh31rDC6qf6Zm/FLoJ96ZpidRFwRKHOW0xXMD9TJFRVrEm4w5t77Lyj7GsxQhfLOlfn+X
Cqq9vq5Fi8SyJPBr4PxU9uGntkqQE/wLEQZ0pKuvSbgLxVODLEZrVd2LDIqh6V7GgzD8nrRuh+CK
F/kurfLyFzCHGRPIdpaZim/Cm4S9Qlv5rJbka32dtz5TRu8fHDRkE1AxUuYfceHDUoF4/lDXBYZc
nsQMxeh9Axon9SyIe1X9uY4128L153aNxRwbWhaEPJ3989h+p6oLDs1oOErhyYg4hzf/RddA6NK4
ODvGk1VKLME6cHagcHME/H/dNTsa8u63+fJkYeZeEIxJonsSYdT13o0GqEAHY/bLeEU2hW5JkGSQ
wnOZ55v1nVta0AXS7yzmxSmRagrDIJVysLtP21QF/4IROVOvPa7DLC0IBEloGUA9HQU3Zt+SWCqj
FuUmKCGkZ2r4n0MVnkSkXjDyx7k7lyK0mYKZoHpIMW/Cbh6a7NNE8YElR8Whbf37adRcCiZEpC82
cdxsReVewnR6UsqmMdzJ0hN0Jo9+TcDP/FnFMWfpS4/by9/DbnFTIstdt/g9E/He8k5y1EraQ7B6
H8XBfY1CQoKGfIp0BXoRAnPI/vo7RBSBwSG84mVE5awf7Tt5jPsGXfJZbZgpRLckC/xNYFe0UgGP
+o/1g16wJ+h4IKWNxmYJY3tMRDFpfjWmBWS+smmAeok7Jt+njuOkeRiM+yJeHieGFxSQQsjMyXOz
0bdLLkXSgslerYQxWb8sBlGqsRIVWrvNh4AJ78QOImd9v3gojJcMCqNt1BZr0UYr89E1t0P+Udaf
11GWdwxvdAU0PahHMP5El6aIwgwLqFGDVEPdGhigHQ2OK1leyj8ghMnNB0Pbi1M1H71wytRzSrfR
aA0tpwnh9lqBOSOBjRFy8PCgp/baNZYZ9aKBYsOEGrSHfbMrlPLYqkVidols9ZLnyj2v6rC0fXMF
ANNxCJMxSXaNmUQ0row0K9DHDgWy0ThC7co1Gull/ZTms2a8vo6wDjOM+twDzbavQ+EhglheCVvQ
5NM4YYrX+1xHuL0n5zQXIiqQ1oHzhy0mgqG+lSsF7wqqh6nddwFY44M+daQ6+9aPUQu/6Kcc/3d7
YNd382w2FzfMXDRt1Rx3cwN2Af0u8l4MD2P+j3l2HGROK/5C0Q09aWAWQoHWQFpdnX/MBZghYsQ/
xmiFFYT6Lg/eRIVYUTpaGgVnXgZ3NHyJfvLkGbyo7nZnZchNINeGhgd0/LHV+wnhTmOoiI+b0O6M
D1VxvHbfq99a0frbIwQQ0uzzECXcOnu7hZ6ktHWOCLVo3wftw6t2fvtayfuJR0J1a41XQOy1BdE4
SpIekYFUvYM7wRwGd30ltwG+jOQaWqaQYNPw2p2/uouzqtVuyptGQyw1HKbmXstcIXir/G3ZHwr5
4NecBOLSCV3CMXaYg6a2rVrAJcVojeJuGivXC78Jw7aJeL22i1igekDTPzqH0QBzvbRugo4N/Amu
fPG10aOtSqaHXKkcoWpNtKtwIp5b9zRzQ8598Tq0IEGudY1GhCby8/k+7PvUpHTT6y9e4awf1q1z
nzEwfWWgrgepXeYGyaNOH/M+RjSf/yTjYxkdgxGtkJzU4ZLNYSAKzz60QqPTgtk3SSrTTKEzivSg
eSHS/g/ry1h0Rrg68LL77f+YrWrFssiKMiqsPLO14kX2vnz1rES7FJT7MS/XumQF+Eb/AWOcEXK7
QdsmuBB1CASH8Y7QB0IKk4q7mvc+XzIBDC/gcYJ2eKRcmeNper3PSICNK0uwY1SuAU5pArXn9d1b
RIGuDlhcEEnirro2tKDKCaq0SWEZwsNoFKZsPAqUp7WwZGkIVP4BYXZNL3sBnhYgEz7OfFeHX5O0
F6Gosr6WxcNBSR9RMVLGN5yqWVHUNA4Bo8fkkIKhZYusQm2q/vCNQlZS9r2U8wktIhJUJeHuRIwt
MGcUkCAjooe7yUt/zIFETa1S2Al9YTe5u764xT38BwrtJ9cH1alZU0d5DnMYt3W8K8FzaRAErxyY
RXu4gGE+V80jZdv2gPESR+s+2uCxCF/XV7K4aaiTUBS0KL1pwzaiQK3QRF9YsvzQRZuG7EXDQ6+m
pfEavhcXA+cjYsII3oGdxw3A5dQrKRbT1+GmGBUrQu/+oI6c+3vxaC5g5j+/uPWStNe1aIaJWzCH
RxDfckZJM5v8X7jSebj0v8uZN/YCB3x9iSzFwKlIsFNa/TWb/H9z/BcQzJeK5LGfoeACSWf/kUCV
zjhPAyegWz7+P6tgvplaNdqSzIZcS/EmgL5Q7JY+yCrV3Oy4iYPZXK/jb0Sqf9bDPmBALdrXpQqw
NgtAXtfPI3qTK5BvWqvbDU2dblKhP9BGYHvutvFk/G/7yUYNGsUMdekDH+61lZ871fVqXsafY+VE
vjYLOQEPlV4AI6kMmwbQGDRMyuvJ5dg4O3FTankP1XGASL5tNE6nb4i8p7zU1aJtYN4XPXbI9eja
/OcXFq6IYxBIA1D64svLzHJ0uuQB4gAWBYHzuhdayNnCNC6wGFMPpD4caAcs2ZU27T68y+/yF1S5
tnQyQTSD4OG+3dK/frXPoBiOwmbhgmIJbwOV1njkFHCv4rMCgsz0J+V58Pl335j8BcQckF3sYeQn
jaJ7WJeWverZ5yB9jw2r05/0XjbRG8zZxcUP7AJtNs4LNC9oEikpsaAC9FSQuf/IDpVJT4Ib2oar
/FhHWzaPP7vHOFraQY2vV/GarqANrIStHQwDSDbMnnzm5HUd65ZeDk+/y6NibDFuhprUAcDEcZs6
ohW+qhaUyu66fbWNd8aLYBpO5zR7wVXc6jG0IVyw/gt4B8kYaO37nVjm2NqgIls0FXTDG/QxXEn5
kItTJ/+LF8flchm3jPa/uPJVoMmZ+gmRxdBE89NmrKTd+qoWcqdX+/q78ezCYjAIVaChEPva+E7l
PZPMpuhEmqLt0Nq5ts1D3KHB1hMpZzvnBax8F2zj5yQNASnAzmF5VfzaGdHOGJ6JN2Ni3N6IwEYW
WWX1bx4nfz4PhfHNuTfVgR8DtO2rTQoytbK3wF8g1x99CjGfnpMYXrwKLuCYBCfmsMpYnN1L1mJQ
CUQXVVM8JgLlrIq3lYyLkYWGTF0KGDH/IpFVNHvaesg+boPeGiF7y3s/8JbFOBk/KQJhUIDnjSfa
3OX5s1w+rZvl/JPXrINxLV2ZFKUxQ0z90zB+KiMn6llMY118Xzddwbrna1EHAH1oXqdReJSMyCyk
4AH8mc6okUOYnYsEs4ipxvvibhsor784xpFUulyKUQho6La+Kml7jBL/AMnvfaKG+8oQrQkyOLmk
OWQQOffDsg9DlE/xPJppzq6vhwzcHa3S4DKKBNVKxC8xCtwgnTbS5NlpFZ1AJ8LJCS3aCgIIjCrh
0QzKkGtEBaOIQxLNXxzpHa3snUxSwX7Ga8dfvIouYJgPW231yohG7GkTdptU162qD89dKNup8jMw
eDQ5CwUwHOFF5ZVZlYaXX6j+h7Tr2pEcV7JfJEDevFJSusryXab7RWgr70W5r9/DvnenlSxuEtOL
mcE8FJChIIPBYJhzSmRcoy9KQhhthX1sb7tDDLScI26gUzYT7XN2lFXshfu3kcupaXeDMQJxAmHf
AOb6Mvc9uh9AN6CuRK/f8lHio8Wr+qfAzPkv08rWXldQYI7qVwX9vO5bXwdrvzNkd6sonGUZeaAA
2A4gKLjL3bJ7i65ovvJBL3GcFe8Gh/8x6+zbMUlkpiLylltZ3PEDa0JVqxXOwKzn+yQOpvqRrgdk
dUJPIWCxBQaw+xfruBXJPmlzx5pl3LRFCvX64lfp3ij01zy8ACzXT0C3dt1xiiyEPa5BAoLOVFQI
L0V1dBzmAvha/prvnAiYF1909xwt9U7XAzeWQvKJfNlWHGeQZe0YDe0hrkVE5JjHItGJ4j666DJa
vbNbh035k9q2REmhuWyU5O0yKQanMdgWoqNp3o81XgdoWLFlkJAi57XVjrtYjRoz3APyWH49fclV
X00echmEt+iiY/l5cPChbPiB+x1FIhrbLfxj7dZ3YxM9IV6QXDgyEdxdWtVK49ZDh/Cgic6o7IRt
L3soCheKTaIC/JlhyHAGjqRSm1YuHIWBsWUt+dyrM8lkqKvCg/uPkA+TSUiEpW4/w/k5y/JlHT6l
XnJMkfCdv/XKc5Zqjy7AO6+fJuHSoSEURV3HwygLF+lUaKlwox67ky9fOu/B/PcoFiimbX6f25pZ
rZZRYQFiatsH10vvkxwdA3GthNHyN7kPoO666FFAL6JhcHtkJ2M6AQcFewQoCxI7SklSOpzaRFY/
ExvDP4JMLjVKnbnQcwuC1AZPiubtP/PCEpcqdAF/tOHjChVxk5PipYsOfCACFMQF7g59SRPJM0zQ
WIkdAig2tgmNNYBzuPSnqHjr7oh2ZH95BN5H9BjM3+sToPajXXms3uL9fKr2S5AfI1KcZB3AQl++
kc0510rph8U1oOPCpmniIvGTMsVg2Zz6qwc2qbw4THgtXTd5wZ0PNENMRwPiH235H/qIKitLMN+G
jusCXPSBOQK6i3R1oHiv1wWJXp7oYAcAENpvGUYGd7hyIIHZpe2hE9CiobmUe6VYd1GOQfZuPQzm
TzQF3FlIoGWLfc4sWZeDSE+0S6HXmMFK4P+XG2uv6lRNGXqGTNqCAbzQq1Cbco/QvB58HKIqUBNA
Rl7XWeBPMJCG6QB0IGAakW9+1CtaLZGG4lgRgZPHW79NC6AXrssQNJKCdMJgWenf5EZ8mn1crd4u
KSpV9mI+lCPasiBtuHE1tzopy4Ln9aw8IC/l3GiIP3x9zb4CXQMNXPaYkzQGeVb27wH82CehmR3o
QABH4AvRzaKr5WxA79H6brXPeZwHIHrCqi8ksj2J0xb4nwthnFOlKAOrjQ1hczyjdUmxFl+3O4so
yfLt+lILbiRIQiUVLxs8PvizUrVIVng94rpuGXMwMCL8L9JUCbRFObZLau26wtMIAON+DnP96bps
kZbAcgLhAqpriB04x1QlkTugZR0O0EmOVQxsoAoJOCqbz5WJ0bljolXLWjtQEd26nV4Sk8Zkkg1q
Cpz5xTqyY7OJj4dqocB0RKVQWW0fs8COHjSDEZp1eH3NRGd+u19M2Y2cJUOisgdltB8v/Z2DqLEF
+1XT+QpwzScZx63IOCxAAjO4Nkw38e4tGdZOL2YoRft+9FtDBwioas+vdYX5N9WsfqQFGEDqbsxe
1I6Wkne3aEnRzehi/A5D1UDnvlR1mAFnTmcF7aBr05Fs7YYHa+jbILWq3l/XmUrkiZYWAAoWgwAD
iQAPaADsgjE2c2jbAoxipK9ef6LRQYtv00FyvEWpG0yg/iOKRzRY69K0UhP+zZytiGjW6C918m4N
tp/r0VtOuyPaXr8vjX5cVNlD9XcBnktMadtjxz091txb45g9Paz78q64H3YeScOHagdI0hWci6xM
0X8bbwGgZcnQZQXhwIVo7pRUo93aKSueWcuDpvv6+Dj0T3p+LpEQlxEEy2Rx5lOMrbbOPWTF83Su
qE06sE+bYx+OWfKQjR44WEfJvopEbreVd2i9hQQ7covoJsseRg2IKZZ2r9Sdn4+YP1wdh4yW8nDd
IYhOCaO5AhqYhhwV/1p2s9ZtJtZuQfGvrfpK9KKlebDIaIeFum3kcF4UVfx+zAzIcaMpuK2CusK8
e/ug5DtXl/g4oSjcCugCB2IuGukvD76j0JwaFhx2DeDrGPScAGBth2DotINl3riyUUShOBYXYw1x
E/LNcpHVlNbvEiFV4/TQrrYGlDx0ey1lvdx5pacFRRrdNsX072EdMAWPoQfgEOPN+qFTxmgxAZku
CI6b8p4hOoKgT233181DqNxGBvv75r7I8sqI1Aky5sz5Noz5TZSmPl6EzwigjxhSJIYiA+IXiXTA
uwb8XeBwf8AoGsupdVfWrTxpnxTF9+LPznrsp08lyoXSZJHoitoK4zxKTfUocZCKRj0385Pxh5mB
Q+w3f/TXAnnNaLpJrX/dWQ7qaGQJ0G2CvCIG1i6XtEnSUc2YSEVbd7M2nNYh3dHJ3l3fOcEsM+To
bLBPxUICav5SzoqBtL5lQaA+UWIbz3GKoivQ6TAOEejxd5S4kJlSQINZymbxRIsKEgDWOIrjYPGz
uZmaYeikwVlXUQ1V3DQs0xfVeaX2KXaeKiNFa40kFBR5sd+weBj8Y/Q67Is2ZgqkgjjrFayplujP
FGAXtNTDBEOGXSXDShJevhtZfAeHOydofcqxrmb+IwGHQwkuHB8Nei9dnIZpVR/1YW6J2nj3rhq/
Xt9UUYzBgLLRIgk49w/VehTRxp6quPi9AlgX0ZOHkArNcsRTYr9qJN09MmHc2VhXTGlmGoSNxncv
3utDERTZW9uGM8YZr+vFfoqPKbZ6cZdtt/YAdWE9maP2qhdfgWH0F7+PMj06gTEohtmgS/uI1SF2
Gw+/33vls5aM3/RSCf5GhIc2IpCwAYSbE9GoneHVKNoBgz4ogLitNokkPBBA3+BEg2fmvyJ4wMmq
UUu1yBG8O/d16jfn+Zjvl4f23dzZzzb52vwCW3hYh33o7pWJGMfrCrI9+LBHaClm5NoO0Hd4fxIN
45QhF+w76uBbFVl6MFfIpgZFzp/1Lf+vEC5MAI654XasDGJ4L61zLItAX10MJRt+Od+X369rJLS6
jTAukgWU5tJaFYTps0I0YPqZsiBSuGYAkUbLNDCePsw+o9CSOnqH7OYSo/8OcD9gbitetKyX2LdY
DgAX4BQAJ83vDcgVcVhZl5zrJtNexQsnzDF4EWhaL8uOCXfIA+ECHC2CRv6Zo6hZDnY6uD9P7cLB
PmXgvRp+Wk1O1OqTET39+y1icF8Yd0DDxwdsIW8FRUXlwOSb5W1AklORJcFEK/dHAMYgLz3D0q5u
WbgQYE9fHSjROqdEdmXIZHAnJ0GVu68yyFjsnZc9GtYdAu3r6yS6ALdqcOemUamKKhRETOM5yQB8
e2xoICVgkynCHRgLLEI6NSClM/pd2ea7BZ195dCF15URXTybFyb/cncU3Rsm5gQYB7pLEu8lR3Nx
bn+vvF/XJQkV+pNCctiybuKGzKMLQmtIasAmZIMJorT3RS8J+ITpyK0+TN+NlBbDkUszYdnGdH20
XIVMLa7tRAtsM38ZtSFIvAEbt6D2C1SgdRhJVae7osjuunaWfYxscbmIvlCLvjLZ852elHvveXkE
hzNYbInmEG+vHqPDElRh9uK+ybjthYHTdhm4G3IxrV5fMiz27HqvE2Z007XeFQA8derkNJsmgfPa
Ax8iSMq/aEG8SBxwpzzBG5earFk0Tm/n+VsLwMQpBADbAogT7fm6Tf0ferrIewH/FhRSnJ5dO9RL
y/odMcEVHYvFKHfIGb47ZXzM2hnBWkEtP7ey59rzTmq7NLvrHyDw0Hg84fWEOxozavyDdHSjxKjR
Z+XHdYLT+X2qXViXb017czxlMucmUhfiTBttC0jpo5Zxad1FO2WenSF94CbKnakhLrYG5LxSfwC7
WQ4YyiWxw0XtiboUh+uaCo7vhWju+BZmN/RdAU1L7TZrwqJ9rSKJCMFxgQh0xxosw4yhpEvtKruJ
0pk1gGTtY0YDxQwzbxeNN4Mh6ccS6gLWXszWIFsJGuFLQeOSa1bqYBlH+6Avp6R+zaZP15dLqMtG
BIuHNn6oUOw4j1KIqNIwo7ctIEGBl7vOB09GuMAWnosVMdj3Rxlu1dZu8ua8wcYAeL1MT0vzZY4x
WvHtuj7sIH2QghErNgoO6lb+JV2Uytjr+YpLryDaSDy/+mqE9KyDMPe6INFbGhhkeLUDkxfDub9x
kzYrl6M4XdQJs+3b5RQ/LXcpAAeVY3wsIY3KKq6CuHQr7UNDKnjg1URRUSM7J/vs3JyTXXrrntVd
vF/31r6T0osKBWJs32M8lug+4jyWk1ddsjpQzwOD6oj64zBJjpHIurFB/5XwoXMh11Nv1igkqMrD
CF7s/lhGwd9s0kYGF2a5YBeZohEylsc1WO4K4IH86MJlF70lX5TdX7z3dODeAUAJzo8hDl0eJqD9
6ePKStNxqc5okgQ2P8LwklxXSnSQNlL4TL/TUENtJjwgqPk+mH6p31TZ27Dur0sR3RhbKdzKmVFJ
lSSFLpkHDHWwVM03RbZTsjfPuKvWx+vCRKbAUDqQ6WZUBvxZcilgMgBdhC7ypdORc7N7Mq1NEjoY
aJWsnkiUC3PWGE0xkPA4h9cY2griMbihOj+gvLtkX6is81i0Qa7HpsYwTW9g4PbSDJp5Gs2+GtG/
kvzojMCtdmmPGWMZWIuoVQBwQf/I4Q0hxvywPqGtDViBobaLQ7AsIan2YEVhESrnRtb2I1y5jTjO
Ipo8La0O4JW+2qMVvgHoKmsTl5xYmRDu0eIN3qinHbuPpud2OhT9UxYf/72xbZeNu1WVuojdFF3O
vmZBAXCv6Qnm9CVmJnKfCPXQ+gWDRl8xt1gKxcMeUR8rt09Bvw43iyprXRKdUBTZkb5ygEIPP3pp
ZpabjKUOJHE/AdlOE81+vdR7HZnbrPYezeSba5SSlRMFC4CMZnNPQKMAkcOlxAEPvSlmKYV2BtL9
2BJdebKKmFiLQlJLArghE8ZZQmugta3Q2IuvCmsgCi7zqV+z3aKBdmd33SLYSvFBw1YvziJYK6Cb
swnZcb5TAbcN3l8SZWFZBn00YLLlQcGT87pIoZ1vlpJzQ92Uj8s44P2HvttTXnnvA7A3DDOR9b2I
jAQ2giIU2MrQ2s4ZybjiKR4ruCxm9Ebr+WvrvHpoNXeOWnqIEslDUryO/wjjk5H1UC61o0NYEyeH
qagwq08P4OY9pmZFFGf9qdszJa6iyqYLhR73j5Y8gkmiZpOdsQmW2nIJbV/mWCdregvaGMm2faSb
B7DtZj11zippBKc7MhUnvfmaaGZH1N7CXbKcnWYOS9UIMjW5n93Pqh0FtfuCkG2f9ToZ7Olebz7F
s4mSakpUUOL+hUExUgOgCiMP96Ep01AKo3FwNmc7PvQ94oJ0+NWunSQsEJ5K1Bl+07kwgt9LF6D1
aLQ3FNzUtvqpj54H476r9uuPeHn7C3V0hLwag/X/gMgwee2otCv8Z56Z/oL0h+dgcl3WqiTUZhMM
cNq0RV8mrQkpqp0/4lv8HCy4ETDPyqI+DZos9hDf2Bt5nPWs9brCleF2QxJHJ536Y02+1HPpq9Tc
oep5u2rLp0h9cfrOtwsZu5HwkGyEc14un5WxyGPce7pa3LjWc6lGz3my7hys7L/fPFC44O2Po6IC
HeTSSOIyp5FRQ1LdnsFW1rXnRMZZJkwxoCETlsggpwFofCkjbVD2cGYVt5/7nS6f4sQhYDHDhPYd
hcHMGdGzZxd4m9c1E13rW6nMoDaPPjxwFw8EjfBwoN0aVN/GdMR1CYJdgkJIEaE9HNzpfINUi/YF
bBIOmDnrL7mBx1dqxN/obKFdaZD1sQnsHw2XpoZihIZ3C3+hT4u92kMP+1e0H8BBCOwlPyrVErhW
T4zs+3XNBFfehTDO+J051vRkgrCyONG5wyVEpklSnxSu3kYhzsZB6rga2ojUzIomr1V/0YunHLPs
ifLjui6Cm+5CF+76nnpF7Rv866f6/AKogJ0zoN/Ia4PO9W4XaryAUCm0M5n5yZaQ/X1jfvaqe+PE
JqwUFHltNJSUNeDcj9d1E9j4hW7cyXJdGmtNB91iwKCUbkumQdYXJ9ODO0YUDVtzEUOPbDZuMJuD
6SIPihQSPyQIfi40YX/fLFcC/s0a1OOwBmdvD2d32M2dzs4TsYbSryU2IV43oNUCHhrxMf/sG0qt
tLwezh1wtYHR37SpLOf0e/KeC1Sh0D8i+Bdf0ShgVVYgwtoZB4yxhqY/k+pGeblT76fP8Rl9y5/Q
f3Pb7KMw70j+rfyVyz5CdIldfAR3aVp957IREGSGEkIn4mnn2fKBOeWAegWIBFTzUZq1ZWLFruqP
6pz3SLxRGbQaUovWIr3xWJafm/k8JjOJZ4kTkWykwzkRY07zvmVpVxuEW9OydxXZ013sPv4ow75g
Y5i1AkiH3mMS8NJwJzLH4ZTty5wRooH2ZT/JmFJkq8c5jhRlzHktIRBEF5hqXdeHdMp9mgaT8eW6
9xAf7T+qcd5jqryyK1VIAunLQpHV00ilybKhrDZz7Rxw/qM1q36gKQIMdUF3dGCnb131ZcAM7ah+
qbJg0ckoQ42TGQXnSzCmiQkGE3oZ2iuNvkhTlbJ142ImrR3BazTj9wcv+aos0wFYj29DY+2ub48o
btqeXpcrew0gjBtXZtxNbGIocQeUuD4GCi/AvJNbuwoq/WTJIP1E1c4LoZzLSDt7LqkNRwxDd49p
qDZEO1Q36RH+w9T99l75BB9SDcF1ZYXRAKDKgZ5vodn7Yw4bkU+kQ6w7xUFaqkcDiQpH+e5gaOi6
JKF1/CPpQy6701K1pBSSlg4Tl11Nmv5vztVGAreEteNQqrK7rAPmujN+B+lqLENzE96XGxm8j3Xb
PusM2IZVfLa95zW+Q2vCXAA330AHuWTJhC6JERY5mHKwPL5GqCmT02L0HWdYfzQ0VGvcYO7PNL1v
lP31zREerY0kziWpXkZpbjJv0T+pVmCpodfIPJLYAP5ow3kkI9bTep2gzaQgYBpDxRjCSg+1ZiCt
5tfdBOZGMIOg3fI1Lz/Xoz9RycmWfQHnoADgith6gJZ9/cM2vmPu5foqCu+szSpyDmotvDUqZ6Zh
9RpPT54GQr+HiOLgBmUP9rhGNtIgMRCP81TWWkVmBY50PwaQpaP60epPMXATE3+UlaJkorjDZU+d
vlKN2SISRwrbr/d0eR/zkyXDqZZJ4o6YgTm6yemZpElBo/RNqiS+1hN7/j7LmiuE3g9w/+iXBoIw
EoCXQUa7LoAAZ+UB1X1TBtDZ2d8G66GXtYMLT9dGDH+69LToY5apWZ2vmFobp7MdSfKKQtPeiOAO
1+COGnXYy3Fyn5Ph12Ier5u2TAXu6FhZawO4HSulVyCQyuNApXsj+vX/E8Kdn8Vs3Wlk66SPNog/
S4By7I34/f8lhL/dy67LBuQJ8C7FPZTp4apYxEllGJaS9eLTBt1oZGbP0lia85KYX9J4X8gA+H4n
Uj+EeH/23OUOCjgr2yJnmjga8Q4AmLXuv+gP4HV60O7aIHsDmGlQDMQM+vNLPIDgmbQ3isSlCg/r
5hu4h0DrogPZZTEfwDd8a3xNx9bv6nOenjVMGl/fOaF73chiZ2DzJFBSPcmdFrLi5msEFtO1LV7V
zAjopIaD5wVtW+4su/x8Xap0mTknkUR1peF6RNi5084aBo3JugM316/Sz6bAPq77+hzddGH1qu4e
42/96fW6fGHEsdGacx7DoNnFyt7M8fTFbF4UkEGMnb0rNA0FJtslVZ6nkoVmP3nNsDhnUidjNLks
yBkaECglxItCYBMSRTa5JTsknFNx7KrTZqaavhxdEFNOb1JKF5kIzqUM3WqquPNhn97OmZ+q4pt0
tOE3yMyV5eJv4QVAgLW3Qo3s3Pv1XntKCdrkHhCEdmsQ31r7SvObN30XPWVv9ptKpoN+R30veDH2
ZVDKsgASjfnyQ1u5ykLj35v3qaAPXv9kppLLRiwCEyOszIm3A2cfQ2FMrcpOxLJSkmSHPHrBhO91
sxc7lj8yONugth7NmgsZabG8pOVA0tnc5XNEmqb+XJmyvhThKUNDCuAcAfOP/NSlb2k7MOOVBoIO
B2NMQMkkHt2NXRq0zSnJjqqshi/OEKHwbaI9G0Nf/JhRaVd9OZcLMr1P/Ss6tGEi6RmDfRYpH8y7
XlaUE57ojTjuqugizJ8uDtRL1c/mcnLbY1L7pXu8vmcieCvwiP3RirsNgIdRuVMNrZSD+7iE6m16
MuqgeGu+dEQ7ZvvslD9YfhReFys0x41U7l6w8gJdJhWkDsYZ/Yzq/JYoEs2Ym/hwxDE1qKEAAPB4
/iU2dYVulzGKGgXGk9WDloc9MIL1OejjvenMZM3f/kKnjUDO63dUV3JDgU6Fu+hnGyGxH1ELzTjq
IgPrEi7fRhR3mle3ybN5RT8g9fLHtUr8NHZuilky5y20wI0U7jzrOLp9TCHFLvauAf6Fh1K9s2SD
MCI0WDTw/tko3t/bYKCZPdbcuMYBJtYLtSN2ctc24Vy/ghrSTW8wVpdGN2P/tGSAHdp5f/WWdtgM
JjDJGDb2pSuZTABjTzYrgKEyZcxna/liy7yj0B43MrjVNNCqYFqoQbD3emIEZfnNGb4Oa6hFP1oz
bGWQBMLN24jjVrVX4kHtIqhkmu/W8l3TP9nejTTxJnzDgJsP6GMmSm48arC7FFZdsb3rl9kf229J
JLFBoaVvBHCrNpmJmTYOBHTDPi9PgPiTkhqK7hGkh4B5zK4uVOYvNx/oA0rixnC0xlJXT00ynDwL
/TgrzazTgDG6u1gFaZFu9uXhusMQbRGwUlz0CALbw/qAEDNXs+VVMxyG/eQ4j+hCnPWbXJZBEa2g
AW4QA3As6Ofle2XAQqk0bWKw46UHETD3YmsFPbyxv66MwBLQ54jhbBRykPbiyws9mAGU1LUKX8X0
O+DTIpUA1/MviGEupHD3xui1zkxtSAHSy0PTALu8LXag33nuUaqxUau5rpRg7UAqaAAOiqG2gQ7i
0jSAsFyY7uwUvkOTsO7678Yw+7aiSkozQjEGEu0GQ3f5wMLkgOQAmDlu4Y9Z816NGJvRugdPim8l
2iIwP2KoEcYGm2OfsXmMOaldWmaiFH7kVlbotnn2pNrJ+5rHWZga9FxGzV2e2W81mn3JuNq3UVwa
RB3WlsxR6x3z3pLhvDHHyl3SbLjXwDc5lo3Z4ctPKq1GS9c2KTF5m5AJFBv5emcNvpafSu/T9b0U
nDYgoaEBgSElqiC9uBRVYRA96fOs9DEhgyEKGkd+VOGO1pY8wk3dK4OsHiZab3Tj/ocWA1RxnAvW
olLpDK0vfTrOI1Ezu98PTd1LxilEMCW2hUFpHD0gCWBjLxVT1z7q6gWl3ybZ6+pp7MLEu60Uv2z3
cREg4bDv1JPddKQ3v0dumJifk+4Y0YdUhhUsAlC7+BJuifMsTuNspqWfv/bsIdV9a4MWpLA/6T5H
BvKYnK2HJHRDerDvZOCKIkvSLXSIoYcTRHk8PtM46sDdYJbEOvsnr15JNdgacfBe9cF9mhC2/Nct
SiiSYTkC9Qcn9/eDYXOektmJ20orS3+edx49gakb/31ZLN1vZGNdogKX/Rs38r+yuNeAmdpjZpuQ
tQCSv0wO1ZiRPvXV9W5YA8N4XIBw1CnhdQV10ZnZSuX8nx3FWd3PBRCTypxh781Odqtrdf8litzl
1h1S416LbOtnNM1us4sH2leksNXoGKva+DgtRYWirK6BS1uZ1aOnjd3o912P7ovGoFrlF4qnfU/6
2A6nNMYVNWDCaiaFbjSHKE/jl6QylyJolQFzIdFoSYpPIu1gMQwh2bEwP8Y9IK0WXTWWC3NVMtY2
fQDVdhq/eqtEDLN63seBexo4chaQIoDPdHk+valoFw3Y6qBS1/bdrO3cPgmXyJBsltBEQFyFSTgd
nDh4EF/KiS177KcOd+K0ADQhLKfE+qWMHc3JEulZtPNSGoVAuByeCrhAxx8rzLGQOC8TWYXydzsX
r7Kh4tZEPzWAP/imkXXJRsugoBYxdgCfjo5aAOw9MofftSBGUz99jEPj5CxEKYjukuyUHcGxHpYH
YKod55slrPaU0PBZP7fPlf8Xc92YHf/n4/h2E0OrJ0VhvCerBbJx45l6R3xkYu4n57YaJf3eos3f
CuNsbIrhsBS2EgAQ0XUyKZ36UwPuyxNV0uLz9eP64b5BXyKCcPhAUFZhUIwzNA2EBWkZ1zAA1Xhz
lv6xR+Ty70XoloY2SBWwQ0iEXNqYOk909vIFcVdDbR/APIOvxL0k6hIV1i92iHN2Tbk6dsl2yH7s
klC70UM3GNHXQTDWsKvuolANfl3XS7ZNnKNbUiWv25wZbPw0mMdG20e5ZOlEoBYXWnH3tGnVdtNP
kOE8v6fhehyD/AvGgu7Pmv+wHh4iUibEPKc7I4x317WTLijnGqzV6/pWh2j6y/m0vo/334BZvgfK
9+mh3M9+3kh2ULycbO4Jg3ZwrJzV642B8WiKy7iwfs3Vg05vpKTOQhFIG6gYPgau0e+oaHP5Uq/O
0qlDMKtayz6fVIJuCZRrZe3FooFIIBd5HjBV2HSsy1mGXtBcp78tI63Jspjf4up7SYuz3sNFLcWP
TnN8zcx8q8wPK3hT4zx9kOweE/HBm26CZG738kIdtM5gxglmuhDsqW+qp0w7y8Osc1tkyj6yzGe1
cwuiqunNbKXKZycrnkqN2iHgKRWJIYuuTeB7Yklwq9l4GXE+wK2m3GCBdGb8HLRwQuNhux5sWSeF
TAznBCKatZPWQExe30VZ0ES3NMMOyECqxBsMZnA0ItkI4/jrmU5FnvZtXvpx7mS7EWQ6mZeds2X5
5NG3pCpuu4L6rZq+UVvZVcV6tPR3yQYLMhC2sfkE9veNLWtalsSliU9w4iD55DYkS0jxawnb8F5X
yNsUxM/aQvqjdxwnkkluKFEUy0hDGYic42K071L4GPflaFqILAcTRHqvMDYy1/su/VHK2piFam4k
cQ7Q0MEF17AYthuswMvfk4SSfFZJguRXSqdjE02SqseHGxGw+HjygQ4VzG0YWON0U+Jl7AwWvyIz
MpMyn5ego+ZflG+QWoGvQ78+kGE/HIglNQdVrbCCKOHmLzNqA+oaSGxE0BwIplCVjei7QDvgJ2Ew
NeKYrYLoTo2BX3qal1fq7rr17AJ+HQR+mhM4Mkga0VjQhUx2RDd2GacRKCo9yNTBWFvngQZX03wd
jTsj2rV6sNr3Sesv8ETKe6v7BdDXajUYyqNdH71alosR3p+A4mH4u3jHA6P98mu8qmfZWxbf1jex
RyzzZzQ/gvpJicikP9sRQDlDDUSk3b2V36CGEQFQpT1RGjbT5yIN60xyq4oclIlhENsDvaEHTGDu
e+YaeZQCzwdL/bn2743tALzbBbSSdOpSKAmzvSbGIQ37A/6v40Vx0tmQ1IdFUB/MPcKHHdAWzyNa
Qg/W7n0i2s65T4l3p5B+TwGrQmr/cxICTMp3yXyjhfmxunPBf0EOw/uCIGN8XfcReWyC6DYJX6/b
quhqtmCppmeiKvchSKR538+WOSF8w5sPlrOmD64MBkgsAxhnmoF3MV48l4vfp25NMcdd+tViHRyr
vXVq7aBovcQ5CpL2NnwIS6wghwpncilmyos6LjzkVqa+8lKyTpp6PwJL/NSpbRkY3aA+jlSnp3IZ
VNtfyqR6u76W4led40BHDB3ByDgrw0WrdEiT4ZF6AAENJfO32Q6sboc5/4oYklBDtKogDAZhENCM
wVHB3blaNlAnykc8jaadZ3ypSqIqsukc0S2wlcEtaY4u6jZZ2bGJg9UhuX7QC8CQ1zvg49iyqQ9R
JwhKE3804u4cFI6rJIuhUdrhhQlxLQG47Of3el+SGLAJ9d4BcWzhI6N8Xv2T9WM5yGjXRJeQA9hS
QEECYglZzksbogCeR44Qn9CtOAxUz0hGM4mZCDduI4N5kK2nLpUZlzhkRC6GI0F5rh31PvnmlL0s
6fVBkstgQWCQKqo+OHfcgiaqYtpjOlb+Gjn7VIt93SmDvF931+3+gxicOiDEwODR5Gfgn0uFQFyd
rjbFwVPaYzx+VqN9KXOrIkPciuCirrYxFiTJIaLFw0uJzqsdpmj+GFXM77igQQj/QqNNmpbzWEab
G73bMXGj7puld5vMVrik69N1MUKtNmK4I0xbtB8PLY4XoP7B4OR0HamUN7v/5CnHRjqvyH6Nf5ps
c8/cYdbjVF/NCdKQaRiK9zV2SFK+IHZOmrfBDetaJe5PtT2C34Fc15MZAC95e6o4A0HN2FHiCpdM
8amv7+zhfl5v1ew+fb4uRrScWzGckZTu1GIkDgpG+XPcm6So/d4MwG+9mntEzRKlRNcNwA8MhvNj
AdyVO8bmOFd6PGJ0tnsvUfhOQOqZnaKnJSZ/0YABcFAVyU8dcQXway/PV2cNNuhDIUm1btxsX+iP
9l8g/W9F/L7ZNj5JX4yunVq2Q9PbOv3Q+0Dr/FI2ui30rn8U+ZBqSPXcoBMUGdTa12lPgHR23QRE
rghzMMC/sRl5yQfCsrxBbcHSEGoYZwsQESVGc2TVU9HG/y6eqkhGI2fKnSNvhqPt0a+COjoKCPsV
EAolXkd6E5O52Q9VHmSTxB8JI4utTM6T21Wu2Ugaw8XGoN2tzkPcAf7iRi130+L38R2oH9Dgf30t
BaeW3R+YATZU8LbzKXdliLMOA4x4UWBEbGR4vuXPbEEzTvfNkAGa/a7ocS4CwvCmxxViAdCMs3Fw
LsQ07SLUTHzTH58nk5QlWTDI8JreDEdjV55Wv3ryCgKouvbBO3p7WhEvsEkWmr0ve2eLknDbz7G5
zn+7joA+pUD36uzubb/6FIf5bXQgym1yY5zSZ/Xp+lpLBXI3TjwBMr3OoH9qE8wnETeIH4eDA1Hz
a+QXx2b/QyKRmemVFbf1S6+yTmVkjDkkTugDJwrJ/fmU7R5WZPsrkD3nkpMpehJeLCl3bBI6TZiG
hzyA3p+N8zr6HslJTap701e/1ncxebO74A5bjEH6Hu5UEqVIl5g7Q1XS1XZf//6A/rbXd7Axe/c9
Pr2hrBE5qJ0TUPBIpnIEdg10NuSqgMTvwSXxTwIrLmjljMAFoRa6A4HIYbsjWfJwdOzdYP1wgew+
We8NUkZenOA9ukPCnuTeLyNbb0tkMWl/MOfz/5D2ZU1y6kq3v4gIZtArUFN3V8+D7RfC7W2DGIQY
Jfj1d+GIe1ylIoqwv4dzHs7ep7NSpKRU5sq1iPfS6QfXf056ttGaIvLAdLo2e3W53+efSnyQtHhI
ftWzU6dk5FOJn1q0GyqejfIryheDjle6/Hk99uaVPgs9CPO4UG9Dhq2DoVEtwrQEejJt6hZhX1V4
S0x2F+TFxFcOzYu7YLZCnLl5hJvz4vwCxxd3GQVSA9Re001btW+SmFC1Z+7b37vjma4JmT0LYBq1
7DxYXQz5ETQN9TT5XqKiO5lJeN3ERWoDX2YGZTSuAdgxVEgw6zSrQN0PrSn+dbReuglSWGgLJEnA
6Lvj/sPKoeiPcgkGyU1PJUOzGB/zyWnQOaLNu2Mkd37avJNkjcp9zpDOwwDv9LnVCkgVTKmMgnkr
tSn3yi6UxTbTIhY/5m0kyMoWXLOinKy+I+1UFqxDzXjvjL868pixKCHTym25ZkY5Tn3usdEwii6E
Akt30Fv6QxtY/QFO/p8GADMrX2jNmnKYlkXnE5zdHVLdX+64IfTVbW+KtV7U5T7FB0K+hhQAUBU8
is+vCMdrfZKOWRcWSQrZJ+4mkT3StWhb9OXEyvzPT3JPKglG7Iq8A4mcH5W9vzNn+QJt7tJs/3YX
zf4gxXAR2pCCUN4hVVFScHPAEkqTKDOHWh/G5fcOoUEeQDW4cuNd7tlza8pzZLL7FITliAjZdLdW
PLRBzVsa8MHotoCpjIErwMNUErJWtVle0D9uKrkUJk09iyRwsxlfeGlATpIEbMK7wVo5lS4yYehp
AJ5F8PSHbiWI+c6/nO0Nfccothbz48DtPLwhaTCa2ibHfQasU1T6JBTWGsHu0sICOTHL1v0+FZXg
r6md5EaD4O8kpGzAjvaSGIek/Ez5CD0kb8XJy9z7t5d/zCl5A3TBzEEfYA60O5vcufcwolfp+9h6
dMQbpduyD5Hz/32knrqo7LyBo3tRFLCZdL/1e1mDzBcM7clG9578tXfZ5bjEbxcB7AOy1nBxIp9/
SCnBZus7EFgk9M3R0bvctdohZ0mQWXeGiVsHgBA/8nDdXHfzEoWmGFb3vqhjV+MwPMTsTm++Zf73
ir/VWhtCdBJ4OOwPSzuMHUg9XL4jSBArp98NpbVrUwyRYIok5lmkM2vrAhdy/cfNTqvXE+Dl/1sU
Jbq7uk2YpSG6QRwcmPEzc79kcsXGRc41+28YM1DMQclR7ZM0TePGzQgbIOdsgpFgeqpNxRAMbtFv
xp7d4/m51tq7bBUpRpWDaSi9SZcJpqVHr3rLpNh5aR9xJgJKoUcN3OiAtltWf+XoUGfOLyufjrbx
VugYF/aGiDljZFvTXROz3fUFXw7Dk9VQDi7dTXqJhLMLLZAztdqH2e+HYVeMPyAsFzCxSfjRK2+G
/nDd7uKHBuYTqlzAQKFtdR79DPznaYY5eZB2sb3jdXvTB4Ed42vuXbQFf6874A843SGz5CjnFmbY
SrQ/samHZgzjoQCoadh0qGk7ECwwbPPVTqto8PKncUpXbC/d5DM13/83rZxhtgCansxnWO8ON7Su
D5azdhksr+IfE8oZwoSZ9zzHxyOdBMuRjSMEYk628U9HxokrypEhXKab2QhXapRAonyPHtovugeE
9q7Zsz3zw0fzxQ+ICPC82I/P/xIqf5xUQoWzLhEFoMghzTGcRLJN4bYbMZYrOevixXrio7JDvbjt
vXa+WH16cKatXz0TXD35HbjeG33f50//N6/UfdcRC6hkLGlhRK04uu6dK/+7bmIlANWCSpbFgvA5
PdaqV2k9rCaRi38fz0n0MgHOwFl6voet1kayCqrRsGAPXfNSk/3137+Yc9hAnaD8Cmo8NdVxy6Hy
ihZnRKfndyJ3A8vIXhz+6tp837jF7SDbz+sW51C6uH5OLCoxUJeuXhMTFt0RTfpw1B5rbe9U/8Xd
SrAtbtwTQ8rXF0RPcgwVgmbWf+hBJWr3GAZdwwkueoP3PgiJ0Wi+QO7kYtIy26pxAAlcb2UhDxBe
qIJU/6KPddhN+sr3WsqBAQCbYU9ofoEj/zwe7L6K46psZqf2rf3hQ9aEbLs1RYHFqAABJFJfqAAZ
Ks2khmpS4rtYusQtoqYD4KeocXe3oZHsUW8KtGr7D0Hxx6A6C512FWCjAgbraueb9w3Ejqqfuv9q
uCt34uL3OjGkvJoTza8TWc+egU3G7aIRXG75p2mEZFrB/fzWkFADHXVfoA/QpUT9RIm/0huTZEw7
pHwsSEOMP9y4ody6Y0D3NBiC/OAcxfY+u/n6GEck7L+8tLd9VNw6u3rLAix5iPr7ypa4bEXjqj75
TbZS/+W6aBrLbSHJ+/BF2yQ31r67rZ6KDxDb3U732Qc9TJunXA+cx/o2gS4pkvOVzPCyXDn/hHnM
BiKJ0NZTdSTyhoOig/RtOKIueGPtZJRGEBwawm6D0ZtHKzB36QqC4rJGq9g0z3fNWMTgPvBh8zOZ
QrDqfeiP46P+pY6+Qg8nGkMozkfpjX2LVd87KxF3Od2sGFfSI0GsjBA2wOGbGTdTbeIxzHdaKLbi
0dnhGXtX3IMtbG2d5/C6CL+TdVZSowTP25jnMIs+YVRvnABs2DlkO9ofd/Wr/eAHWuQevUiPzF29
ckj9Hve5Zls5pbqxFvpoYb0xm7GdgnfvQW4/n92g37qRcaM/6g8ktHZ2NAb5x0u/RYa+RpS7+Bg4
DTMlnRpY1wg3xk8A+beBEOs2z1Mgt1r4e+uxbfmF77wba7M6or+47h7onNBCxZCXmg0DAzG2yYB1
9wLw5QEuBbxFMHyxtiD72kJI8DYbAY3K6rDcxmhxraSRS/mCdWJd/eptgfFEH9Zj0w7sYWOS8R8s
2CA8sNA6g/S2OuTEtYIinCVmpIssBNo4zFY7GktLaANUBYAH5HkuGLcNVoiM6jDRYv4/qvc4pLtP
RM7tD/bOg5/JIXkdg/TQh8W7v7aASxfsqW0lbuzWsCYjhm2SD+BOCRMWpSgdQOLx+o23WCIADs/A
JQ5G0wsJIndomryG6HVo9cH0gwTtLPH9PUG/ynkqAqcJoSAbVl9RIBHBuFs9lZayo1PzSqBAFI2W
rpzXeAycH/JLfszAbwq6GEwJBn6Yf7fw0Cgf/lvxeumt6GEOF9I3FlDz6nxI1g1ZXAsLy2u8e0Xg
5z9d727IX3PzPXOiNL8Z7JWFXrzzTk0qCadHLZFiHrgNGxrkT8MeA3kPYGO85Yd8L5zAhZbzvZPj
AgIhNLqS2QbT3ekbejfXXV8IagdvY4zHoEaL96qSecRNW6ayRlNdum9VFZLygds71BShwwZi/Qd/
LTNd+MCobM/z5AB9QRdNsWeao89co25CoASHnSQAuNlxNuAhBLWZ664tHDoQYJvHx1FocxwVKFVQ
TgdbB7U6mu5bn4/fwZ6zkk0tenNiQvmIjA5ItUGQC0q3OuiqKerEwzDurvuxsPehKTK31GaxaExw
nqcJbt1nFuUwMlkohSb5poc70NSKv163s1R6ndV4MCOFN4OB0tO5ocQorVbruwaq2zcS6SH4fgcb
xGhBooHS5eAXR56+XLe59I18EMbbFpAIACQoviVWxrN86Juw9csti/mh8JqVMFiqc8GtPzbMc7cm
J3VZkcNGzoGyARmk1YQV40FnbZsumsYgmaK026bJyvjxUnDM2vMIcmBXyMWVRBinxAdWxBrv4/gn
lS9V/+v68i2GBnj3IdGCTQVw1LlruqxGNg5DA26r15pgZNEC12mGG/b9up1lV/7YUY7llFG0QzvY
gd5Ebt3b/b2xxv54OW2Cb+QD24gKMCZ6oBl+7ovm0ULG+hx9ZfU0ZfE86Fq9N5PVA0ZuJ/sxmSbM
a3N2VxnpoSHWV4Ix2ohNSfl83dvf+HQlUcRPAbGBiTYLbnplWQ0bivdGLptwKGRSBC3x2ndRpcmj
V0j+Y7SZNEGXxr0ygCZdHg0t8+/TPMXYX6/ldYgDje3xx6sdg2QBEDTIS+6k3wovaIibVAEFH3NC
MB1INS53tOrqO54m3Zvj6m4TFIJjaEtPHPrIpO38l/g5+ehGE31OOXrvlGD4JwL5R/9E49xAADeB
NCWkEDoze6j6uWQV89EPzHqgWyiVVL9EquHR5PumvkmAo380WI2Xc2305o3Z9/4a49pviLmyfgTz
wTbmMaAlB3L0808ptG4a/WZsQuZqYAp/wxJvIHuxnci0b30jsEZw5mT0M3F+6XX3AlKgIDWzD1wY
UekAkQLUKWu+5WYS2K3A8LGBbtrwt8wS0Bqf22kmysPzBJkSbgUAJHrt4BubHb0VQKdUlbyR3sf1
UFq4Xs+szBv4tNs6+ax3dFghLRf3oGxp0iD1gXcNdJdOB521+XMOpajEA1IGQmKP180v7lvIqYA6
A+C5i2wOgwhVovvYtwCG3BUG8M8au4uT5B+uQXxqDIrN0uoYJzr30pFJ6fJsasK09x64PkQYs04x
hrLK07GQpxHMY6FuoQPKgGf6uaGpNsTglfN5R0Z3Q/oC3anRBZUCQD8vTYKkcUoqMzQLQwSu37KN
2bPk9fqaLpy5s5rcfKPgzoJkzflvqIcxg87XfE4hXxr6Xw34BWxnI9f4Q9fsKNdWU7GSWwAph4ZZ
bIlb3+lO/J4V/o2AInZ43aeF+hOcwZ3vQ3pnzr/PfUpjyYtsDtOmQrnQesmggg2N00FAWWncXre1
5NepLcUvO07xFh1hSyM3pNk5aXfUk7vCW2M5W7SD/hISepQLAUo69ykbcMJPUFaBKp8J/jYTqbOj
tcYv4vYYvHEd9nbdr4VUBqJsaC7iHMVBrZIMMJnTCXN02Ool5tAs8VyKtULZwnY+MzG7fHKaDJ1d
k5HgXBV1hRlTY0uMMeqG9h+ORgzLY+wRWQvGWZWVS6hvVOO8ne3msylZKOOXTPt5fbWMeate3BEn
RpQwKJPUaYFvbcLa+9130fNA5l+YfjCMN6vYOb4EdiMU3X1PdgDoX7e+UEnGQuLNo4O5yMT02PlC
TqD6YcDAIaV228Cz9xDtBNf0fY5iaBq1w5oo29ItYCCvBjpuRsSodDflAJ6OsZlDnotDnNk7Q8pv
wFTcVslwZ9sMZCX2wbHE+3UvlyJy5mjCCCZQfzguz73kcaLlbgsvMwl+HbO6x6Tt35/886DZ/0wo
iWExZKXlzqHi6PRp0MvnLJ0BrmsznkuBj68FwjEUr2xHVVdE7SqHhgHDWdiQCKpaW5NPB1KO0fUF
85biAi8gZAOzeh5Guc9XrPZQkTXtqgn71KiroCD4YEEDkpxIL/PG2Q6p4279oZYvIPMc7nlR5FFh
1jH+JQ0/MqA67cbA09PWDDLZ1V7QyaaKdKfRxrBJMxBGQrbtqKEAuikmk+9m2gMexLou7+LBm25s
gJI/5GRmmBwncf3RxaTc+KkBylCMJdA70TbTE7EFf20zMt0MwLpFQ8cnP0DdxMMo6tTh/2pxnoEO
0LVKJ0hQ3PhhQbVx2FRmVe01ZpAokWn86Auzxl1pemJb2JKFDreHnVVLAi0tzOOgpZI+gvqZbnWj
jiETFR/ySjMPnuaA5n6ytox743YSnACmRsYHYuoTBj80+86p8doK0qKvyo3Fcv3Jki4DQ6e0rf04
tdP72LhGGQgv44/WhP54UMi0iwMIwxcb30mHV1lIY9fXZf5VS6gRjj11gTnSYgCfrn/xpTcv8FRI
KnDQYVRVfYCaBAo7hYeHoe7Z3h2Na37fi6Y7QATafge0Lc6ChvUy4pr070HhmrFAZuOwso2W7iow
LKIOg9QCRFXKYQgCwUxnGn5Fl+lBNQ6hLV4sfzO2K/ng0j1/akeJbyygNcoS1Re/SSC2u61IDhqi
qBYvw+CvLO2aT8rRAD3cYuhy5C96SYMe5EUpsM7lpm5XukeLdiAJB91dFw9B9SzvE9JZZgufrC6N
KhY1zpHbfuAZ++uhsnSankaK8o0K9NS4cPCNkH/dydx7zlm/u25i6Z6Y52lQUQJHNuilzo8fgWdc
a6MCC4SfEU49SN8qjLmkIJDSiuqzwhhPnPkH7q61b5fCAnwkqJQh9DC7OP/zk7yCEKEN1ryEzLgz
aVhpSWCi3JgVe7Tm/iEsTm0pJbOyz2TpDVhGDvbzAJKv5VZz9deuqJtnQNWtf9lZJ9m6EvFJWY9t
4aF45pD408XrN0gA/Wqbwg9E5T1f/37LofjnaaCE/Ai2lBpEU3NqC0nJJGjcfMPN1zhdW8TLD4aB
5xl3gRbu3M9R8peGQvgTmr1laBQoi4tXC+CVxHnWbAtFwhWe0UungPCATyaKgqiQq8FB43IgY2Ej
QfJBJfBLM6Jyeuzl+98uHXhGjJkCA1yzNgYJzkNwdAQoMCpnJnGQT5n1CcG4I2d+VLtr0PGFzHMW
b5pZKeaa6sUjsrYTt2QeTIH5J5L9zWCh0rQnuBrtW8MJ5bRxQZmQia+Zd4t79+/9RFEQb0cH/F+4
cM79JD36z3xAUq3jRky9necfMGGPQtCaZsPlcYWHCNAYQPzbNva2EiK+RQtORhgCrXk4Zv29TOyn
674sm0CuBFJBPMlVDlCz0pvUdhgL6zE5IJNBp2LgP67bWIq+Wc8ENHSoTF+AnpO0p74dQ9t8cj59
kFp4X5samh1ixcxlgqnPn0RH5CHSwXt3/lmSPssF8K5YLfu2qsmxtL0I2rcrH3/NinL2gZVIWAaF
FaANdhNt7jLH/q9k5cotv7hmmKrHuoG2BgxN58501MlINcBM4n6h7FMWcVC30aqY7kJhHYv2PzsY
yDm3w92ucjIBOwVrI63eTfKbVd1MKap5bh445L7ChHUdFn+PAzq3q4S2WRNks/Fs1+42EOsL2UBw
WfmbQaK7bD0jlQr/OgqJjgPQxUjwLFKs7FomY9rJLkeOTOwwkajgAn0UW++xXHl6L3y6M0PKDeJC
HsiwRhhqraJ8QZPQPIBJsLodG/4t99K1QeTL946O5gQ06wkqahgDVfzqNSj3GhYOiZbn73qNYkLS
9wGU6ALko0cLxAKxbf7DWuIxDLYHgJD8C27J3DM0n2Y9A+zYDcUA9HUaETYGcf3X/RfM06LA+5v/
FTeX4hwdRFP7Ho4OMPXc+CVLA9cAI5CFZ9LfR8cp8YNiiIw6H0QOj0awWFDzdSBPVrGhzRrmd+nm
OmOYUC5JGacA4JUwFE8syvMptMS29TbuGHL3xkABhadhrUUtdCX76ZZaK8G5cHwRE7p++HSY8nPU
MgYj1cwLCoILAqUhQ8s35mhvDLNayaIWkptTM6qmUWz3RqEVMJOkwGLF34RVv9h6FXWmsa/4WpQs
WptvyJnmFBxfymFJZS014U9wCt9L59Wtbn9S+jMZ2ijFaOb1SFm4MVEgRx0e5FGYu/79gU8SbUNr
dXDxwjWLskettO68+vt1C4vf6MSCcoDU+tgkJYEFLxtCBtjEZHTPdl5sr5tZdMRxMFBoEUSEraxa
R9lYDrrAweEnT7onXyy68qxbDnYMO4HiHsOjRK31VxT/c1k5CHYZP8cza3H16oFhwOaB/8JQ2h+e
PPvo/dTxrmRlt7vu4NJBjC4kCqBz7oHS+Pndxuy2jp1xZGHmP2QuXkbiB+03sT6tnIZLJ7AFPqHZ
Td/EmMK5ncYphWFSEP5mlneEekUkKzeIR0DiSLEb0Cuj5dodswD9Az4K09HoC0EgBjWHc5vFJBgT
c9kRk6IfdiIPLi37b15h3fLOObK+dcPJTl/dxnumQorAyVPj0NhCv4nL+uDYjbXlXQ2WIMN6u77q
s+XzojC6VDhe5sEoEDqp9beGO4agI1phjUCXsA1RnU3qLS9/xhhJGclrn67E8dJnnp/bQOLgSYCv
cL4UmBd3qNskLAS7SBD3n56HstaEeYOVz7zo2IkdJfPzay/V/EoDWcrw1snHgR10R6LZuefkaPAt
F/9w9wH0gGrSvHtQeT73iyJ4tVikSM39DMUkMFkAKtY2xopbS6fNqZl5eU/OM7vrstbwsXwueRRe
FXTQKfHJ6/WgWNoiqBjgM83xCjzFuRGftiWQuZSFhryP02PZ2IHv7YHp6dgmHf9l4U6MKR8q1Zuq
LYsMp46tB3V9a9JdW/CVZbskpgc3A9BWeJbNLE62Ws8GdxrYcyycbXXdBk5qBcIFPQIqP4GQ2cGs
4q0jbADaUSFxsjw0QKzqsGMO2a8BKjpDLYLa+eXUa9KOS1GKdBIj6MD/YGJXiRoc87HIUjzoWOdF
IOTHDv+V83ZXGW9swizJkZfR9W+7FEAoe9qgk0KrCfv+/NtyT+vA31jg29Zltq/1wga+JJXHyirc
fzGFdUf2TnS0t5RTz0YcxYzAuaqZjmQENaLUX11PvFz3aAFJjsFCWIGwCMjGL2djQA9WAtCOFytz
dl6evg0dPbbDzzH+zxLi4KcdWuO9HoIH8MWgcuOYDY80Uw8Gp18b31pKbk63juJz3iYt1BuwdUbQ
4nmYnIXMXlrddfTNHP7lJP2zcVQM/wBwnSgSmEqMr9zfy/ypMV9rfri+uovn9YkV5Vp2ichl68AK
8Q+Ef4z8AZogg1i5/Jf2wTxlMmPhdNCWKlFpJ+hr0RKvsMRKItL/1FEUhTWvhc6zRrfoAYf+uJaI
Lm0FgvIDAfQJZTB1K9CsMsvGw8mDLH5DgM/JUKP3vafrC/h7ZkW9Yk/NzJndyZHdGXXWawRmNHQr
3/rcGQC0ammXbQbHG19sCNXFW0ygMycA/KEvI26Q4TvOKgFUh5FAU84fCi1ESmBUz76pde+yN+jM
NQqYFAQJAPvZjimISElTeZ/lOJHnwW0KjkqA4b9kcUaepIvZ+KGM2681/gpI/4Cf+1LUvtx1KfCN
20Szhw4MT5DYDtIOJFNPjUClK8KmbWWYZXXlh6al51uRSottBNA77dZrCzcQ02RFbePxRx7XUwkA
fwGkcs87L/Skw7c1SObKpIMKZGtXDEPeac8JiI9EfU+azpgC15XsP6336JdRz0HUQz3wGweQTser
Stpg0WFtnfShnXHTvckHz4pML9FfRD3I7Njbo/topCWRG+gyC3RYpFk85CbtI/B+J26Q2tALswsQ
g0KJUo/fU06kd0xLEAUCT2Z5D+gJN4c0abytzAZkB6PNM31nM9K5IRkz701kNcRP+34odkbTVdvS
9jnbZqRrQfFFbXEL0mL5PdbTrA+F1PgmdUxerJykS5vwNISUa6KZxNQMGbZHCaqqNr7v42cPRR8/
f70eqwvNOfTDQC5OZokIMIwphtpMt1NjLjCO8oFV+9TbZPp2rN98qFHy7Db2Dpa2v25zcReemFQy
GokhBY9pqIg04GjnZg0IbMqfEj59vW5ncQ3B9AGeOVBkYM+fb0PS1tPACthBg3gvILFQ1dlbZrnP
vBcrn2t5Gf/Y+v3PT7a8HJmgxlwKnty94X/q41Nn03D0v9t8M02bNn/KmjUpiYVHxgyuA/MHqGaQ
SfjKSQ0y06QBeziKdOSY1I+VODbyR5J+H4FccbYjNix9xT4PoD6IscugMiOaf+mKz+vLfHmSn/8K
83yZoRblx12KXzHkmCCIX5oxj5guw3ie7vpIaUjX2pGXAQSLM+Z8fuGj/K74zRzoD9K0Y2GO0X5e
a1ub+gcRr5lZKL7CDjI1UF25oFxSWYNiMbi8mCrchMJ9scnwRIe02XcpuXEtWgWlmYswtfDI62hz
oFVdb3xg6lZC6zK/MED7h5EiwCih4aKSWE1ApnI6V2Jp2x6Ry6a7uPT7qBu1LiDTiGqsk5p/fyrM
nrtYXAOZM37A+TeNDdCWGzmMljXAsD/zdAysBl9S+6qV34fxHhKT47TWt1n8rCdG7XOjehkXSWMj
kKQz7TPD/dKl/bbC3P31eF3Yq3BubkGA0hh6ZGrVQ4dwSFzZLeoBoGYry/uGvJbINkpMYgCOtSnb
Yxmv8YdfnkWzzRlZgyXF3auEbAm4BukbhGxb/mzaPMwgKxBjHGwN87W4hid2lM0Yg3tnRC8WZ2t7
UxWfXbkxxEp6M3+G8+zm3BUlNpqM9OCjhCtd8zTpVSDHNQGPtcVSAsE3W89JGZzIQbCOm+KQU//J
K259aGEE14Nh8fA6Wa95PU/O7ZL7GVoscIb5D5r3n9a6wSQPFp4usXEnjDhoO3PF5JJ32FEzYT+A
jOCiOjdJrLqXwkeF2ezsKC0fRnrPgCK31uTel0LhxI6qNCTS1hr1FHZSg926Btt0GOmeiiS6voJr
ZtTIlsVg9zrM9JD7JpAIScsm4uWq0NwcuWrY4STywEAPkimkD+fLJmrBKXDWLORUYAgoEbG9Nbue
jsA0dlZ5hFAKamZ+rd0DITZsLJDQfPNFOdyaLeicA9GA6PPvPQevIIbkLZzLuIvOfxEfCCdUBydv
4mICoSmLNkxqEW96bvz8e0unvs9rcxKlntXYeCbAdz8eXqrY+K/17MirVp7VS3vh1IqysQ3WTnyM
8SU98UE6HhgVxOvqJ6AdUn1C6vkFbft/8MtHwQmVkDl5UiwmnOY8NVHiptSPt1mtOzcVKDzR2yyc
lY+1dGrN83cYx8dFimT3fAm7tugAW4epvrfA9FM9UuaG171ZvFjQDcNTCuk0pu0Vd9I4z8D7gD5H
LfsgmYeS9qa+74at1W0M8mi6adD1fw2+wUSuYYGqHOUupICKTU0j+sglituYEAAgC3Qh03gobXvj
sm7la10WCWEKZXpA6NDGB9z7fAm9nNTNRE2GjmIZTFo0DUlguF8b88jEDWverq/m0jF5ak2pEnql
6KayhLUUZWOf7Sy9Q12lDSq6soILU1HzUDP+A8proHjVURptaoqWzX6Njh75Tre1SBlRkDl3rRZm
nhGJ8QM6euFYy2NceNs4G1ciZ8lX/ACUkcGIOUfP+cqWJTBoEiIP0IFrt3H5o/fTqARxuU7oyjdc
2uMzdygGr8g8YuGcW9KAenOJBnpvklkDmEom0QSxMDwMy7Q2qMrcsX1waCJAa4P2JJ6DyBH/4Sdg
mg6ZELrTc+ye/wQw6/sMnKIzpOVh8MV25mHuHh3/zsoOQtLA85qVvb8UuGj/QGYe4+tzV+bcou8m
0mgLWoXS/z4ZyGIfS5Cpt0YaeDJK2r+f9MApquNdMscU2nfK1zTrikORA+MDZu/Xt/Vo+zeQ0QBA
TdoZ3Vioguy6zm9XcbbzDajekBjGhdwE8KeQqlFuSIcOcDT3UH1lcWBZAgIJLzUJJPvmjA80x9Tx
g+vuprrbXt+p8/Jd2kU1zYXYPYjflOU1fK+3E7BYhZ32XbPNW4bqCEvWepVLBzgSdtQoAFC3MAF1
/hFdUGmbDgiEQ89Mg2bcVdWjzJ7cEjW1Xeru9fbONLcTtUOBXMr4Wuorec5CQ+F3Jw8K0/OLG9Nc
5z+gmgw9J5oOsO2uffZDsRlujVv3wAJ7H99BIBCEGvqtdzCf/3Z1Z7OAjqAgCFCb+nIQSTyUwrIx
Y1P7H0AK7o3KPfqps+bevH7nX/HcjpJjGE7l100BOyn07tv6DRybBxfDn6054iIDYF7bmUP/0lKw
1ok24B1FgbZ4u+7s5fF0/iOUj2x7pUGFjuFhZ7Qe+jgNqd1ussK+09wEwuj+Bj2bqIL562YvI/jc
7Bx7J/nVkJvg1K1hNm8sZPxWwA1vU64xEK05p+wTlAy6ZCCw0hShDzfkG4D/lvVljL8X+W0s1942
l7fKuVdKwOqVm9cpcsewsTcpeLrTkJEPfY1AbtGKAwmzmQMQc7zKJ2NFquO0w+ANBAp0uYOujuhB
vPLl+hf6Pdp1EZ4nZpRPNE6+h0cnzNjH6YvXB9YnYPzI9W+6D/fQPfFnF8nIT21tV1yeqVjD+dUO
iMIMzFVyHpp4rQeJGOw+zEnbAJHeNL88N/LMh6EKvCKSA6pt++u+zn/zwtUTm0rmk3St5Y0cNg25
zbNf0umDOQPJ7rt0reRyeTMCoztDuDAXDrCzCjyu0s4rmxab3vGPDTv26bGxHzr+bk1Pg72ylkuB
cmpLcas3tWnsK9iyMbiauhseR3bFA00cri/fmk/K9UsNm1YupoAxKVtgJBp9gOo/6prbjHWBy6zQ
7f3NdYsrnjkKSHMSSV83ybyK/KFKfnrDG52ygKzdQEtxgfQMMywoXmGKX4nFhhW60DzwwzheHvjF
vStuwLcZgD4PU07XPVo6EE9NKd9K2oWsehem8uwQV9917+AkP/9vJpTPxCqOSUsHJoQh0Vd51PiP
Gk+Y60YWv8yfJVNrIKSFrmVszDFHexudDdYAcuwA8RP77oNB4jVhuMXYszAmA85hYGvU2o7bcb+B
kgvsSfN9yrIE/QAZNWK81QsWjK314ZK/B3tiD6NKi6cLsqKLBIGgf5M0IgbvRtUAsYiLBLyvaVTY
L/+wlpjgQoYJvOcF5DmpjAaDwB6Gb5k4FChhos1AtCTka2QsS/ckTnM8D4CQwAypck9SYWdtO2ER
6+F7y2+B8AisaichMdFE6EUaciXYF/fVib05iE5u/5KzRJgS9sxpX4nAMqOk++oZR8a/XV/BBean
eSQCzQRMYLh4rqs72KQCJzuWUBzJPWoRxke+53t6bG6KNyNstQAEV4+QSf9J+n3+qW1XzC9dZqfm
lV1ttWmrk9n8sK3ue5BmoLr6WdxqOxq1+7QKr5u73HuotGDaCRPvABRB0e98Wc1SAzsqzdoQ3BJA
0IruGE/RaK6c9otWwD2MiS4sq6f2giBc65jjhNJbne2lc+cmb42MNPJ+3Zff6PPzO9kCzSdEJVGz
BXxHfaGPwphkiQEuUPlpAd2Y+O92Z9xa9+YNWDiToNq1VqCjhBWkN96BRpDwuaVRvfIIuoxU/Aqo
5OJ9B9wkBpOUJbVJBl1l/O0CrIVTpBlBybdp9ciblUid/9CFuyeG5lU/2RLCT1I0HOGutH6Amagc
oM/yubKkazaUzeAOut9pOZzRn7q7OnQP/tbaDVhWGnb7fpvs0pBv8h0LkCNE2cY56Dt/Yx/X3lcL
maWFwgug+fNkyvxwPvfVHqdY6KCOCZP35gc0q0HK9uDukkD76W3YHpQpR+NmXIF5LyBvz40qW5E6
RFJzNtr9ALI88oJp39zRwD60W+1bcz/ury/20lqf+qhctoaf66k2wFw23oGfwR1+VGuIhbV1VLOg
nptm3U7/j7TvWnZbV7b9IlYxh1cGidKUZo5+YdnTNjOY49efAd+zjylMXKHW2s+qUrOBRqPRYQzI
eK0P9tlyywfJVWQ3Or05IH3qz8r54b9SymDyHbMz5L1KBarLITMOmryXRJHd16voYpsM5lG8lJUV
RQVEWE/aG8JHv3bTZ7K3BObAgynd2uAX6EgZM+XDQvfn0FauAlw8T9kVO/0ZZyGoDstuCF/sgLjx
vnCjVAgZqn6NWy71ZF5XsRlHekfNcQoiLznpt/0u+ygDvK5u5scx7HEGLZxF+ZAebn/P9+od+JeD
9EcEQxUxrwvXgnFylUwyLUJ+DOdxCDQ/OWU7ArD8nRMALvwHqI5fpX12+5ScJy/bi95enCzP5Uow
ns8xFsPI6U4sRzOI9jaSkzdLoAA78NcJ/TefGJd/sENH8Dai68v6W5SS6O2CASjM+V36oFpqFrlX
7NazUnlf9OVNG1cCKFyeC9iKYDwOYODkmUJGeRhEDus6DlOclmYgguZe3hWFywlD4rZF51iYdICl
FT3qqYhGq8n4nicl8imlhWbTxHicpt7eEUMVXCS8MwrgDQs1HSAL43K+XDt9iWzAQ9D3HhK6RXy7
OuZ+HINkPSTo+sUkcpkLHA8v5thIZGmeosaQl2Gkr6PqNa6aYG7SbyOhHK6jKJfMO5igD6Sj9zaA
0tjLCRnkPI3ogwITQzd53D+aZQ5uu8Z8nqfocQAOFFL2L9f9KvcMbIUypoIBmqYtZcSJVrzeo8vO
N0v7085Wz7G+LWB3yON0t7Q4GtUiPZhVd4sxyb1svcgF8Kz18UgMa1fn8eP1z+JYFrL3GIZU6Uzb
l+dvZcStvWYpAEQlNOKcM6B3WrVv4kFvi6oknM4f5O5R50LKRwHbO/sEAa+e7FQ1YtckA3EIQFpr
yVfG2q3TZZfiYW9plYIJ2QVpofWRGFlwXVXuWd3sOmPSDUEfdVRiA5R+3UVDeztPtVcljWCjucYF
TUzURfF4ZJ8jaNcGMt0Ml1DO38wenURL7MmZZ8r36xx2luRe14qzgcACou9UOs4M+KbLg9rL7Spn
NrQqyo9eIztbaR7K9TcZMRRjiFCwubpthDE3dwMQQKsZISzqgO5C8jDvUE7zzOSm6w8K6mvXdePu
2EYc4/ZaNOIZbYulXCN0vY9TkAE6eE4lwQNApBVzTw+AcZDGCO5gBsGKpH0HxZckf1eyt9G+saSf
13XiurmNTlTnzSNgnJ3WSTssYVWoLsJVv+l/xjM5FJhL+u8kMZduJ5E2lemL3yS/K4CvSqqbd88E
+FTX5fB3CUOIgHRA/ZMt0AMyQLcyxUFmQdNdtP3d9mjcSLo8vC6Ge5vDV/9HDLNLDU6bYdW4A+s+
l/2oSpVwmWItuC6Fbwt/pTDbQ1IA79oDlDG7E0C4dpr1Pk6Hut8DELKxP64L49sCJsZstNMi08+c
XTAPr04kwb57WwLLHN6DmBvTAL6UEFUQqHD1QoEY1Vp0R+FRf2l2jTkrWgQSKSQFAQxkPmrNmzVL
7loBDUbxFFGzGc8rIS2NPk9gEqB4yi6jhnq0kcDVk9Zw8/a2BXRdVT8s43ur/2OYDwoCjRwd2q0x
B8c2JBMdIT7wl5ARiRUjHNsYcbSapXtSG/cFQKSer+8ZzwwBK4IiP+2t+UJKOpKq0ss+Bs54mwWl
Gt8u8by7LgKJP+wGE7kCGAi0pGCuA+o+C9WYVXa5GHneeTaSW0cjy5IPKwYdrNJPaBoq1Dx/JpE0
BbIWVwcp1crPvrJNb9Si6mms7eQ5QifrQ7yQLsiJBB7BLDWQyLGl06S14+3QKxNxUZzEMtVa3nzO
dtm958WseUan1O/AkbcTb1ZqyYvsav4hS5Lx2GEm/bYtnAjtq2USKmM8/0oHs9Ru50hPDrFF47Ri
lc3f5txXna8ViXqo11kKpngtDqucWKXfO7kR3eh5kp2MGvUEt5xLA/wYY68u/jIvJhgUJB0cY7lZ
OSqY3FRMzUZrqScBqLc04nay1eEZMSVTUMjmGOAlOf4eh9npwAecoS/ayQZH86JpJYdF0eabTJHK
U1eU07Odr/VrJzUvQFW9h6gxnCuCmfpFXtfR7S0HSF+JWqLpLFK1Habwi2+D1dveqtTF44D6aBh3
joL+cxU4e2RGxRgQsWlbB7qZT6O3lLIJGLFCC8xMzg5KQdSgUOiUuzZbR1iSFJCx7Q5SOzZHA7BV
hwUz8yNqDnOCsQvgV3/m0aDER71YCw9fXdvHtjfTKmj01gLubDKrXrliyV2EbBH8BZHBelC0OUWE
XuonvU0zBK85bi/M27+Wdbu4veQ4u3mMAPXZWObg2nonf5sxkAEEo6JaTF934hk8NBhv2aE/IKu9
ph7jp2HtevupKOZh8UaDqG9k6suw1uda8UyARe4mRVl+ylYMtKBWqeugBDLcy+Jgz3yFRGaFhggd
MtXWSN50QAvbRz1unGdE3mW49EOnRi5InrXzikE0xwW+r2mHRBn606yCIfXYobwAOguK+0saGRR+
lWNHhgu0oGV0K+JYqzukNTI82lSNu4EQ/TUt4xwEEAUhR6mU5bCO8jacG+Di2O2KjldM8uh4NuWq
Rdw8jp6NETwW4yz350EDE1kCT3bsEtKEkdQ7J20qUhWy4zzzLbmPwx4cCo/oyV8P2oSCKvpZUyWo
oj7d6/MKwKTaGYHHbRhT7NeFNR7GNkczzpzOIFwA9sBvLR3jzO3GFOHFqM7gwYzn6KRJUvEkW9X0
C6xvabA4K1jdpqoPbTSl/UqkGSh+c2avNznJIgAzGdpD0ymSl5bIg7sadN4ZzQiCmVWK22+Yn09V
1yrr+EPNMtSy6rS2p/uIkPLYRgWQemy5Lx70qXOeerWJ70uNLB/T0i3WTs41Z79OakTC1ZK6U6IU
Fi5AdC0FZZ+bDwBFkwd/sqVCOfVyUT8aUk9uVMnMflcGgidMMDkoA+rAPQ4wVwsqUTO3x+mpnwgo
LQA8ezRXa/GBxp2BHFOxFsG9zRnbwMMYA/1ALUfCEZMMlxfc5FilYXdguwYdouxLK/qSZtDEW47v
mFaAW+/FaH7pRYs5QnjPwc2PP5a48kl1Bszxj+sOnNP8dvkxTKzSyXLdxTm9kwpAQY/PgMrxM+vb
PGv+OsS/q+aziY1TEiEc63s3FTZLcZ9a29Vg7t9CkQqbzDSBP2XHjAz+0ICjoVO9ttQx8aaEOhBo
zAINcSjnYhz7TbAANHJhLzBsBrIVDm2v+dL9JzUZYPNxgZntjzxBR3aX7DTSfRuKt0rGZH47Vuic
rmK/qBPXqWfBJc0JrDDCSpsMMB6P4WtGffCXa3NhNRDfN3cGxuNxVI4jORJUrAWa0jL0F003ouin
bOL5ShpWqx9a8ALVjZ86gZw1AfKbbit7y/hqpvs5OQ6qIBbmRHOUqhyvS/Q26gi6L4XmGDeOUM5D
eIV70FinV4xEhusqg9CQWF7d5o/S8v26opyIDgPfwP4ADixetjoTqyaxJK3FAJFpl3qT3rixmmA4
/xAVwH7cX5fFibEAzWojt64gqgeP3qV6I0k6vdYWJAq0T/Sku1bvXxfAs4+tALq+m02DG0Q/oQ0B
Q9+k4C7Ty1syRe9Fli94LRWNQBw1N9ZGMFkFEFjkPVCzY7ZLNzJc4caK7Rqf2uk1yd5iU5Ah5C7Z
XxEscWKySEstTRAxa7NvzkDNErH/CpQwGQMg0apPpgoJQ/vDHsPBevkXNWqgR6IChtZ1OA/MEl9u
i7ZKxpLnCmLrNClde8BdD5gBSVHeiVqfxqR/WJPErZtJ1NHAO0/o80a9E5CBmP1jNijXCkAhyWrn
jZ3iRuUPuQwQs0kJZgyL51kW5Bu41wPuKUB808SbyR5fqZwXCXMqcE/fiI9RmOKufVNuEUUdqp9N
7y4CeTxrx4QU8G4sjFXgRF0uKxmaodPo1Zgrz00F/N4fknUzizwhTwqGDdA1Dzx9uH1GypDgwSdr
sI+M3HWtt0Sz22gIIf55A56GDue/cpiza9ROP6W5DG3AtiBXVtitxalCoFoQWVCw5R0qYLqAUgNo
dEjmMWYxS+1kZAnMAuHGqbDX05KLPDnvVAGVCl6BPpfxoLzcm2WUdYQKMAXMbsfuaBKMos9pBFgX
lN6vOz0euwX60HG2kIYGdLjDrByeG41klA6ikmB+x8MHbb43/b4JdG+9qcGlZj5FOyuwXlB/d5fK
bY9EkITgKrv5AGY9J6fNi8KiH1AAcno+EvIrFyFu8/LsGy0xOXK5og7wSeZ8hRApRNjfBOcy6H+A
wG1f7MxD9Rk9d/fTGyjEBY0ZvOIz5AI2A3NLyFGxeV/D0oeWSKhxda37bQ3BsZJ+SxQvPjw1squG
Ze4JW0+ocbD3ylYks6EaiGWmPIKqsjcelDAefPN+xABroHjShxnqj9lRvZXu5VBUweVG2xTyAbk9
B1MrbEFKNeol0foIo537+aS+IIWU+ek+CtFXsAeCeAPqr3Y/3bxet2DuedxIpb9vru1FKYbGySjr
+3yfy4YbqYKpFWqAXxf0r1rUgDcCVnvE2ziGgPYE1L3xJvtNXtOdg6mtn9c14V4B2wWk3nQjiRCz
y1MdC1iCMfW2fyenNJDQWLkz9s6x3+dv1+XxT95fxRg3EydxOvZAoQD/XuubiuHqgOIppufrUjgQ
MhrOwF8xjEHifVxbyggxvV/eGq7sNcE7xprkQ/Qk7753YSpQizMcdimQ8Si6OafjCB5sT/tEQ295
XmVPndzhvXsGN5YmUo8X6yPBiHeF/oeFlnlj6kalZFYD80AHf//e7dUPtLOc7TvjaIjsg3ebAtYP
q0kDfDxiLu2jy7rGWYH44SGz9qg9jT46HftT9m4fkkfMoQ039q7/nu1F/NXcg72Vy9gl5ve0PEZJ
1FM+8yB5JX46AxnSnR/Rn2146q3+LZNcGZSyIooQru1YwA/XgZSFlnf2JjTTtEkq0D54QyY3YUdy
JKuNfll8KcmkQ1JNUH9tUAiqNaOEX7X17Glt5O6lmjBNFpXKHFbaSs51W8tVcN2wdY5f2H4bY9f9
arcEuAnwC2T0VADPVdK0uy6Ca8pI9oJ1Ci872tF4ueONnIFZ0bYQ16w6coDak9J8TGoS5uXo1QTd
BeWvupYfRiMRZCv4yv2fYJYsGuZud+mChY8yZTdZyY4oxV6gHNec/yrHMrMkJjJ/dITem471CZO2
SL/gmpRfQNYY/zpJ5/V78Vt2NVFxlOfPN2vq0Dz7xsv2a5UotWmAn5nIr32thnHU7VcLPXCWDmrQ
Jvbsxrzvav3jur48d7uVyziKQmvR+SNjSUvQsRc/Gulo1S/XRXBXVMconAJ6EQVAgJeqkWaZbSvC
ipboKED+0rgz0U8uv1+XwrWNjRTG8IdU0kH6Tvct/WnXh0HUEs+NmuhYHR4nmCX8MrdPMlAbpzGi
Jg2cxgCBbVzrVr5vfPOz2TmHIZxFlSmuRnhiIq6nM2d/Mmcbk1hNgjC8wo0xqq/SdMplwTnmbj0g
MTFcRqd62Wpoi1kCoCdBoaGt0Hw8A6TpYVz/OSA3HnPozMUcJN50SKVd7v40JfCEAGfxlu6xmoJm
uW9zwauRqwiaNPAuQeZCZg0sVux+7Cdcds3y5y1+G2E2KJu6f2PHGzGMhdlrif+lN3iTAaEzd8so
1M1XuRQ8PbjHZSOGWTCnkJGap/fpsoRlfcqtwyD5uegRQD+WjR9pY8v/rpnOvD0mJyXAgoAU1fLW
7CS33wrLd8BAOgeKiDiaf2Hi2QjULYDMauwArlQYoz41Se8N3+0haMZgPtrE1fbFMfUBKZ659ugD
3UAT+Db+kd3IpUu9OUEKaQEj01K5x2lv3UmPeM+dq8Hrz33Qe/3HEF73Qdyto5yMmKbCHDcLdKzL
gzlrAHrzMuWUroYHYMlD1v7MpVpQSeYG5RQG438lsdtnoLxj4x7G9i3eUO9s88ao35TlLSGHnFRI
Nhz67KGs3S4Wdbrw466NaCa7prXKZMkDlHRA0+k6b8mT8gj4jdgl4QxoAC+XvOQs34CSyXKvLy/X
ZjeSmTsSlA44FiTvgYyH9sLHsj9pA6DxbsvsNDeiaStePzMoZeG7ZLQWogeAep2N8chZAp6RBnp2
lt+dAcyLItlxDZZ7a1+HKDmetdot79TH6zpy6yEW4AlR60EnKIA0L8VqFWlyY4XN9v74Bt/vRk/x
4SM5O+F6LxDFXc+/olgjyibbiaMVGtbvQ2Dum1vjR/6rOi93c+suO31n3Oc7+Vv8kbjCfAANK764
n41o1oiWSasGquXoK67jlvvixrol4cdL5AEeXGQ4fJvdiGMsRxkBgNr+WdSd4yrh/eil59G1PO2x
cGPPOhXn8oeokZmGNddUZCMrCrBFMGGJqdu7VrrJ5ft2ciUT/UDB9X3kXn80k4lBVACcsLwueB9n
ZQb2BC91MK6tK+7k/BiTw3Uh3GBkI4RxpbnZ9oOTweFIRuQq8yOqlNcF8JaLdv2A8Eumo3OMRQCC
siztGId7RbWmXxJvjYtzNTteDHRcYrWCKgTPVW/FMRYR9xpG9WqIG7LILfR4N7Rnqd6VovFobpJv
K4gxA7WdszhVsXDzTjtklduEhjv78w3Qt9sbNNcZ34YbKZxc8jCLzrdoSemebjxYDep3ZNQhWt8b
n+gRqNzVzwMn0O/a2nMe9F2xjw9rEAVE9JoRSWZ9p9322lBidR37e5kcC+t5KdD8EA4iAnqe7W9X
lzFLZ5iMqe8hyEB7YkPcKtmrIMm5bprcq8BRbMzO0f6Or1PgXTnYPY1hGxLEUoVGmJu4eGv1A2hf
huxGTkALBWYIoBWcMvUZqJ1RIkj38RZ0+wXUlW+2UgbQuDXRLGZf3hXLEzoIXPSyoOjqOpmIW5q3
pujngTuhhR+bzZhacl6u9ozQMF3uVOlnU+40UdlUJIKxTKntRlWiIpZKeSAZEmBmtAOgqyfYOOo0
WB+8VYWxw3wEwS/oiXGZguG0+D5IQasGcfVbM87oQPaTxSudu3kUhIGcexVmAtBGYEYihGAHk9Z5
KhB3Q6rSNq6i/BiBJVSWrq48zRFaxofddS05ruxCHOPKxiotCvSO4WEat/cNIb7eZ7sRw7J43AkW
lHMLXIhinNmK16I9mfSlNZZB2+fHuDOD/04bxjTaUbK0pYeIsbxblbdFebLXJ/IvnoxQxDQ1cGpj
opkdGmkmYEFVNCCYpyc04RjpgYhgcXhpsq0MdkxEkfqI9DXu5cUufExK+05cupgt/egB46/GTUBJ
XNd0Dpt0ebi+iLwX14Vs5jZdVHV2jAmyZf09q4MpPxZ1WKWvaxN0yUtshL32tDSHqfZ1+UEzBQ6T
460upDMWCXh5XW/ANwogaN1L5J+tk7h5AvaHSn6t6lFgMSJprFGCCL3I6atrcO4V7Zc+Zp5NAEVb
3qCjU7Cu9MsZh4KcJ0I3HUP+OtIal35YAyj1aEfQzFgQLjfSSUZpd+rj+yZLUOaNPiqChtNeeUS1
687WUwqbd/0TqMu69gXMTVCVtuQoObTNZnQm2fakoMGtVTxLaUSYQNyF3SjLPEVMDejgMoGyQ2rc
JFK8q3XjqDmjm6sFYIJ+/hvF0HyCGxa0MGw6So7XpCAKFDOagz6DghhNi/vrIvgK/RXB+JYiHZtI
miFCQV/obLk1+J1WcsrHfZa/XhfFP4GAt/+POnQfNze2oiYAFVAQfC1HFM6is7LrzvZPVGLuAYpu
HPWweBDdqirXPdNebBNc1GgwZE69o8y5MqaQ2T8PQeaDLCREG6wUu6mHMm+g7Ut/Dspd7SZH8xY/
nGC7N9p9J2pS4QAd4PbbfAjjAJocZjkV+BDjrvBe8xsgvpSmp/a+fcIQlbeE33O/blzpmbxoh0QQ
2nOv341wxh/I6PhNWwO7vBRhO3mydtNHnq4GKXmszUbg6nix4YWqjE1Vc5s7U0XXfFf7ADjYvwNA
fwwz33lUHvsAGHPLPhJcw3zjsoHao6K3n1JhXBoXVreZVLnA9WWabodxo8qk/dCrC97kc2GA8ART
eaoZB2Yae4WiAvs79wfjE5N1gnch90htvoTZ6SRR5m4d6TsKM2TTWXcAUqpjUrr1JxGREN+qNrKY
jU3tOq+VBVrrR3I6oyoz3mf3fWg+4yGVu6areelu+Cn5Dxlmd68fZ5GazC7L6gR+gASiJQtdCybm
UPrcbwHpno2/kkkXGRWnfAvgwL/7yziPOiOpbdQQt0hvc2K4Q3NorbCMgHGlPzvmPWA13LQR6MiN
I23QQgFhD+UGduhRWlVzqFoIjQCzvCBdb5v1A9AllEqEhk0//8sdtpFEv2TjGw2jAeaUDkkxCk8p
ICzAMCJbAjfAFwKkFVBs2ZhMYW6v1O763JDL3pt6hMIgeM46e5fInX/dMr6KASgIZijRfIWxKO3P
gMxGl6iOsjgq0MBrgYEKDZqrHbSg9HKT0RAUBjipQYjCmAElQkRW22Tsv1QmKbW0FoW03jyn8U+n
GI6qPOzlJA+y/LdlZJ4E9mVLHQ6VLGIE/Xq3/AE/AXoR4Bcx101PyEZPW8kAKdlAeL1kuzQzHvNx
/cd1nEsRTGijZnMmVysadwcz31lo/ZaLwq+SWmDnnMD8Ug5jGRrBLv1pEM6Kk5a8TOjUnM2HTvXz
5mgmmVfI71Isglr7erqoUFprM4EzAnqky/UjjYN+tq5HJ+WA/rUy2pFs2FuV6kq2KFkgEsX45MEw
lyXWISqxzWCeF9wKtI/duUMXuiDH9PWupVphcM424bC+0KljEMsZYwNbJhVemb32ZEfGzo2sl7b8
YdiiuIKv2F9pjN9o47zTEVWg/q+cTbsFQcnBSVI3NwSu46u3v9SKsXVkFGSrWKDVEpfoip/ctP7t
yN1xTt5GSUTwJlKKsfoqqRq1qKCU1AcpmDxy60cfTXedyOypVV863UulGKtXSdpTnhw8rJfU8Zs4
ytE/3D/01vQeq9PtsEzoL1/09aYwM7QcXPeSXOFA/EXFkUanbF/5iHSTrJQQboCpRwIF4/wpdQen
TN2qeyrq37EoMciJy6DuX4mss1wNBfWiYUKTyneAYR/VQAd66GMdLDvy2CAChofeyzeiJxOn0nAp
lgkUYtRUDLumYl/Rv5z4UhgBtGh61X+VexIuQJEevPY3rm9DcBK59xBcC4UsUFA3YvwLmqnTCoV2
Ooh5dpQeXL/+YrWCy45Td4R6GymMa0EveKopHaRk7d4AVHSMDJrloZvfl4H6H1dBvOybzHHhRZ3x
+boNcQ/KRjZz/ZHSGlNMDqAzsNdvlgJC5OYEsrB9m5rhdVFcB7ARxexiiQbtrI4hikjTXirXvbqg
Qbe0vcosXNj4y3Vxor2jv2/u1rmO6qEgEKc4H7XyUIGbVDg4IFo9xncahbO0yUJXrwXnVv1Q9mFs
He1VcNC5qoBUBXDQmIT8kiABeG6fAG0KrpPcFJLf1p+JaIyaf3/T6QeVBndfcCsaJIpLW0UoYvRv
io3a/lTjubF+rFJ3Nhw1GNf6nSjIw4sYEri33UYw46pTtPqRit52qbbrnMarVjiSHoAPCMxNpNky
0xAgQ3ENcSORcdoYFES/m03vV7lG3Ui1dpn9MUfjg9JIXqnLgr4Catdf7oi/4r7M5hA5SUZ6wWa9
5NVDDK6fVURbJZLBOCrSYjK7xEiYp2PXEM5GrrzIopYTrrVvFGH8FB6Jhj7QsbNhqP10lA0vUu1g
tRTEDKC1uH58OX0m8IpoErBsCoOMvsjL89t0jbKoC5YNkxDVuk+r+yz6iLqTHj/3mg6u4TfVOAzZ
fZ0cuuRDIJyu19c9+yucOdhAVapIOkC4XmBe9UZXz7H5ZmQh+E6K4ilpToqB/hrBbcO9z+l8hI4q
B8IhRuO1qcHUmEIo6HnwQlX2mNv3J1UNagPI+mDRqa3Mk0th3wBX2Y1cRtm5S+zZpMHSmp7WJcWr
H7jPkb0Ec/VqdaWnLK8kGbzKfjUAvfFvVnojnAkLh67QrJWG8D2YziT9XJFby/hcMgwUWMfB2jeR
H7dhZD1cl8u15Y1YxutI8Ro7yQixkhp0mf3QYK7eiJqdYr1eF8T13RtBjLPBzM/UAmMa7wYrOSx4
AdkS2em5I7giBPr8ce+b2y7rjWyuDSpmdiK3mea3RFsx6ota2SBqwuC/mf/q9Of3jbAk1+M6byAs
U38rdTADcCE+RBhwbyQH4Aw7edjNnTvijFxfS34gSIdsZNpCBLLfS59QlehVsmJEvD3aPuIx8vI5
9vVM2ttaCTK1KlQLjOGP7UGXs0DHQkur9VQABL5wXhftV10OB8EX8c/O3y9ifGLdlkDgbkc8AJDW
ASDreDcWHmmSowEGL0vbSx0IkvvAiQXB1J9C1xcPtVkKJnADubNuEBtLsTYfbaztexNt+rN5Zy66
V5VWUCNDrWQPfbkcR3sGBJV8MJISgI5PQOYA7H/03Jg/JvuDToXLgwozSY6jlWcums73faX86oo2
iGMAR1QKOH47krkgkfKmxnq8voTc23ijCBMWYj4yBz4gFClGTC8d4uyzURVXl/14XgS7xXewfzeL
cbBtBHqpiD6YGvWmV5+6aN7L9YPS3+l4U0iWq1rP13XjH/6/AhnPGrdyYeoTrKPWIxeHPuxkIGjM
c3BdzP/nQP6VwzpRooPiCRVx2slgW0Fje3EFnnvZm9pDnnvlMPjj6qJ8sBcIplZ2aYVgGgYcDG15
tSjK4uWBrB1QQKkyAuA6PXURRsD0owmLx/NlyH7kyMXMmTeS01z6LcZ5o0ngXDkPUsinczJAPuPg
zEom4IM1+jKMG6SQOyRldrl8owNXK2ps8NQvnlXdYxa/BVX32qGop/lFcicvZHd9Ib4a8eV3MNcJ
6IQBcdTgO5J+rXfICExuNieyr5P2LgLOjktUaxHI/GpckAnqLSSYAOuNytTl2k+rilEdiic8OLeF
HsbNcy5C7qSf/WV7aXOogTk/yux4KWJcO8UGVA5yQyiFLGO8R+98MNgA5VES1XeiU5egO/z6UvLU
AsI1Bv8BPw38YMakJPR/yJMOtebl1gReR7nsADV0XcbXcBk3yEYGcy5n04nVmI7doiXOlmA2WfFf
asGsXLo0RTTTzSkTb0RiebltivfrStCPZDdnqwRjcwMyA44kQYRFQLM4uEUUmPGp7wRdUiIxTAAz
0X4cesy8uTlr889qeovKB1sT5OH5O+IAYgIcb7jcGSnlYk7xUmBHBnVy+3iX94It56vxfwJY1oIo
XWxQY0NAvTy17b60XpPoSR1FhFFfrxhYlmpiyBpzOcB1Yw5lbKUgFKCrFY2xVrngmIPjXevI+Glm
A3mLDSn/uep1/7xGGWpQXZFHglcEp2CNTwDEv4xcgW59mSlfM1O1lxWdUi0Q6Zt9dIi/GbHbGV55
CIpXwyOeeXuz/tSeLH96t11ksjHvCjC469bJKafSz9BtMDfQ+4EFkdcagMCBjBCFxcJXj7OffjM/
hh1I293ylFcuCZxn6Z9P91zKVC/9lS2NetI4aK7AdWSOz6qIFoLrmzY6Mbvb9lIGrCz8f6Kd2jo0
nRcn86+vm0gEPSib2LpMnUnSbYgw7VvJOMR27uoiEmbuWQCbIth3NJrwYQ7baKfAacsgo2xajAR/
x/NyrgBPZe+u68KTAxAXjCmB2oseiktd5HyYYeW0jj2CQN5e8/GpiOxk8gZ7UH/MeVJVAqvj3cNI
1YI1CYyRwH1mVg/phFzrWzS6OQUgv4ffsYmhpQpWb42uoc9v1/XjOS1d/X8Y94aJ8YJL/VDEaSaN
Ugfoc7UvbROvHlFVl6uQiisY2IYwPHYs1AK6q1aauIEVdfaJGQAX0G1BUaB96v3TdW3+bDt7oZgY
xANIL9BQvm5XV2dF0fV06NgJ+3f1rPkzqIjfp9sczbeu+glC8N16a7ov5GzeLffL3QeAPkIntFxg
QgNW4vr38FZ3+znMYW4m0H4mNT6HbuIcYQBneb0ugQOJAeTNjcbMeU6rUlOjHiK0nXEbnau9fN/7
VmjdlsfhQ/LHY3023WIPdL+wPIHsNwqvfwDvgGzlM+baq12DGg7kU7S8ojjZ6W1USX6Fh9Y/FwQg
ThgrjgUAORlLJZk+yRWdYFbjxEPjQym7Hdo7Sv1wXQ7XexkQoDu0ScBiTvxsNeXSrRayyMk3ewS6
YVS4i/lwXQjvTKBY/n9CGMMwE0tqeipEh1NJ79fpqRhf8RJxB/QEXxfFs8GtKMZAqjhSilWHKDs6
mU4RkKEU7AxdefbQbSUwJhCBJKeWRkiY9PcyDef0DrGiUr90APDI3qtJ0A7Ai+jhkOmYG8IslWV8
7OeurTIDmCFF9Uy03JVUzW2Tn0n9qVvfUiIwB+7ybaSxykVOMSEnhPr8EmIQWqoFmXzu4oGmF84R
xRGM1l464BxgBVM8wt0b41sfnzT5Nq+Rb3E+LHToLl4zfV43B655b0Ir+vvmciajvJQ2Da2yUQ8a
JL7hMgPAKAruTZEY6jY2YlqrdMqphpjCOAChE7yjiBRF7yze3mwvZ+YUrY0WS3GJHjsyvY31UXZe
rq8Vz7dt/585Omuu1OVIZ3SULqzH3xP4wp1lP5ai0gfPG2C8CdcW8gAUm+5ysRZFyWQgeAMFZ/aV
KXENNRzlgz11eBAJ3DVvX7aiGHOWEgLgvQb7UmtIb665ryVvjZ361xdOJIX+vtl9aTR74BZDii0f
SwX87/mbifmYfyMEaGtAtgJuN8s7vQ6qY/YOVUX9GTWepaten4hmfLgmgOm5/whhXqhtjM4qYM9g
6KUv3FVLfVNFY0muuMnwfF0driSLcmTQEqnpMI5ArZHtzhREmhb6JPXoLpvDSA4w/nxdDKdKSrHH
ML6D951pIdC83Js5X1I1Rb3CGy3dawzrNdMtV9fWFv2Lnbsiy7SUxh6ly53ZSe/XhfMO7FY2Y332
0mvVFKEKrJLVG4z2fnUUwSuc50+BX4WZLB05douNNuNkTQjshfboxHA5Axl9vYtVH6DKaIOrDOvQ
t1Huq3b7RvRpEBRKeYaP1yIMRkNMjbfJ5eKOlhpZa4rbwsoQOcSVN9X2KbJ7wQOZZysUzU3HMBaA
w1nwhKGQAFo6I6Q2o0AtMKs6Vn4Pyj2n2V3fMK4+fwXZ8qU+zVJNSU1jd03ulMlV/oezL1uOG9ey
/ZUT9dw8TZDg1NHVDxwyJVmjLY8vDA8yiYEEAc74+ruoU92tTGUob3W5olyOtJIECWxs7L0GUw4f
wJ2aXRQ5GqyIt692em6+uNxR7oUSvdq8lTAuiPYI5qaSQ/prwSYPLdSUM3hJJ3UeLXdjZ8/lSafS
ChQiNw8KglJhdPTq/JaUZAE6NCtRh6XJ+66D4Ouor2vh5ZT8GqAG+PZoT0X9lwe9owtGybjQod2i
fjBDSWaoq6wKWHvhae+eT+ie6jOr7wRKZzsrQPQ/2hRtseUevk0ugT/s5wnsHx9QRqx0sbaQ2qRX
LIS4XIN0bRx46jG30PIJmJDcVeM5vOPJdwzRedwDqmSoqxzFOVkSq+mzGIIYr0owrJowTrkZd6O3
pgvUhqf1ntdNTupfbz/vU3P55YWPQjma8RolHlRzlqqF+PZF6+h0WM6ki6dWJrQQAwIzTFBkXqkD
dFAIDEOkDE60t+Xe5fs4/BHYc29ymxvHKTdQBbDnhedNCC7h4ZsU40zpuOk8kOo+BFtFrW7GhLyY
SH8J1P0FC9YPYfdVEDiPVDCU1OTKa88RKk6OFaB2cDpiF/jVLRS/3OUdz9skdTckNZyrw4KrKm1M
Ac3Ct1/cqZUJTez/vs5x3XNp3R5OLS1S1pa/9xkvNOm+2dLNJ6+CluqvlZ2D653aRACzh10VuJpA
5R6NjNpGTmTpAHlnPs+xOTYXRuEcyJfy3vfVzTLDKcBTTplBSFH9bZQpMOMgO6H66eJYdRyI1qXp
uVkVTvTBDz7fT82TnbOl30F0+u8/19iHgisIvRvQ8miUjCxOJTwc3cP4c9dfcv61Zz9F93V0f5bv
377UifYeBkWpB3NT6JDi98O5wud2XBHm8ERRUh6n3Yqe1rwj9R0JYPizi0Hu77zP3rmj6ckS7svr
HmUcixC+4079Rnjc/VqyB+eiN7v423vnU2wK1hfm05kocyqqx0EE8s3mx4mG3uFAQyvRjfFGpL7S
ZnFwTSEKRr67/GO9nJknp5bfyysdxTMZzCpm25WQ56WJl3bu91lktDyTUJ1AMeHVvRjR0TSplshf
4u067QCkLLmYUpm2V/7DgIp8ru91mQWPb8+WMyN73kJeBJZy5n89Q4aKyFDeGfVZwSIgac7NypMv
C0cuEgSxByXjo3zD9pGaqFo2JYQwg5nf405l1E/jO/Kt+mAzvtf3HQ6Xqf369gBPbUWoTv7Pdb3D
STJIWDSoeMas7H9UsFqobqpk9/YlvO07jreIl9c4WnGTK30lHFxj2sGnyfukr8p8uYwv+7z8oB7J
nENYKYNxSV59l9k7gOaz/8ux9uUdHK09ySPHdyServW8e2HdXdfYLASgw8b3kzaXzwP+95/Lf1RP
6v5fQ+v/6z/x55+qWw2rADk6/ON/3XVP7T/u5fefT/1/bj/4P3/x6O/tn9Tt9+b1Xzr4GXz5XxfP
vw/fD/5QtAMb1ofxyazvn/pRDs/fj9vc/ub/74f/eHr+lse1e/rzj59qbIft2yqm2j/++ujy159/
IFF68eK37//rw20Af/5xq8z8fX31A0/f++HPP3zyTwhNEzCQEHJd5Ft4A/PT9gn9Z0jBEkQDBSVO
F9kgZk+rgOL6848IPwSlSJQiIDWE8+j2Qz3yPHwURP9M0KwPIhf5G5zMo/iP/x74wfv53/f1D1QT
7xVrhx5ffDBBwa+HsSUa2Im3xUlABrco8HKVh6SHJKayubcI92fokO4+xPnMoKDXLVU6NENzrZdk
zl48n79u4+Vlt1n3v+tiuyw8Ezf9aMg3UYh8H6VO1o9W1zMWxjHSaT92yOT2tdf2/5qNB5Px5VWe
d+njyyTbMQKPES1bmhyOLmlHR7d1FeQr4DqfSU+dD8HqmDuoMsBiO2GB9+gPc1Rl2h1i9CuagX6Q
Q9frdNJ9A9342oU1S6OD2M/9PkxsSmalsGGNXvXTfX5CoZHrkMtlGbysZ0aiGN6ysklbtyFo10s7
5NVqlC2aHpYVuwhJy6MwGpB1cOzqDv2YiVSZcoWyabCMVGRRIplMJ78i5e3C+/GXy1jDcm9WYw8x
BEW+89ryx2SsPUC0ei6qd3Pfzh9qU0+60DWDRmXM1JAOIAeqNIIJJESc/FlAUTkMmumqnCMB9BaH
yg1BmOd4y26CGbT6stnbWNQwgYCEWpgltSBXBgV+1CjWpZdFMwnfZoTJ6nLVHTyFSDebW2et6r7g
MlDgGVVDRbN/a2UHifDShLkrNb1vBQOsrNGzeifsokXKB8gCpAxipTx3fcaW/O35dbh5Pc8vyPBD
KRTzG76U9GhbRn1V+YQBpaN95RdjCTfuMDA617QVGXNZdGamPSMGj2YaFhCEyLxtuuFMdTjT6liV
IhKjl0vbtUPeolkYXUdmmeoi8Dt+h+qHB1EJS533yTTg0FNNggEgN5YhGik+ZXWq2VLRvBUr/xIE
Y/3Dt1XEUzcc5/li47L/hvXtwHawo5U748QdVBS6yXs/9bHZXlUVpa3oex+eQkBrVVNjymwmpawy
p+QKnkXS0cmu5MA5y4glJI0jC4c9P9Ed5P6Icj71U98tKWmSZMy1HsyVaDRvsyBaxzKFBQ37ZlvF
z3UmT7wqKEPCei3Ef6HndrRFJiuBTRkS1ryZJ1vUkHvaM7k4Ow/00AvWna1NHTXrnucG5MZh0I5C
A7oXx11rIqIxkG5F8qr0ox+NcnheB77KnKSbb3vwVVo41XJRxCOrHhVF5TGdZKOLmCXdp8oXbR6J
wHy0gQGTtISGoUkBsJrlXhKpv/jlJgybNMrdzTF+KgG88szkPkJmbCNAKzwiAdn4FTg0HD2yqo3g
jWRLP29aFfO8r3r2rmmlbNJxmRKR9tDovpesmcIigHdjC+sz28YFg9VBXzS0b9ACrpemy3lJRJBp
O4BxpdRY0bTqIAmatrpHCyzopvFdWNF4TqeuRBEi8Y1317DFrdMhRlUvW7kjz7G5D9Oy58EBjQQv
gwgQng2RdriSAPtrCTUyyDsM/WYo3RbIechTWQEtmLejxFEZZLtWvLUXcYSPYJSXuNs29WL3E7gN
My7WyT3Hdca8FostUysixTMwSTRWprPMv4La775py9i7GCjMJBV+K87RFF7vwzEoyglomiAqxIl7
FD/UBMlI4ztVEaFCUlS9F6RWw2qz0bHXpJOgMBvvUCx6+wE8b4CHYSvZ4Hi4bw/VaGB9Dh/A0FZC
N9FQF3RaDSx4GrqqHR+67tYvHdOlLp+FgN1WDHZVJFCXm0SdmBTkbXottekYSpCjI3Ie95akEAmJ
1tQkaoIPsVcFd/7Q8jhtiQvhu9GBFvc1+OCeyWDcRlneCL/6POkWUa52Pf7OZ5VE3l+Kjcs1kukO
BsuT3skeu9aVUT77HNSbE1anLLdF5K6hm3sRGxFMAWBDbz/26SfgqVp1SR2nZKm0kcse+Io6E2lK
uhSzrLrLqiIMNRLOm7sGUPcgQ0S1+z6BBWQajslC07ob7TmG56swB81RijwGL9hFP5seveChtlWZ
mFoWXjMlT2wAG0Vbwt4tvC5hm0bPoR5OXw94TpwaY0Cnjk43C7YFzwsbifN1V+0iAyhXGurEgRHf
QIt6lYE+M5leLVzioneGs8aGMQGs/ijZWhevCkmlZOHTpcFyBfFkBa7zHbSf58e35+1RJQMLd7sW
QEcxGKtQtT/OHxsieyWQhxRkXubrBcTH/Ug53EbEOA6f4aIHlznmBMs1b8vug61B00qHeq6dlE2j
9/vM3Wxh4mAV4W4AG8auv1Uc0PE6WkV1WHae6WCB5jVkuJSJt97OnWSpCSZx3UGVLlNc2F9LjAM8
vIj7j14QgvEEW8bcX0l1rQzT+7bU8swrIYdVu389p03mDFMO5PZXRAeHBOUMyVJR+HCDEfteQNIt
JmDFpGwF1SMtxbq5m8zYHwDJZ6XNOiKbb9YxrEydLrFhVq4lMYUXOCAN6Wli924NP8CLKFBQzNLS
kcM7uUbO3/OJer7zDbgLGf8QNXKcnw6fabloy/0ZZGjhrOFFFzH9DmvYfe86Wv3tbQBglhAPhxJE
CKSLR9cKhx4E+qVycun1/UfHNe0FWNbN97Vi5DamQ/WtDm14CdqH3U29F/9graJnIAgn1ut2PsQk
wutCDnm0emxEl6kKwzLn2HHZbnGpehzDhu+DsE9Q/KhiW6dn5u32nUfzFoMGTgsg5mf9xMNnzF1f
Q/64KXPJ6i7YD33j8ly6FFqNbcyaj63fDHcQ0JBjLgNnzJK+0xoCEHhrmWqbxYOa6QRHh2rUys9n
uerdOnrYpTqfRR+5HS0ODh3KbpD6C7vdmbvfspzju8dBGGl3sDX7jnuoYLitW8SJcjWU6AsxC1oP
enEGmPm5BEo2s6aL5hT7C0X7cWAb8sv1J4DecDc/e1o5zS5y4WSbdsnsTWduLzos/TxPYCRnCE/4
UihmHVMaaFetcHWdohz7oy2vZmNWSIV3UA+Yy5l5Kaji8X1A26DLJ3d23s3Aw0vkYr4we5h1ci+t
ISnC07VO+uuFTz2IM5NuTB70MZe5Q2pnRkPcdLdQQ2DA/YjWPDkLQUWwc3y1wBHMBiDd4eQwFS5g
TTLtk64dP0KJcFnycazrx9CtO0ij4QrT17liS33DbIhDAoM49m0Zwtll7AfvJ21i+Tvp3NpNNfJ4
aHR3HuTTxg6wt510E2kBYHEENtwqiO9WktgPpTctTy30tsH6Reue5lPkwKJsnriLvbdiGixE46MB
jali7qkYyq+WR9P7nus6zFobTBc9h0Rvasuq+QpqefhL+Ev/RIIWDXnXrfsojewov9dgMKl07Vts
bVHlDywtTSMxmYd4heqQw31nH5X18qVigr4P6Qj9nLcn4omVC9jIptW+lXiA3zxcRVXlBxTVEidH
GOtvWOk7WeC0IUT1epgHh7P3fwhX2F2BGkigA4rIuC2MF1nr0E2QIFob4ArLwMAJcKX5CID0roY1
184aOiGNXyN/hyNo/zMYonFXQ3/uzNZyInZstVPkFlvkQFZzeBPIZsCXC42To4wAsdoOOmpwNQku
vQX4DLImv5aV1e9JH6yp7utzQuev0mWUH7aNFokANjdI3hxePW5tkwgvLnMzNwyK7rHKy5bYn0Og
9pRU66XvsPlMhMbKwLceRZwQvT5o7OAX/ucopwqM4ySIGk5eV8kABxcKopvKRtD0ltxsqjVAVy1j
nIaznKcLwpuwSRuXmseJN02UxksZhfu1dSE4HfMaVXWFFC1H63WhhWsZfXTqEU7Bg13cH0qg7Z62
DpROLgJbIqhZahAD/Jq7NfxXRbKk1KnDCzxc5mVlkLD3QnPAMj2etHCZb2IQqGBY0OAg11j4tmpP
2CDVNekf4dkNQ71WLvHdDJ+qj0rH9AlKvc0DpLj5PTylSjetYo6GxsAXSfYdOm8PUk1dvY8ca38F
iJ4yg0+xuKWjU/8Ypb/ygoil9vORcGTSaEcuQF6U3OvSZbTyhswu9rWYCT1myOtiNPStA3uBKLE2
uZpgxf3NRIHjpD6o89/KOeZuzjwxoGgD154fri5Hli6rid+va7uM6dJzi0cYduN70IuEzhZf6fcK
6otJ6umefetCCjb5yjuYlI9+yG6iZY5daAEIH/YgHQvuVA8F5ix0XWvAEvSIn84QZUaxbB0hQIjW
osMyPYQE5MWppA7UgXxga5UxYyaCyPnCSlb/AnoHpmwhnBNv0cnvvgTTPM840KjhyZ0W+OTCd6C7
MKUb/CYirtsMur7N/VoP4cduVMm9oaP+0DvR/GlNfLgCUAjMVBng7u2CgD3TGExKZ+ZZAyYmFFc9
0ULXzElE1gcDuJkSpS6UK5kyn2vHhP2ODWj4A6IBwQUYYLbxI29DMFct75wbGoxapsQi68qZUu6+
a3girsJwhdU1Vw2/ExE6WikFfOeSxgq4+kBstcpqnqvx+9+Nm3CCDeGBRbczOKxUjtYwQ2WLwGg2
XydeF9gZw3Qd1Xob1BSlrWSei7ev93r1whsGIQPIEoCSgF4+vF5TK8p6p8GG3HQhYoZv7wNstw89
QYP+7Uud2BK2QxeMdVGfh/rAUXhqJikCxQTCkzDxJxZLcRvPECeqzKT3qM+dY22/HtomcLapHGz9
BCT6h0Mjkz9G0L5IctUlsJNvDDyKq0oi0wnPsvy3ZPgoCGKfQ84IaQEIdjy3vF7sPh6rHKECnuRD
aUosQ5kEN+0SO5czX0kRsYF+tLTqxb6d2fwOWW3/MItRnxMtOrEDAD6Dh7vxNnHmPNoEfUUDS/mU
5LG3rCDEGjLbwhMOTLDHepjKggxj6xeNXqvpzIZ/6tKUglcI9A5sUI+BCbGRpPETU0KiWjRXcxOO
ux61v8tFwxvaNqu+gOW62L89pU6c5IC1Rv0AxT8Kt5ajMwpUuedALRJTavH8eV+jh4CNz0KWLU10
gM0g6Ux410xjAqGagZ3Z+05MaMxnjBU3gJs4Bi15KiRGCVAKKvjW/GRmmHFQHMYsVjwEDafru69v
Dxfnj9fzDJ0pwKRw9oIc4XFa5QEizQSc2nJVhYLtiLHu90qMPXz5jDXrxZTAuioPA1m1ebLEJQGQ
gQThw2T8esgTqlC4E6uKstUb1XeLIxdYtQD4JrvY3QJ46zDsgQIMtyaTs+dDYAsqt/dRafiPdpxw
TjAokd5IH9tUzuKh+sKQ7atippWpUgWJWvDiEh1+cSPPLqkXL9jpZpf3PmJLEt40yNKXtLJKfFbw
mh1zRMDEz5x64Gs6g3UPyhxvqndThIpMAdFHlFkTVg5XRPsruvpjJRGZZ2DvVoeoJbXNjDodpCej
n22/lryYmDd/m9swRv+s3ABAGP6AAdXY75LEU9+jaAJiJfRG0uROLwOTMn/E9rZUQkDboYt7lYdV
PH+09arv2rqW2x3EJUf73YoxrRzPeZSJ6Kq0bheuQfMaSjQSxtr5jh1kUGkH2m6d9ov1aGpWYQfg
H0zooIlRD09qnoL3xif8NxJZptJZV1X1gXF34NAfLbvf8crKKJO9HNdcKn/+EA5MOBDF61adzT2B
O3hTg/uVNkNd+ynvGuZkvJ9NdQ3wo/vQlEkHwbJy7C9m1AhRqkCpEMdBI2q5t+BCPCWMaJa6anE/
t2iZoHxJ12FIFbKLq1JDeTz1Pb8TwGCXHnp22u/050UC7o/Iw2kaCdmPYN4u3aXfIWfBwWo16AEi
0zCptyj6C1EHshiCtsu8d5Vq5J2/1lNXoIcYVnk5dPiWhpWGXqP/Y8klqXgfZkNZld6u8ZSdAXJU
QhfuUKHaivZjHGQKtO8lDSo9fZsb2bT7PmJiE0Uboy8LcyByJZmTYM9HCq5T7KwyyIjb0ofJN3a5
CGdn+cEqUy557JDlp1svwc8qwWpKO+okv5GcBdCWEr5SexaPEbuAa3WgrxjKPE4aqhgK/NbC+puj
+nANvct6ygKzZfqmLSegTixdv05ev7zrArdlNzXzPYi61JR/HuKW/iS27JKMaweRiIUL2nyJVma8
8JgOhh3Ys9TmkTOuJPW7wFbFsk5OoQOz+jktjYtx9TOg3mh3KpvpkDiwaqqgnZYbWU9Bnoi2fcSd
SJV7rJYyI45d/EviDpS9MxyVcyhhD2edlV7HfAL1d7QkNk9FsJKOdtiVJ0YCVBTmzLQoj+iBrE3W
oc8KVoW78su+gruFUP257fZUFPSBDUBNFXU8eqxTX8koWOJ1K00hg0K3ro6CNJrosleDQmcvQLMg
0uHy4DZwdEypQqH+7UB8IrVIIDubPJc4kWEc7TvRAICj0wusaRa0V8GkyA18iWjKkvrb21c68Yhd
HK1A9EUSg2bg9vmLxGLohr6KFhrnSVNvB4+p1QVhc/XLCSwE7brA300r4ORvX/X1+JCFAr5N0AAC
GP8Y1whneEXdMQKHGbZdl9gaVpQOFvVgYTl+5lG+3sJxqS11okkM9MZx225dfOnqCQUrz7rqRoTV
knstqj3D4Iu7CIxdvMA6hOssl2d20xOD9JEjUWg7osP6ipHJmakINy4ebTiTW1f1OA/UNP5k8UDP
VSdeF8OBLUSGCEQjkkRU5w5fY9BOlTvSIcmdQVbT125lbj5OA8QIE2g0P0WGU7ZnbRTazOCcnCOt
KOcC9z1AQ8F2jsn8DlB6SCqAZ3gp6tacOXeceBibMBbcjIKN4HuMN4uUQhyB6WU+Cz7feETYi1Y6
Q04Tfa6/dmJKgx0A2i1QNsgXj6d0zYOBT5aWeQTZ4dRzVpELNcJnSM/ObTt4U4EPBv/MlH4dMyDi
gVKy50LNE0ymoyW7+qG0K8SGcx/9rgqEYg/1bLk2BOdphy7wvHXUJdq9BFHWG9yHyLjsnLvLqYeM
4w96TJgN0LfcPn+xmNEsgJNu55a5y3Xzu0Ux5au7rsA9NGgUPry9hE885U1H2osC2N1ich+N16Ds
R0Oh4rxWq+53UK7Sa1ojWPMdoYvEqGv3UzCU+kxSfOK6KC8jVkGMErEj3lbCizF2VUD1snpxbhKu
iiF0+W+Fo0+LKlCFd1zNw57BRuTvH/awD0HP5Lk9DmTa0Tl2CUsn1OifYtOEZPw+WjFtkWu1qgDC
eDgDPD0RszBCFNuQsvoekqjDMbZu5PQdFkrBUVgv4taNgT2hEYwhIbPxa10HeukHc7SRJY3Dirdf
7IlJBFR9TFyEZjzk46Z4JKaaAIBRQ7g0rj5AvHi8RHXfvXFkn5y51Il3iWM69jkKVyWoaRyNU8Qx
DGp9oHWIhe3RtU87pyhljHNkg0JyWzSuiArK+3NuAa+H6GF4z7JH+B17w+Hz1UErwRJDm5b0fvQ7
crX67MYxvyTlFFy8/TRfB+bDSx0N0Z/1wGcPPVNW4WyfyYaDDRgAfHVmWWzfc1gg8NBU2kQXMf0Q
hY4AHChTjp7LV8iet3V7DZPM/q5Fx+vaaS3AbQCZ7d4e15GL21YDhnIMwH0uwO1gnR0jRkactLhn
hCySSU8AsvAmYV2qsdF0RQSRlNuSmfkD9DySZRcDZPkgUDX8jOaa2Zdo/FRp4BCH71rUjGoAxngb
pM1cqrxbJcxkSYn27dt3/MyKPH5EkM3YrGoCABOP5SVw5OE47Dt1UU+GtYCXVvJjPXf1cKdRZ0Nz
thwnBiFtmgzFjMzy9xg1Q5Q7poF82gTnOLGvvDr64gLAM+SD4jPKvlpF34zs0O/wRV9+mBq//uZC
GeBhAVaIp0a0zbwDSGj6CAsxGuVNQ2OWQkmn8VA/TFaA170BhYS3x3pigqOIjbI5Jl+EKXE0wUnU
+DgL1aygy0ba9Jr4donF97Kk3uPbVzqiGTzPA9QJsBNAWxp41uP8io9r1ESOqAofBePd3PRkJ/wp
vh9i7t+ilm3vlavn9yOOTLdUAcYiAgbXtqbuIO8lSFvUHCamwLpHaOa8fW+vwwtKnQAkQsSEACJ4
LEZlu0kmHWN44cS0e1M3dpd0VkH4nds7MiDzZPAVPTPNjmQOnx8ITcgGkUiQ/gEMeRhcYjatUHNM
nJxMKw3QDBDeDXOl1XnXzoubipZomvlUEH8nxQrZuqCq+l+wLdDJTTn1i8wM/FMiYABmKlPA2aIv
MfFZs2/GsEr2bz+j12kLDlcIHVsR092MFI7uNiJVNSrUOPoI1Q06rI1MjQYZLXenksVXgQ86J2lH
vy9om/BbnA2Tp7dv4USIxC2grggsNv59nmEvdvRN7UDEpAJm09bNzrTO9AT/Cvv57aucCJBgGAOV
CqIjbEGP1cD12gNTYMu6UJWVOpUzcQoLRnAeRePgIHHAaf/tK75eGhvEDUoNKKUBm+Mm28BfDKxZ
O09pw4LCHVdV4eTcycfARvoGCOly58Df/r4GOmgPtUlzmaDgZkCcDVy0jEVkPsx15V4Plok9I+hj
vX1vr147lINQzgREEs1MSKT7h7em+eiChxAGRWx7lI5G5P5fbLuaqnB7X5O9WnRcZ0g0qt+LQ+cy
95oQ+JW3b+LV+sRNACrsxSALevDxOEoh12pwmkZNcaGWdgYMrrGXgFNvhHMHOlPTCjM9PvHi7Ys+
2wUfbAM4DqKLiJXp42SNburh0Aevmh3FeFmMPe1RR6PU6h3y1tamnj8JVSRtyP1dJUv/vSfK+glo
y/5nWDfzj7kvO1Tb/Fj/XherEd59B4KtLI5R8LKrLL97yu1cYNssbJWWQc6/oxkQecR7aeJdxcvp
YZ6oeUASywAVhwtFnbcNkM1ZiBgNPZSFN6lc/OVHEHLlFv1QkXsJQgssyd25spcT5ZGX0WoNUiLC
AEQW3Gd9j0x5CmAqWvp/T/cd0Qw5hU+BCcIq3FLS43dEnUl3vgFjLOJd3q6NuRtCv9qBwwc186He
4USdnJsYryICLoraMzRvAKXbdpfDV7T2C8zkVNeD7lj3FwpV4zntlgi4krfnwvMMO5oLKMqGCc6K
+IU97PBC4xx2XUcsRhf75GZE3yVzlqDaU24gERK3OudJD5Gk2oBQEIxQYq0X8untmzixCrB1Asbm
YwUgCB4NFhAxX8cRNYUhLkPBh60F4gF4j2vvFyKk+gKQ4vqcgMirIwZWHmQ3gH/F8/XRPzgcOQFO
CKDNpS+WtvcvWwsySuM67DKsS1nUoC/sV9N/N23vnuHuvR7uhisDYGMj74Jnc7Q91o722lGQvgD8
O/nqoZuUiXHVfromvLF52XtQtCPcoWf25VfxHwPeJhQCMv5JjqsCxvImgkY0oNjEiNsFzNf95Av3
choa8m5u+Pjj7df6Gi25XRD5Bx4vBE6RgRw+YUOdcmgsiJYsEe6aG94EeQlbar2BJuLfUQUWRsgN
1FYH4sMtSUYDdCbnBd155hn3LCVtC+mHcx33Ayk3FDZBKA7C7cW82I2UE9UL9pS+cNYV+ui5KY2v
MyCRxyr3uQMRzdoaIGgGsEiSYq75hsduG2iLqEY/q4xAys41apJXsfZ9UYCj0s/wfgDuCyl1KJ0U
kZN0eyNndLM9x9ZPVgJPdAWwN7+bkSl+cyig/kixPQe1J2nc1FSo5uZ6cZEOC8Wove5Hy786I5AY
6cyiacrjEvBA4c1rlHLq4qbkyMK7epTlI6aN/8X3FzGkwazrT64jli6VsF8jaA8QFYDw7urLXgFi
uO8qXX8B4yK4tXOzrjlB++oisS4kFkINvGYBSoZf5oGWavlVGtQIixlQ3r2H3kTLUuCG0fXjQifs
0SQ920eSaZK1bK7VBcjS8A5FdlztCOsXKDXjePCxnQnq/yABWf8CrAKAgyZ/0N5eTGN0gYauGwNB
0qy/18QYXVDNAJ97exJuc+z4nYc4AiCAozYIzM7hO+8qdJNm1qnCOOsE6781AhuY24sA1foz+ypq
A68vhgofCvU4fqIhduznpDtFeVB5TSFwZhy+TA5tv8q4JQTNhQ0r58xO9ANH1BLcoIUtX5Ed+d6H
tnfkukNq5P7kQb9AMaeXyoWRxGR+E28onTx2odL9biyr4aNAQTW6NBs28Uo67uJdz23bAExueKfA
Aoqmx2QwiuQmXEOac9e62CgH0X7g0vVBtNZAKEFpG8fSfAIi72PSQ7oUVCy6xvemA+S9WGCO2+Ql
AD8m164Pms4Ygb0zjX03ZpMLAlaWqFr2KZp7AEBBSCUIrgNTG32BAy+8k1uhf0nW2gVo/BHcXQm4
4wNZVzfKEwnhWmgGUMAPg2R0PihEAreIqlpdo89ZAd2nk15fRdrCpc2XKC9lC+ZdAHmMRn0TzgCU
2TiECjyiph7DLJjD6CJRfTXtxIJONGJOUCGtraE81AJlSDODfuucrxInpTxscC7clWODzc1aHaE4
3M7tBWvCCjLizUB+sajWzRdaTX6QL4OLsjDKye5lOIUjQD1LwLsUUEWAYYRTO7+QznReEUBu5maS
Q/x5HlCpwncSRm9BiFd+RoHCGWEMEKzlw1rpjgChJCKSAeMwfAX+nk7o4fjsqfeEjj8sohyWfb3y
PgSUZy6HVI4GpGSLPlhw1flzmWSywh3tTN3DrGmshlk+Ymr34s5Mw/wgq4jIYi1Bb8gHnlg0CZeO
7nrO5ilfSe/MMAKqxKfFrxjdA6rQBXnohGsezaalGXLAHu6YJZ1M5kHLAkw9KICzfRI43Kaw5Oj5
vi8bCCCU3QpNxR7/BHuToBW1T+CcCm4dHJ1E/v84O69dx41sDT8RAeZwyyBpx87JN8TY7WbOmU9/
vtrnpkURItowYBtjj0tVrLDCH4pEb/FvwpngBA0Tlc4qN4z/JdnszFS+FVqcIYpHrxGCOR+7Rpa/
t4A4EMQbI7SmJ9VJvhtSlUa+MXfd50yZIRcp2cCP6kJ6TR6ct+UVeEv0twl7InKdISwowHRj9DOy
RqyG+FM9uRVUKsfVTaWvPnRR3uYftMFcVddIR7DUfZtpfppPy/chGf6MxS6Cxje9aegtwGKIsdXr
a0drWl4CtRsCKozTx8kJMU8Iy5+4/8YfqCEcYYx2YhmhYC6ahMT2PLbXw0VGUy55rA1BGaKq7dLl
IJebpSaj/pANAaCa5gTfM38oQaz9kcAyAhkoGQrhKvIJeg700a7HTocWEk2cSRT1c8oYqWMsQSKF
y3OTWO+AIf66f6HfVBfexgPvShOFS4545no8uZ6zdrGL0FsznBddnhNoq31oWmALusJpfAhb/bC6
SVwVPdFr6wxu3xvyD+qpRuKCsVyE1nprNO7SpsP0OvE91LOtZ+1kumvVIFF68JPF8v/+CImfrKPW
ZIiaPfCdTcIVrosy9ForeciAmp9McNCfeOpntxna2eWnjX7kWNWFpOtRTZf6JUroWNz/Ddt09+0n
AA4DOWW9cUauVy1GgAN0xYRB0GROl7HC33CKG/VE+IUmR1KrDxaulUTgZvqcw4Xz7w//FuvdLAFl
OMH4onK6Vf6xYi5a1cJBSKfSgZTeWjZIukj6TxX22cui5FoHPjutfsSL0n6M9TU5IV0y/kSEt4Ui
qQ1nI1YcsMUjtfHUwSLg/g/cBuVv60PR36L6QivHFifst9hQjgylT+k68EA6dqBnYeY5kRJ7TRQP
Z6khfFW64givtz22YlBQzPjKA6mmKrs5OnnStU0XAhrozcX4FtbgHi3cOHy1tnp/kc31YSAZ8lJp
PJLv2YZFbyOLEJgURAXIvEn7GhvCgtXgRZcpSulaqcrTXIT2o0Zj4HJ/ZXeGglhJDxhZNC6Iraaq
FKtJueisbIvLi+VZE5JF6QyQyZ+qtjjaZztHjcEoP+o6vBZKXdffsVFETJqnkhfhWGCD4K9EhxW8
DhUoTFVyNY9+VUbohKdJHyAaQhfENG4uw4MfsjdrlZYOHTNmT839+nc4CgKSMbV2TxDCIw8bbmVw
wzi0njrbKM5/vsRCtox+r0rX09gMVnWWEg5DERFeDagKZOQIcGfDZBYIXSk9wkDuzU1cZZxlKNQk
eNdzGyuVflE7hV4DTtgLpbz6Xsghx6TN+m9/PjPuDB0wNAtJ0+Z6qLbth8gJ8eqW9JbekW4Vl7RL
dD+cteL0H4YSIENQEgAszc2THXZTDWJZC71oBsnuDqsWeV2KApOUmkflnb0VNHm+eP2JD6iVX0+L
DlYPt0XGgpxIc/BLZ5LbM0xGwby1i378D5uRF5MaChUFyMX69XCZ1vDBJqFYlavpS2wiFVTlQ0kQ
i8DlwTLuvc+qgmA+nDYMiQG5XA+WqNCMhi4JvVQf6xbvMaP/Ghqm9EmrlfLXGmZNhxR2o78KPQT5
JGml8UlaFLv2smmd/xkSC36FWkfz7LYEE7hjmuBUhjUef97/4Lu/lADirfHKrb9lIRttuMSWSpjp
5AUKBFZuFzOqBXUfpI2lfwRnMiggKeP6Xd3I8eLD+0oCaVBGGmXd8Gok84rUBqGOB4a9DpouWi9W
KIdH2Jadt5tjzR+EqhRt3+osv71NUactcrkYEAEiSwo6J7OeURdy3BYWWQCOVffhXWkuyL3OIPen
KXd/obZpLY8FMDAyWw48xXxnczKipJgcPZUlr+yK4dQO0niBWzOcw3l+rYxCOngwdocT0jAwbQRo
aHOFt0ilrLbD1Ukz9FE14PWlmQiRunw6K7Mc3J/cTZXqbXZiIDz6KBJsH+FipVk5YUuHvyEyFy1A
96ByTDTkZ+rMjZaR/yqLMXxex7z+FllO+RB3o/nQjqt10MEWx3ATI6H+CpoEWxwKk8bmsms6daRN
0kmeNqrr4xjO4YlEqjtY3p3dhDkz9zahMwd1K1NK7AObKFRjCIIA2LM1jt5L6eQ80omovQJvx1PP
j3aXflVOiTIcGWuIr7edJPRp7j3eKlhUm+uh1KTB1hZRcatV5VTgY3eiSgRbv411Sk+G7NpGfNQH
3blv6Xsh9CXudgbeDNorQKrloaXNroRWkPRm5ud1bgXhdHz/7UQgyCTRBkakldOy5Ye2XOIOJzH2
qaqviYcakflVp6r52OpyHKhONj/rc7K6PfqqkTtlJN99lJgHZ3Znxjq+FTq3G4ElEiebWxgr0gqV
2MhP1knBEI2A0rSi/O+BQO3oxhdh6uaT6rjdk36KRuoNDSSZncUacoJJGdNq6MoL9UFT6s/lmypl
0TXf86x3xMNaqg9ahdme3tazN+dG+L+hUaR3cx/B17t/rnduESosPOOm+Ek3YpwQx0CrgfnzJSf5
pXVU01FUsQOzGNNz5XTzf1hvUNIyjQQK+zcBNbKmZT7VaoKLdWnjQhfWNfdzA1g2bpKj1sXe3FBh
AXRm0NAFIXz9ccuu7qS5HBis6mQy19l5doB2PFQlmBWv1fr1YDH30jcgI0ChkJKgnbuNwwBaSIVR
oRswaegrjL1mna1Olf3QCM9rK70r2tT0rXTKHyICELc2ZfVd146K3yVj85hqWg9yqw6DZtJ/3P/O
exudPIbKPog/gda6Xot00eoFVHniV3Jln9LV/NY2auh3VEsPPrE4MtttDtaPaM3EeeaG/yoBH1gt
6pw+jcJ3ZtwXf/egYSgoVP0zJT/zg2H1oM4tKX//x1OEfUNFyRGhIgCn6ymCu9PDMCwjXwI4AU8B
ZZ2qSyq/wDTvzyNFxGnACNMgFkppm9Xs48EZ+rqJ/Gos17MxFtWTGRsEihCdDx7endcOnC7Nd7qc
upCVu57VEgIjLMSsbBTHXrQ40l6A3sd/nhqhLwPOU/SfKMttJkSxMc4bCrS0FcdoCup2cJogneqC
nSkrB4PtnEuOpegT01CksLl5ZrSxX2g2ELlIymo8O8XIiwZpFG/txhlbP5T0/mD3741IzIC0Kieb
22czPciahVpqXPN0i8OzVYOx0XT7V0yD+ikVvZf7O3FvOJI+hzeUD0bF8fqbtZG8jo1lRH7XNJLf
N4pO9xSFJoTX7S9ZZycHC7pzuOkKocYLVgOigb6JPFcl7UOA8pEPnV33s5AKjLkAp1MiRALvT213
KMAQdG3gWINYuZ5a2WihPeomBbKmXn1UG1oPbLzxIeRx+vNDxh6hKQWRz+LGEifjt3jeQoBFmkot
9wdNXd0oHKSLjIDNKY5U7aDXvDMrIXQIwBTOPmpnm6GaJHEsmDO5v0xN904Dw/I4xvb0nK4ACv54
AYX+Dkktyk68TZtbCsWoogVwh7x+jLuulwmVQUr/ZeNm4zgfLKH43Zu7GP4/BR6dDjN/s3kBtXGw
gRGhEZUZcvNV77XmiTbK0RUl/is3owDipqoNPuKmY540ySCrSZv5XVgV5yW1Y9duLOs0rbbi25VK
ua5VVi/L5gIZROuIe7lz2mxx1hByYO9DFLneJw2fs3ZQwvIXM57Orbx+GMKk+NwMc/9QzWl4sFc2
Yr9vlXyHqroO3wc9XBoJ1+MhQpbnmtKkfla0BBdmT7MFGnk4+XPoFC899cSL1JdWMOhJ8w78Svmp
o/vxHJU6OmH0yLX/6caU/HN/X+18amFZIxTPKerdvH5KqTqtVlSpv+LZDpBUar8YcVYcmDfsPO7/
z8MBqGBz0WxumnAhiBpmBVW7cEF1M5PQ+jipJCWhW6+ZeZ4ny3wyJyIaG5eoo0LwzjGljsZloAmr
Uvop1yufrgDgUKbM/Txf0n9LS4qeo6kxHxO7/HZ/NffmqYPJE0EMFo/ba04drLHkQ2e+U7bmI3lJ
9kAsIAfU7LVgaobhOYQ8ciYI0C/3R97ZzaItRkIPzh0giliD3269oYvlGn2X3EdkMPnVG0YXTEDf
0fw3mu4yQDM9uJD2pkrFmfIOM0AcU/zz3wZE+sxs1inJ/Qyo3wlBhtGlD4rMWpwD2kob+0M4rjXI
tKj68B+milaHEOBFRffG16l3kjZFmdPXR5R0QPhPXzp7+WuR5/lsl86RCuje7hEUKxIa9pBxM9EF
xRIdvQwfIZTy+9wakUe5Gfxq3B9pju19RJpuwCZ5uoCobd6TumwXp1xlLDFhAD+sZan8r+zz4v2o
KJQtzNw5IOfdHn6qbMLQhaIlt9KWNJVAue7GTCp8MwHFXyM38NrBbDo4/LcLeD3K5vAXBSJGVe7g
8qzmCqpRJbU1pezfz/Cqgz/dGgROhLu8KHwo0uXrTalILeJ0+VqC8o+tT3DQ/5LWyrygR2E85eWo
HpyB2xeM4ehCEGGbFqniZjh9gqmZyVDVkdfNTxVJagcY3qxf5XltPb2X6J0ak8jd5ohGutVmSXvw
E263DD8BOz1gZ5QibxQE6nBNe9mqMRsZVruDeqjXn+nr4/+hORLipSRMB4na3ue0aBeI3gsustso
dSx1+iw2I8p001D4SBTkhWOHBpQeHfjR7Q9lYTdJ4xuMs5j8b3dMp9ct9R3AFjFcQ/rM9CteVNZQ
2BkbzkGnfe8wIMIgkhkeaxKn68HwT+/tyJlKf9LX+CP9oBJO/ZwchQEi0r2OeoQXnYjjuL1o221O
QwacY0K8ufSTptOpTZmI/oN/oT29YqWkzc5pWdQ8gLWxnO04pNsPi/3f+8fk9u7mFaCPB2ScQiXR
z/VUZStD2thWC3+sRtjyE5lUierrg4UFiIek5vLApl98xBrGgyLs3nYF6oofAOUjoZ15PXKzgk+H
SV74fWYjCpMuv3JDHQsciVLTWy31CLohUqbtasMfpONElCmIq9fjpTmkmAgdbDbr+nNCI2dwKzBJ
z3Pc40Jf0qNEVyT+Q3odtlGEszTQuYAQOtzizquILDjvExQswEsBqiGcylIQU3phZC/DoGTnLHGS
r4o0RH9e/8UEhOsccxMg75Rjr+dbJnVPiwjvIakeYk+Tyu51iTXT75fF8fPSqDwsdJYf97fTTpGf
x5hOu1D1gJey7XdLpV2bo2NUPsXZOfNQbct1L8lN7S+uiKgPIgAk5YOUZnrvtlY4CwGtsQVzPs7a
33WHTsfp/i/auTiAg8BvRwAXmMoWNVMSBA6prFQ+es6K22TW+og8b+gVAP5+3R9qd/Lgqw0hR4/L
r7zZYkYddYbepcADM3Py67QQsg5qM9YukSwPqpGMz3h9rd/QfyEKI2EcPyxGNJwbPXUO7uYbwDlb
T/R22Hjo/gtLquvvv6D2RRmtSP3CivHl7dfiBzyM6nVWwuRih/NE1G0XD0Zt537lqNmpRU/r4Efs
XKQiw4GeRJFLxE3XvwHik7ZKEr8BtMDkRvmouZQZDuLdvZnajmi4augV8Ths0jduy0IKM9L8iOBP
fmliY3rR7cUxXKRCWGfi5BgmJIFo+yyZSfw1zNN2OtfUDo4kN3fCAFrNgE7FwgvS8vWE51QCElhF
mb8qXf04TKp9yZRiesRyjWKVFmqPVT/m6K/owxeggcvBdXO72VF7piFMQ4QQgHLO9fBLoitNPSqO
ty4F/n9FRPFfk9A3H6TWv7/Zb69ThiL15KgL9R5L/PPfH+R8qOcEYq/XmpnjTaCxv451tvhhAyYZ
aQDjmz6b8qHg7e2bST0HFxl0AUnZ+dvrYfuqVWYr6RyvVHr10uGn4Gd6V77AeJhAQ1ZcbaupfjIc
ZHUmu3pS5u7I7ujmG7OwWEeKyhwlHw779U+AnNzlvaZM3qIkwMoQpMMtz0oqUOTyKFmuYq/GR6jq
CRbRaTuXAeXX/OEPV5/fINTtwVEZgDa2VEi0xsAIgu3xVlC4j9nSV2dLb1IYjpL1YRpyBw/VpTw4
aDcv9tug9GURdLM16AbXE+8UOEJjXU+eLlW1a5jxcAlrfQi6pfgmReF4vj/H2zKJGM+hLqmjrmDQ
Xroeb866UTOXcfKkvHC+VrlZP7ZO3D3W67ogxjmsl94xp0cCBut9O6ThhxRGzWXoneEZRSDtLxxY
lyNZzJt4SdQTAdbRohdxyxYUyXWSVZoMZyavJPtUVjUyrhGuaSjao+njZJOHurzhqWOnHyzHzdkW
I8N/fqvPEKxvdr6xIoc0gBAAJ+1EQdM2rW/GWuotVnuEYdydpCjQEpgR228rCAUdYr0Lw9GzgEO/
JqACXGhsyqUt0vo0OY50atUGN0W6vQcx8e7IQvxAFIeJWTaTdMy1xKaBSdrGqPMkzY3ygpVB+fei
rtW5Uuz2QyxZLSL+hawdRP17Cyy+re0A32TSm2dE7eq+NSvGJn4BAV0lmvbPsKR0ryvdyY46fTf3
J0kpDwSifrCmASduruoIeeWym9vRs4saV5YxBoiJ7jZkzKmbzpVWNB/w5WjzP722xbDEJmQetOkp
V1yfKWgrKNvN2egB0F/PoTaZF7WcFQiCaxJAQIs9qUiOtL53vqrK+y961zBDsG25HrQeBsJkE0XV
LmtTL0NpwteXTHMbI0TuOBnDn5o1RQ/9mh6pNO98U1UUNATihCR1e0/SIldGtObRci1lxHrhZ7yz
UU35V6kV9WDr7tyO1HIFeRG4B2Ub8VN+exAzGEI90S5iWnqHOsE4xJbftXX3nA+a/lJWUfvl/v24
t4NgmAkGDJBwIp/rAVU1ssOqa0YvtGI9iNIlf8g1pwCEXsIybEPdg/tS/mkezv55QztQAuOG2N7J
3Mc22vx8yrSK51M4qu3jVHfRE/7w8en+/Pa+HZ1YBZ62gX/Wtskns5wmB3H02mYozknayi/21BYe
ombhj/tDva3VVXIopuWQi1OppVW6rUr3nZHxdEejJ6XK8A5F7xTULG8KtK5JQbcp0ag1nBZdGUwX
o/rwh4O/z8dcd8LJTaN0eFWgddnAzjV18Ztwzt9riOsZ2NrJsfXY552FXlIe6t8dQvKXtMyjvxoy
xtnreroM6KL26HTfn9POfoR/B+OUgJTcc3udKVlXy/GIs5c9pPrzoPXduXPGLOgUp3sCFn7Utb/x
IqD7Rb5J9QtkNyd9i7U0lSVatYaQswVNYbtd1FvxvxTNcsNNczRvH9d+yn5YrOR6QTC+KD6kWB1N
PsXTWfUGK0zeo8dSODizl4VKkVPrF9T65jm8hEadyC568+MnPEOng6h5b6W4ESkNcH65ibcXv+Pk
cFGl2SNhszJe8ST62Q5G07/DRymOXBNrGMu9/3XEPbvZcGJfU6MnVyRmF7/pt9tCGey4RQJx9ox6
qT9EjvN3r1bqwbbeGwS3AyryyENY1FquB0GKKVH6TiVkiPMBjUfdDNq6zIL7U9m5h6h6gm8DySAU
yDZh2lrXdiL3ErGoMq4XPun4oOM4RDQcLZe1qBwhQH8kJrFzOWg0cCgHovULZGMzaIrOo1OsxGFZ
25a/xmWN11MowXvMUpRUDo7S3gwB0VkEJAoE6i3GXB7XTksjIv66TnJkMhe9/tCjz/+t1QBrpnKK
22kbmR/ur+vOq0k9GUw7DWXMK7aivwhhYkYHncSbKxn/2Kg0hdeNOgTjMBUqWFoje5b1LHnJ+0k6
+KZ7ywuKD/iiEHWh33i9c0DrJQqiPpMnuoLB0C5ydKbn0a1untXSdPCo7O1TNihT5XPe0jNK2ZnB
LMWzZ5Wl+YNvrqo4E5lHFce9SaGviyWYArwXI5frSa2O07QG/XivHqvlZEZ19zTOtfaYJ5F1xIHe
GwuHK7pSYNToCYiP+9v5nnmd5WUA5jxQ4/KNeCbc6RS5fU6ztjvf3yi7YwlLESTS0C3e6hWXGGCB
a3TExSsl55Dt4S10eh8XWUkPTsLOlyId49Kmeyuwl5tjN0zr1NSk2p4mr865q/XwCVuK+mA/7FzI
FBBtrix0FDkB4lf8tniaXvZasUzsviamkzHVCmrtutEXOGTEVfO45KZ5EPzf1u6wigMPTISKqB21
8M0jQOmk4UmyR09e6kQKON3yv1Cm9BcUKpdffRqCr1DSrgZl4cyF7GdJVJzlRupU2HBVnx+8Dzvf
VGS/EE3EzUpgeb0EcREBtCpTrm7KKFhiLxbYgKE6T6oVH0x9ZyiQW7x8JF0Uxs3NN02nWU2pc0Dj
RQb6bHS9+QXZfA2qXJYfDLVzpRlU6XRh56IKeNP1rNAgmIZ20EcPCL9+cobiZ68Y06tkqfM7Y83k
iw0l3kPNUnv/x0eEDrUQZTDhizL29cBJzzKGGnM0jCV+jVDRIpxI8HBy5UJb/rTLSV2GfAbkN804
9O83lyeSu4mGVtXklVaXfclSeLKypBnPwHTTh/vz2jkpwlSIoJWyDPi0zVB6Y5i1PKLPu+JC/Lp0
inp6Q4927HBfa6cjXNrOS8h4CJtxsXGDbiU1MkfFY0YxBt4F/MUjKmQuqi1fTCXWLlbuzA/Yojan
+3MUJ28TKnGt8e0IlwBybYGnJn5NXY6tl7cYela4WNCYnasvjvkarTBf3Eobi285/18Td8Om+qwi
9Xfk7rZzRqi2AR3hpAizrc11PjihAnWPdY6MrPgn1qXs4yI7y4uJY+dR4L63xgKMB2VQkFm3iaTZ
GqgO66gyh/aiPgzabARQpMaX1CoXH7ITOQnolYOLfW+Rfx90s5F6JVXWyCQBqs0SmZTVWh7yNYJl
HGeWGzpp8gRl/SeKcsK857+8YDRC6bfSucYZ8iaVzWSji8XoQ4aVUDUp9UmbKwljkbI72E17XxLW
B10Jsmaels2XbPUoopbE6s7xuFyUkrwrh4UCid9UDoa6ES4kIwIpTfIlgDj0Pza3TqVGZdvP+uBZ
o9kFa1unT6uEEWKrxNlflaV1o+ukTfOxGVTPSIfLUBeIORV6m8BhwONIBO9E0Kv5s6uwAiDnHoz/
xYN8VNEWH3d7wqDiCcaR4HOam7fPRt/dBMY9etSMpZ/WHOP8VWZy87HDPAyHlET5dP9I73wE2BJc
WXwIlmYbRoAZL/ss5TjBTEOX3867l4Ka8slqo/XbfxgKbpOAJtGS2bqQaBP1vha7QC9LW+kjzp7g
oLKl4N5qRu0gkdx53nhcQO6zigRI25SbdkFTlMYyeOg5CcIdDceOc/55KFPpFGEec6kBU7otfobB
/VnuxGWMTFRGRgl8cgvfUZeOgjf20l6umdIlzEocgyEQHFwSt502QBHUFATcg/Yiseb1M9rUZBqr
zoaWCrV4NNvsvWU1UzDZkRTgGBR+nEYUumYZvlNU66UrWaVz8OLtbh1U+7mG6etSQb3+Cc6i6R0L
wWsgc2r1yNZ9ySbFBTe4+PcXdXcoUePHtwECt7yZbRfJ0KRSm13qLPYFI7LMxzcBHwpV/2NwglhY
2vSwiAg/YSBez8qWozxeaQp6Tm2FQTJSLupjNTpHMSYcPfkz1mvVEZXmlpf5NirAaAw4qDZtk2hs
M+UiLjXEZoYIZ7HCyoIoQS7ErhT1QvPYWk4o7TQn3KyEdFGFJj8+2ONzKOfTSVPT6TxKCBP7VjTE
QQ6Owy9BFxxJ6Iq5b24nEZiLjhN/4WBdr03T2lEa5QqnCvGZd0OypDwTFZZSq5V+qnPb8U06jZf7
337nPaTLR0JFBMd52qJFdHQSgFKxzfAPHh/gm7Q/snRdXuR1Tc/jUGSGq4ZD+Jy2yAhg66VqB5tv
b9acMoFaxzjkBms4pz1lnZioR5Nm+5x39vzURuR4mEfi3i3FmreqUn6Aydm7RsQ+QKmAmhR78Xqp
k17t1IryPCaylf0SSZOM8g3O1/fXdu9c0XOnWiRuEuqT16PMulpPODoOoNYRSVPqsvynKbp/w7Tp
DxLJtwrXdu8gH4UHInUbIcF4PdSAClsEMW/w6i608beepHfYt383zb58VaWopHepq74cSYsXArR8
HNHOR4a30Z9LzLR//Id5C4ygKJTRf9mEHhUeaGOmiufBCPuT1kt/j7k+fqYBUh30InY2D0+QgRgK
lVZAyJsjU3aZSmwe9l7mVPgxdqiAPpRqimFckjnru6SttA99WB2ByXY+rEDRUwMUlq6MfL3aa+oM
Y7Xi/zZTnvtLCRvbnY3efDcX8yH7fW+KGlreAgMA+HCL2Y/TGG4tkljeOsj6qa7j+QtiJhQm1Mkc
BMnV8q2m7EJkoLoeQ481tE9ZYjUP4M/LM0Y/y+zaZZrqwagPzoOT0IHycfKVgslAlPbPtzzwOoJB
ga0ncxez+a2iUecKXtqTg+BoTBE2d+LEz9MwfTbH9ogbtfcRdO4LqlxvTfrNGZ6lpRqkBgWxtYE0
l8x1+HeMfeSTaVXWwTbbuS5EjisiAjb1jaJvmyRSETEcXRNWDIGzIlDCXv18/9hsvzSvPMUdQlPS
Tfg12mZXLWo/yyQfRQAKOkbgO1494Yd0KRsVx7V+Vr/nqXbUnt2GxAzKk0iWi2QTTTZ1MyhI+bAe
m7kKJJuOhFrVRpBxrE9wQNWvcTMZBxtkZ5KMJwrogiEvb6n/w6CT60TI55VltJ5rU0Pr1VyGQEu7
/sEKRxNR8+KI93JT9BKzFFU80faC4rNl90gUJGmzoYwt9VJvBZzs6deiN7nhW9kkZdgCltnjAt4C
a11t7PMvthWXzQW/O/N7l+nTn0KYxe8hIUA9CZkINtZm1Tu5MMvFTNrAkpz4a7N2OF3heur3SbcG
bTUfqYdtzwrjCelslSYJHUZ4pdfHEoBJKaUWEBa1rtKPTYMRFKZjzjNOY0cMu5tkkLFIOclBhEAP
biFix/12BSR1bE3akE4Bsr3aBTem/KHm34XZy40wGkUf5E0info+VfBhiHJfy5XmE7Jv4G1Si/Jx
VZrLqTHVicY5qGvfXNriJKu9Yfv3D9xNmC9+Kq0wKiZEP2zHTT440LAyDMp0QQzU6Wth9dG7Oi+X
z3qdrJYrTdH0o6liOYipan3izu8v2RD2ByfibZTf327xK1gn+ldcLZzDzWYI+V1maSVjgDZ5lp31
3oyKz0WkyUuQ423Z+Q0990+x0g2mD/0Dbo1SZ8WXQVuVb+CUiMga/DZfJ4xq/0npHz6uqT5ZOBzn
iHJXUzV+A9YWftJDZf3zG4t2PDhAkjHB4NgEOFUSJaXZrT36FrP1NODgGfRjMj7JdVkHKV7Gj+ua
FcH9r7a9jFkunl1EgtAXFgzyzXJJEbRAu8fEw7JT0P9G2X6t6kg7lBoXZ2LzWbiDBcsAiXNYP5vN
gV9UChpQWNpVg7ac0tkuf7SdGr3a3aTjLwrO9wK1sz/lsd4AF4Ic+xwqYfkf1hiYJJkgdyYYms0z
5xRI+xp2PQSNg6WTPsnKU7vGrY8sRfpMo+qngmLhQf57+yggagujC0lvKDmA1q+PMOZUjkPteAiS
MgVsMcTL38kaaraHyi0JUBxqR/Gr+C9eLzZpJ9cuRTEI3BDGr0dMaXQMwHiRN5yTXAE10+jnOF6r
wWdJ4/dKbOP0t2aqShm0NxKUwPVYeW1Q2P9Lygbl3/tbbOdigIsMLIwXEVD5jfgC6slF2IDIC+wo
jv+3RFwR2tQXF2myMabrBtUvS5lKZSZnvoFLB6btenQQRb9BTLZrggQj9RUQoCADN5e2A8O7WyRj
CgZF65SgXjE2ButaOk/UhAHgIZPAD7G7rpGQDG7bD826LIVbLbb+wYoMdXFVcIyhK7dt+yM05yYP
UqWWZn9Gr/kHMkNR7Jpj1j5kyZAj4QdVJ0PjN1a7h4Pl3NlPItsCQyoMEW76yiMCzEk0UkDBaL3A
3WjtLoWNKQm6khprtygzV2ybPmSotQeVlChoD0mUkVx84tF4l+EUAfKvHizqdI9JLNeBPGr15f6v
FOd5s9w0TmwAceJauSFs1v2c93ExzIGBZinWFnns9iVhcoNd6Ecckuf3YznIDwW+j4E6pu3BOd8d
HmCJjIgNXaNtdyq2zHTGCm8JzHjsZ3dMNTC3yKBY4XNhgcH0OpjBC96euTG5pT7jgontZigddK7e
aiHbZYBOBlaPcEF0r65P4mogI8b/Oga8QrX90pVrGj8j2zMo73DhxH49QhfnfYiI/Y9aimPp1VCn
sSJyKZxHp+zL7AJaU0v5ytOwuJluj2uQKysU2GZpUC4YFdR8XUcqndabkblDwCXEeMmfkBslaZES
6X+lliLlX8oNEelc6gU2o2GFoL8ySemlKTJbd/Mx5ivMw6iguWnETyTvgwFEmYTPT6Mmuqir1YUI
AS1271lOlD60eZkCF4vl0HGrLF67x7E3u//Z/Vx/bcNR/xiZcZZ9mUI9e2hoQzWuuRAW22qu1+eF
lskzxe3S8VAxkP+6v/NuozMSd2qZ8lsjFAGx6yUfgXiY+UitbTCX5LnUkazNq45Nrlbl6f5QN4UC
AL1EwqAEhZmZKC9ejzU5qyOPsjCqc9RGj8G2IsHr11jVoSaY6mobxKg6F6+KFCGJySswQHet59X6
R+naRn6gVNTFn9mKWDXc/2k7lwSZFSRXoesI2n7zy7BlHJquU/tgWBPphxGHpY8bc/P3NHbfKFuu
/v3hduJU+i+2QKYKjZ2b9tPYhPLQl0JbO9KkBlvXKGHDhpNspVj1jvlwsnK50h7Dvkfcw+E9aH3k
S3LlNE/dWAQO1tjAS8cRB9BqMmMJXrfWfuZC7cb3Qmvr/QgFWT/42bd7BWwOSCBOJoxZbqvr72c5
yWQ6+Zphr4DmpJv2tCeHdpqe6i4OzT8fjKEEeU3EqAQg14N1vC2iiVQFitJYj84K+dG2UHCJsBM5
GGrnyeWRIwgWFyBlji2QxGnJ3HCgX4PKiMfnVVHqbxKN/JOeA2Bxe4a9TISZJ9WUEaSMk/gL5Rn7
YA/eZqeYFNBdFlZDZEo3orKho+II5KyBQXT9D+ZZ1ufZqRBRbOPaCiRcSUdMb43KOnh73o741a2L
Wiv1Bfq+osYAp+x6pWNEPcewSUn+5iXuH4dIll/bbs2yF6OY5foUt12dnmNkqH+k8aj9KMcy/WyA
fczO1KjtfzG2id/XGaHcycggHPLG40PppkPdzG7eJt3gjtayYNMbcpFLGtYj7kLNMHR7SBW1u6yF
EXpDpePKa4aD8Y8u9fb3ql2iwa9xHFwfk0KeP7ZQYWaPrkQN8pdf9q/ZdtbozmBxRtfCTiV76Dor
/nJwVG9CcZEZQQogX6ZGbG59FloKFGNS2ZSwYpJWysMquuBy3SpPXRonYQCIprzIttLyROj1Y4rK
RvykY0T2/f4PudkefCU+EBg1IWpBoev6K+E8GQsI0hoIOfTMxSe5fmj7TqmCbBrA7tA1ik72KJny
wekQOc12ewgNDSAlrATnYDNwaYRk7roczOoUl49zqLY8aziGY2Y8GNmXOjbTiGK2rUxY687Lwbxv
Lh3mLeAkSFShrkl6fz18FkkzndyOxDPPeXBtY/6clqlyWm0UwO8v8c5MKYBx1jkMVHa3eCCDtrWK
VeoaRHbEzopbPIDcyJynAByp+QwicQgWB/duJw6jg0z8Tdxos8z0iIBig0WkVrSllSUJoI46qpXA
oCYmPFOmClMCJ2+eEX8rbX/GNgeeqR0aF4AaKDzqU4lofWmlaXzhoUHomyxGnh/GMJqedHmBv4Ox
gQpfadbD0TXbXEea1Altf4lhsfuqlSLJaCmV7PdypS6BXU1q7a19Vb9b1cX4KyljHbc5pYl+1eEI
Aa1hXfC9aovu6JDtfGRBIADKItb//zg7sx45kXVd/yIk5uEWMsmaXR7b9g1yeWAmgGD+9fuh9pGO
k0wV8lZrabWWV3ckQfDFN7wDDcjzl2wBRjD6yNKOntuP9Z2qaNqvyXCS9qlPYoQFvVKIOIwsZ3kZ
Km/RH7vYoGfjqc5UH9tmdk6lBHUQuIzwbyby0yhoUQeo/jVE8+lBIWdiBDEMKPumNqXDW0WzsZok
yKRDfR1FB5wgpetOj4jS2+MpHnqA7K6+ROnOV3iZPLE2uCoUR8ifGNBtcuNxciqidKcftbFSFlAE
qft5GLr5T6/1xMU8RfvfNTEtwBrNeaKZK+vAGuz8m5ljdGQhjrDztVzemvwiFGyAkoBS4sRuAoNr
xCJzVU6sgYnKB1EN8+3CTaEfwNR5NxSO4q4jYzgsVZ2/9wb49osky9t5J6/jpc2HAwSUb4cafpUO
22SwWt66bMasHnPMTZW7WlW7FOikMdQHhFuin7UTR7BBLSyKh6q18pukw3nTV/taCl+JEpQxIl06
vtGUphq0TOTNnZ94kV0a1HbIaCLdsiKOtsNVvbdTtxSOeUQ7znwSWJGDWsu0D32zVJ8LtDtf3o5j
V9YDPAApfUXbk2BuvqYc50s0swfj6DZmVDHNlNF9pijwAuIhmaFE093aecTL0Am6kYbV+h6QitmG
zlFYaRJPuXlsew0OvvTSHNQfuHHfmDGpzrIZE5YsWkIXL+flX1tGBEzeCoC5tb5H3vc8ejR5XwPn
ssxj3Y/9oTO76Iekhi7ILApoSVOqL8bO4b8MWNrKPl8nJg4ya1v82LB4o2E2sXWcMPu4o5XXVwdR
tMp9a6dw6v75fdLiRPZknbIyKtm+T6FjSDSVLOb29KUloK2hKDAaSMtfGGHVOwib7fFBxY2bfpVz
4T2Cqt5sp+fEk9anTRxmlqF88EYtusMJe5YHbYysuwQ3v73Ts81tXleEiwhDbb3it8g/eFtET0tV
joRs+wHmYBemXSPeq0OmHqB/ikC6/R67gU475+LvyLEuC/5vVY5ikoeiwvm5GfQqcqYsdo9NOulP
ZLFeHRZTM33Vesz//NrrjF+mGilZgBkSzZkc8547D/ubzoe5ueIEqKufkQhIwTvZErhr34l8HQIn
7yX/AGV8ZVh1MMs5/tAkRvXRxhcp81V8IH6Nsq/GMBJxnftDlcgfXar2/5VThxigai224xM7+ziI
FQnDe+5SjLAFXcinxRXN76UsEEwBEoJ+G95a6p3Mpv5OrxpHpa+WJt+TFCMlTGPqYfZVKZw68GbU
zDKh4NxhujLOfFepl4GhLWpF/L0cfsQYGberUVA84DuiVPyrsPv9zSnp0XJYSK6DVGA5NIvOyIPE
7MTvPEEm38+IokCuonnKjnmS8eBtq0QI2zdSefYwvEmO0exkD7M1xEswplV366m86yMSFV4Z2IqR
/aRA0HIfE4058ifPbj9HZH3iGDU6UleahemIj60PfbuxN/JHRU2xtBbGmPRwvoBB+6kscVGUWhvr
/iwVuTwtUZwtQY82BFWCaSitH9OqfGj5s/dRGTfIm+qDEgdTVa3ZXpk2MwVWY7wHy9DZ4SDq4bct
XZKxKTPlV4EPze9uEFQvFL0uPn5dLL7qZTtXaLrMzb3oRIQ+AogO17czLflDUaFVh2yya6hXPcLC
WOlGrvTn0lzqQ0PN3KPTnTv/Ob2qxTdZpWY3ke6MFax33Pt8sowa58xWpb4nqoDJsYToqoBbfpp9
5rPJHZOR2GA1RoZ+mXuK9WXGCQjB/4HZjF+kU1X4XuwxWwQJ2MW3Rq/Z6DR7Sutg7zZMTlBb5fxr
UaOW/3leYtOvyrR47LGo/dQjcvQniyLrl4s5VhGAvaPlZufpdCAyDskDXdz8e2blfLkIMNgzmKEk
tX29rO2fsGpS9Tjrg/PQCC97YeO8BpfolLj8dni8gFituj6Aupgkw9DkEtq0Cvp1gJGNXhnqPeNL
BM5tiX9nMlCtpINegwxvkeI4UvvWf1REhhKuorn8OTRD7BxMOZbPiCNiXDLXwr2p69WSM3Hdxfbn
odL/VTKGH4viLv19iinq/e0Q2splmRoIKocMALVAQAIIU6wwf/RF+t+QmF95SPXT2xv0Ktx0HugI
41Cc9JWQTAd1s0HCVYgtdVuHqt2bro9qtbiZ8kYVxzqTFOltotlVoGMpVB5NpRrw31PKaT5Ueiet
QM4rET2JneITHluV7ttjZ0fv7GawT2M0ER5dJrv4IOI58DnFGxWBswmNDOoMmwmiiwXfc4ozbvdo
zN7CHGMS7UE6JPMfepEY6Ts9MWaczU3Q/FOSYi1eKgCXOJP5lxQ9od+IeVn/WViSpYcUxZv5LteL
+sfCOKo/JHFHh95xOxq76pAwv3GzuHpKlal7KZchVkIaCzT61UzrPmGAaxanii3+YBdrv8LT8lLe
RrJy/uOyH4c7C2O3MegZv37rx4EOGjLQ6aNn4ubI51hWf9okUWkko9BX0+xF+Uc2laBviMP5qcQw
DQWScUno4jlFL4KiwdQs4CsevtaTNsHDNLAAutVau0/wAS6MgFanV3zullbkpxHzvMbvtAjqy84J
uLjpbMZ4K8AP/SlY/+tN+Ndc3JrNuRqZ1K6TQjVctJJRlmQkbnV6HrQqpmjFZLb/mCNxvbIN66x0
HS8DNThfFAipNJC/SUPVEPXJlUwW3FmZMUFWp29vP996gM8PuMk4lO4IonrUSNsEoo3jvIgTRC7z
plUY2JjW8KDUdrNDOrmSpzCW1MkZDEQz+HjPn8hlWLTYRReHBigG7ajEefQOxIPTBHYBdmaYm/Qd
plN7EJIreQrMaWoIik5sjrdlJxAkhdlNmoTdAJpOjRftppx744lGjHzSo8Tai6ivulWb/UR2BQ8J
jMmYQ1qbgOEYzVzFphEdwds78qVfpu4b3be6PXpY8Hj3Lk5SN6VRgXtrhSu+dkMkSfi11tCCromi
4osDUMkKSoY3T3nl6d2NJbymCYYIFtRBj6VSQ8vWtM+ah0hUIJkn/kwBXIiwwhKNniAQBBfH0NpC
zShVaHjNVW7cK3wagx9Xy/yO9rDZ+l6kG1Xozpb6kOT14DKXKlC9UvCoVw6NWlYhuf+S+WWJZBDe
jTj3cf2qmh0YWWF87hWdijkpuv4/O5+nyBeN4igHZok1A0N16DrGgHGuH4spNvH4muv6Y29hK3Ga
0s5bQqjLCAFpc6291MJpE38q4I7x/8scrBUjI5UH1Wyg8mVZ5ZAKxGV83+Z4+KFBntiVXwu9eooQ
gB4OKmHECkRVLtmR0cc4n7gwvV+tx2TEXyymIAH2EvnPWS2qx6L21P7m7W9IvzzdNDqhUnKT0ouh
VD0/3U5jTZGmDnm4GIluBUSM7BPiRIhIx9ZQHwurQI6/j4ioidBu5dIrgdfn0SrT4loZDaZRXdjA
tPtdVcZ8cuZ6/Gpx4d+WXTp/NCLTuffcdqYVpQrU/ucFsCgstKCK4ypAGGt6KmIL+k3ZRriUiz58
+/leESHnh5pbkJkCwBpGXtSJ58/XlovhdmDnQyPTE8zCYt2gwlBN6Ud2g2nkMDUOmidDcUO8NHRf
m2zrs8D6szrpiT0ZQYPZ8feuKLr6YTBavXya1isB1BZpPhXZIKzHaNTzNuDgkesYMyZIvp6jyBny
vgbSaTWqxDtviLtHL8nn8eDWRjYH5eS4Md+14vzu2kJ5Lr3W/mXYZS12MqXLQGI5xEhiycoAhmVw
vgPTUBpOhSpIaE2iupuXKUdYgQ5yhUTjib5evHMDXIZl1sPGgCiCRMIFxmkYi3YY6iYP9TJJtMeS
dFg+ekWxnN5+tdtqnJyKsEiLmsXoAG1FHi0tHpeKMxgOmebB4WpFWKitfDe3KEX881IrZn1FjKyA
2K2WI5aetOesqQglDNeTtUQ4/UrbfaYPo+wgPy9awjwWAO61kUPPn4H45rqJ9Hh2SjdNw8gEXXpf
9XZyFzP9957GYWLuYhNTKSw6fIbdrLep4oq0Xrny1qz6+WJnNx53YPEUZe6CgK7VGc/QTXuicA8U
7sBJaZO7rgP8f2gVDSMTe7D+DLrXt76rwak+0MfpvzSWiRMm3tdMdmYG0l2gWrL9jLePYWNuT+Pz
IZJ2uqcDfHlWUY62X4eyoDUZAJ6f1UYR+IzWXRkqKvYgwTB6vfcxchTlXilaKnDFHUZr5+VeyGvQ
nFvnjSgZMhFjErcetL/ypLQsNFWOYxVmSu55vuws/SQzad2XvaLeGbm0btA/w7EitvvfphLPc9C6
aQsPqLJuvEJDf9bJxWNbLXoPj9qm2PPKAkdYTe0rX5dGvBO0L2M2vDes5EjvoDIa2xwrMczUXga3
CHl3zmmEz+CThR7qxmIk7LTlPfog3U4gvfzaEHFB9HKV2+SvbQUT1W5ekuK24YgsVoZYgWV9rpwC
RFi9K4e23jnnMRvqAmqXIMFcgvZWn8Ec1MIahBThstTekYzy6OEtULqZRbZVek8CBQDEjgx1J6G8
eEbmwDwZ9DkLgU867+cHYbaJWvU0NiHurJ/pL2R09c3cDOfBaD68HVEuDjpLMe21HNx9YBdvlQUU
F6F2Zlx1uCRz/tsoETWjmVS+MPunO+PEyx7ebTvRBNaFmgdzplVNHHmPzS1gEpLdVsIExLQJbGdU
yhWKPGlfatmMp9LSMJJOko4/58K4Y+RY4dyluDvR7WJ8wM9AIRDVDVqo4C62oKOyGOreKZM2TLJU
+YlgK9I+rmIfZ4QcRnpko3lvikwxgml2C79XgUPNblXvfPKXu8+kj+8G6B9aCBfwsJlhj4pKbh+q
hTY/9q23HNg891YrYog5qqqA+nv7fV8caY4zRQHyityL6+E+P1ragBt4lKYyjHKx3BQ6jU1MwrMT
QpLLo+WV06HqqyVgRLfHPLo81KsYzivUhx4A6OPzlQc0stql7mSY2n2OHBlr3wmL4poEKIt2HvMi
MvGYq7Yd3w5vmrbu+WJ8s8rcLLYMXWkYP4AXaDdSquLQmPp48NpK3k7DvGdOfPUJAXLCqgJgQ6Z3
vmg7GIzIzaILXRo4B/xQkyNSGvpNUefdTm5zbSluJ4jqUDPQkNjM46t8IZnXPRkaamL7fT/80NN+
+M+UTvz89oG5ckQ5mq+qGQ7J24UcWNPi6DjqJJHI8t3N49S9z3r1BXaO24HSo/Hx9nqXBxRs0noJ
EnENg8ztfBOtflKcbu6ANihj8dOJ8iRwYPbYeNkx+vX1qTTaQ8s8+aDMlvvx7cUvHxahUw9WFUkP
MX/bqkoy6XUgDklRtcI9wcMWX/CDLDH0S9rnQi7/h+X46iFkeyvwa4t9oRBqpwHp0HCRi/loLnL2
p4bZlRU7+bcRLd/j2493+VXQDuB8AoJ7TVk3p2bN6Iaktnk8Cc/G7u3pTq366ND0fe1rUlPuqwn9
6LcXXV/Y2SX6KtDPMaXniNzJNpUqyT4mYIfcm/1sh3GJIPQ8KrjatE0d0I2zqOMYkUpTFA92PcQ7
z3z5pcBS4zAxHUR7wNpS8mpn9tzalAXoID1/p9Sug5peNx88hig7T3pte7FXoMizqdGB1p0f3bh1
9JG+XRGOkzZAL6T+iorSfiyT0n2pCryCHBLJne/lYjQPgA8wAOkX81bm4VvkFiAcZ1EWq0DuaBTv
4wzn3dNSMgUBDKXfWosxHboxiRhgmFPxmBZZ79elZ724+DUHi5upP95+35cfMFg2mr36OtYCQreJ
88C54gr5qiL0SlU8V3OkYM5ESaCZZXUsXZkcHWkoB0+07j+/ajYefQP0BNcj7m2Od6JUlTt3EspM
nedfBklH19JFf5umbhO8/ZAXvCq8vnnJgIKY5b+eq/N3bXUaSYlWOWHWOd6NhRjME7Oj5dlMpXJT
DJbR+pno3XDM8OvDJRuaU64VX4pK3YOvXMQsfglnAFcjGuxIFm9udCfXnLq0Bge0OFgcnCo/MeVO
388yxgm0NK0dAvHF64WfvdpSIV8CXhCMy/mDF1lljLFhTyGEgOYDCI2HedDMr/mYlzcNM81nU/Tt
S+/o/+plC2x3BUdCFFoVvqAGnC/MZvdmli1q2PTCAv5GIWSmLQp+efwjr/Q9lOzltkLuAcFAyoK/
CJ/Y+XLpjDSLyGot7GQ9+sIr9FPUloylRoY8Q18rP3dO1EViTDcTb3duAhRjwWCtP+jv6s+r1NlW
cIpVacA8m96YvetjOz2JhHzYR3OvQaXFpk7O8vLrnCA8JlX8dnbCyQX3gm1erUUY+L8WINtwHdeK
VUq3VUPZ4xf8WQqvs5/UOtO+QgsBguaNVjIeqLg602/qyg0lpjz1A4NAFLL6wli+6KjYYE8ZGdqC
BIc6WhCv0wbA9QzhBqZyY3cIUelJGRCWitSvYqhaCMFkbbWT5V+eVRrEK5OJTaXS2GpmFBO/yUJk
LxTgy2dQS47zeQbi9S5X7OjGUIrsmAq1ORT2tIcKMXlbf996HnN9Zg82JtOEQaQfzt9mB2Kg12Ym
wPlo6EEsXPsuQ5RuByyxvXHWVTAhIFFBFoScc3NmpljRzTZRF7TS9eVn5qTfq8kunrrUUx5pNjOs
Tdo9252LC+d/F2XaCRcKntjWb2F0TSgIg7kEMXl8wxwCVK6I3OYwmbH+SWuT9FjUMCADQGHpR9GB
VV68uXoyK9GeWkxMb97+cq5uAskTmTd3LmT4861GPS1PUPRUwUlUxFmng/iQsF8zOAlX3ETlYJzw
Md0TyrpgL7IPTOlgepOtUstulbmsMmpFhetCoKST6kdG6Z2UNvc+VaaIf2UNkI2sdsVBDup0gulb
MQBs4ttCp7606TQ/AflqQi8COWw6VXmjRQPIrLIrvk5xNWGl4CY79+Ol3Dq/GPbxqtEMwOZC8iIT
aMhkErxea3bOg20wDI/R0iyCVokhmditA/+i8FRfkckYtmZuHyxAHkec3ZVPgCdJaLpsr9F4QUdY
93HFFIKgI+wQAM/fn6YImkYxSrlW143f9UIOvT/Og/dlXIR7J9JIUQ8SWHx8SJSeVqKZ6q3iry7U
txN9T0YqFOrCX1RFfacUVf6ltlPjmdZgOviVBdwjfPu8bTPK9ffyaVPlUT6vYkrnv3cA6lN1KAwB
o0vl88gI+A6t1+rQ2/Ze8nrRpnhdC0YWTgwrGWGrIT4WNllaATQkKZfuk47azidFAXyF0Ub/0sSq
6QPNyjjedXqcFUeGS2/XO7nO+jybUKZTaK4wpTXF2BJn7FgSuDpzCoSx/FK0lIFfqyKS2oL9/Wah
IrV3TNeMZbPgmlXR+lrvIDgB5xvcUjlDeSZ2GkvPeP9VshwG0Q1zzzzloqC4tkXu3PLJ6acSwK2f
T9Pc+LURje/fftdXnh0tD5jzVNnI722zgMErS77mZglKBi88cbcc4sys7lRVzqiILHuaMK8ks+2z
o2RCKqDBhYCGef7sCtLcEestAXqUza0+gql+ssQkmfdDBO19V0agDAtFkuBjaZTZQQx0/UeP0Xvr
m9aYG8fcyFotIO+eX4ZMiblg+2SYfAejltNEuFFOfWu237V6NN/HxVRyaOK6u7Xszhp3QvO17QM3
yOGlkUls3iRR8Sw9qxDTDLKiUnw52vnT7DrSH8HAI2gY7bnPXbkKQBqsqnrrhc8A43z3mr6O7EUV
c9A4+Y/eG9Ww1JhrFk1THvSyIEgUzXL79hG5CAf0X0hH8RNAvIge8eamb5YYXJhiVoe4N937YcEL
B85ufOMJfU+j8OLx1qXWpvDq+US9t328eBmXSHFZSpfKg+5O4ymtqhnimmUfMk/Yx0XIbgd2cPX5
KKaAWnPbwRA639PITSnqc686AGRpfjCaTg6yVasHNx7+2UyI5/OQfyT5BOPOazxfqs04/pPaioMj
bPE1M7F/tlNAcTs57gVom08ZdUwOytrlgVuzuXHqaZD6wM8/lFG03NEMoe/isbGHfEmjTwbiakEF
7eS7PZTDuwTV81tDkm9Xdmn0x6hzrJ9dM5hhji77v8ZahKDhQ4Fkpn/AVb3JZVq9GfVI5ILuoeF9
pOibjlBdZqies3caRKXttOOvvFyAxFgJge9lrrjl9Qy4QNqpAEjUCMx4QWKBQ/NAsMeLt/dyL2IB
j8ahfX28VWxtE9XxcJkBTfGdRH0HGD0DsyljjI07IYtTPWN6+c/fJQ9F0KaecQg/m0iqR2peWPAW
Dj1jyY9JmRTQVermvnfcvcbvtsXFecJpgxfGmBTj2S1ExmVAr5pIqBygIc3pYcya8phFE3ZnY2I8
yGSqn/Qe+4GwUazsqOZdt9N5Wj/8s1uDH8BjEvIYHQLu2wQG0amRE1UliiFOMz2C61DeVW3Z3OR1
ND4tM8aGI74gCePAqQzf3ubL9G1dmxR4bUPxOW35BdSyotNsOKtj1glxtM0+G07wNfQWiqgR3TQq
tdcdnQgGuwmGiM4pMsuxvFmA35p/8qVqQkdTnOyxWQrzczPTmvXloiTfYxxakVOCcnPz9k++EkbP
fvGmYxKXlRK31PYHU/HkRwcDolu4ZRmsVxPAYLm4HwdzV+P22qIMmvjQKBk4lOvn8Vd5bzvZlFEL
i8PgRemfuW2j3Ndy9HZKOb4Dz9OHMYiF49tPei3SraM9xsoEVWgym3iCmgOtQKUUh6TB5OJb6hWR
Eaiyi7J7qxI5H2MGmOtQt4N5WyQy/y4XC+lKSO7T9Dy2CkLOedeMWWDMFThzF3LYx7d/4rWjy36Q
6qzVFCyD830RRQaqLSG/GcbSCU1XTEd3UJtbrKiAA/RA49XGLEO3Luqdk3stIAGMIFNAwZmLe3ML
aFmqmsVc1IfYMTrED1VUZngR1heXTvi7WWt+/POTEgbgL6/Ce7yOTQBsFnKhBDD0QeaNfpCumR3m
QUTBUvTqsZySX0I1sq8NMXTnFFx5UCYaqPysCpTojGwiIRo7aWbRjD2UsWcHmtmVt32R9wddUcxT
rJnTzv26/vs20cjmhl3TBfg4/HX+SkfHbFCei9lYEj497F2rSm7RW9nVTlnf0HYh0nMKcEZUAEs3
C9XIw0TuyFQ2Mlak6zJn9mnoI/kwtnJEt2ZSTo1SY42YMFD1x6rvHu2ph/tfxaXt06nAwkLTs52a
4cqXDiBiLRH5L4705j1nsxd3kGLFwQT8/9TrXR4oQGNvqjaSH8D5Gg84Wn9++2xd23KyARhc65iF
626z5Ute4H+UUiWMuM0WcWE/OkrS7PTTLg4SIG4qUYQK1oBCBXy+Slab2liaI3TpOMueNO2QoRWV
rZBkfdD6ncBwZTHkZ8jTwEPyil878H8FzDSjLagw2eG1VmkALDw7IGgIFXXq1bseeNLOHXptPSIQ
dBysIwANbw6TU+tSVwfHDYTKdIoEzzsxF7UfVbdqgiYddxGPF6cXYNXKzOMAg8UH73S+mwsDCgdf
HBbUFeg8SpE4PwGaTPFRWoqSQnhqRXKwllrS1Y+RB0tgYeiBBs/AO9KPpr8k9NY4Kmm+QoCJZaGV
9kkVOmWe/JmAdHqBPsbNsTEKB0JRWucPY5rWw0kIIT1fidE/Dd8+hxdnn2eiEEIUBMw1JkGb+8aI
Y1lVdeni7qasnlxA9pHrgWl4rOZaP2mVloaGtautd5HGsizJDx2KVU6dD+F8Kwujt12lB8OhzYYE
ATnZySnvKgM4hT7u6RNffGvrYkjqWeQfqzvk5qCUszqYmcViZjlYyY2bOWMSyGqKx3+NoyyEHAgN
xtW7iMB9/lS1QvHeKKUXDBU4V7Ozxw9CWOWXt1/ZtXPPJAdlwjWOso3nq+BPbagFjsEcLKf7oI0u
B7LHo2FBUO22a9C+enu9K+8KsiQMP7rHxKptvdxi7w37DNXxssrpN6L/Lh66ZLA1X+iifXl7sSvn
kfjB3r2eyQszvBEGEOaGXLJWpMlHzZj/LMaY+Wad97deVZQPBUd2J728sqFI+hJJkLajsbmdOswI
pFHcWF4g3AHC3NTYwCFxSsZALX1ZBn0PWnzZkGfeCWKB+S/jjpUVev4GJyuvF0HTN1hQkIIUU5ZB
RGYRNH1JgpcL9RgXSnLsWgYCU+s0MHOxdrHHdrhBCrHcObVXH59kbv05BO4tCgYBo0j0ehKtsI3+
VA4C0tza2C0T5yu5fBq+/YYv8kcefs3hXJDjePNtFRoctW+KJSGKKlVk6Xfk2c5T7o3DQ4acxsti
LupNIw33NrW0fs95+trpgmBpOt7qBEKL9HzjTQRTugEB/CCLFC2w0rp4aFJYeFXZyo99mY0fxnSc
9gjdr1Ods7SHR4YxygkDRM2kfRPtJBOEEnWmKKja2JrvkaTJ+29Qhyq+JqFMUgRwZ2d0AlyveO9K
YOfBOGjdT2WRTQrQQnEwDc6gaJ5cB+GtQJ8i90MU6WMbpFQ/1SlNGG/7Xhd3TVB7Co7q7C0cP2zv
Ev0FY87kUzZ0Fe11ICRYnQ+2l341UQU61rawwVb0kVfd58rUFn62QCwMO92V6XtEz4abKlXF6Ley
LD/bkdXQqTTcqNgZjF39JkixVxU/agpuo/NXM6tRiqPChGpVO9toZqDW+MeORHnXAOU9SH0pv6Nv
g6ZX79W32pJJP6u98WOhMJpBiX2u9+zgrnwWYAbga5NeoChygfXp3TnrJTZ4aVT1/y3NaK9XYjbc
Z6Kwgnyq43int3PRlaC79f9AzKSiMJvPt6CpsEoZvUwPukniFLnYE17CjXaaS6CW/qB0dJmzuoGj
SRLS0t/DAnEn1l95aEoOsmCy89XsaP3zv3K4vFsx+HGj48WuaTc1dtgsKQvVO7am0T/1JR6hO099
eb0AjcdkhM+O6STQiPMlRTW3DJdrIxCZWB5G/Bp8DWF/OKP9Xuf38ukAxtNqZhEspTBlOF9KT/Se
yoZBZ5GN1FVqNYdOn71kbpYedS37VwEsAir0e2IdiuomOeomzNtotRsp/wmAjaKuMA0JBueF+DJr
NLzfDqrXNnHNTf8XHIt/xvmTzZh+xqK2dexcHS/3J5H2L31f2U7ImAoS49urXR5UikSETRgAcl0w
0d6s5swpdQV6966V00EXWfFi996Q+XmmqaclTTx56HIFjrCW1+JFL0Zl79K6zOlWfiL6qtDZPKRo
N+HCa02nj80RuG/dqvdLsRgfOTT9zoNeOzDotjI5pw2AGcTmcxgtfK/qAtJRNgl0qew5Mg45BoPH
iq7T58Uj6L69sxcwpfXMrIIKaJIDLQGNcL61atugl5WWsIdqzxWhNmEu2PXSvbMSCVSHdqISFHZe
Bk05NP9FDDooO6roW1w0+vPbv+XamYIhjUgKszrKuc3xlXM3NNMI6bSzEzdsRZncpJ2tngyojjv7
fGUpbJ7XhgAkUDZ8k6FPs2EoDpSUIMq04p2ZuR+pxKMHGU+f3n6mV8fT86uYOmftfVI3QjPdin94
pp4NWdaagTO11QdabfWniPynJiOYU+SLPE1/Bpxgzse8ieXkT2nr9H4soS35iS2VyE+cqj/GfSNs
/Nbh9gVaA0v/379n7kBESla8u85w8fwYuLqiymIAzc5gtTH8DIhCiPZEOaIcoYvDzqasH8t2Uzhz
TDHohq/Qy/PVMgtNlE72RlCqJcfBF7XWL37qakvywc1nE85EFrffpsJjBoCGz/i7dBlILib/XKCa
o4j3PoP1hW9/EQdhlZuGXs17Ov9FzK9atWwzNYAJVmB2ORq/8EMpwwYTwJ8d3EsJwaI00bDqKEk0
mNThvHRyZ2PW+2DzKwD0E7pJ14E8bGVbkmpZNShjNRDjABFxooy8RZ4oa/zYU9KEtGMovjGVLXcm
eNdO6ZoJgdoDIAp1dZMJpCh7KpFTqkFUFeOdanbZfZGp7Weri+c7uqDte2C5IkiahRSwUGL9+6Cq
4qaY0uFUYc32EaSP+D4KtbizhJX9fvu8XIm9q5EBgsM0YdmXTex1TQRQS5GrgV0v7dFAhhwNktbe
M0G8xFKsqp+gVKh1IWDy5Z0fghkv7WaOazWoG91GxW8EKdF2sDr8eKob+PPm9KmmcsN4FerIu2yB
0ocEbLyTml65BBhIQfBatUjXfvD5zxhtc3CctFVJxsrkk56nzX+mnqZfEGuw7yfwqjuH/9qp475B
+Ilrh2t2c7tqqOd4tdtTn0CWfle5Tnzsx6K8072xvu2MFtwWc87bt9/p1SMHg42PDqwmykHrr/or
8xt5mnqhYgpsrrwf6xzsrh6L+RNQ7OpUuUuRIlUQRX9se26/lswFTED9HmAF6nP1yYwne/a7GB+0
JXe792Mp+n/v9xnc9wBMGI6vGIX1WP71C8XCuIm7QwtyRY3Dfq69ZxhyaO4hMNG8d8yl3Tnn1148
h4/JFwhxYuPmnOPL0o95VWrBoIs4D5xmTt/nMPYMJCvttAn0YUCD5u33cO3bAoG4UkVs6o7X4d1f
D6lIR63NZtbwPDWXj0qXfDHMfPz29iJXrltS4P+/yCa85FXi1hNzr2BuoVAdILQtaOl5cVWijNlN
/5dtBCBr0/BYx7qb7ydaWm79atAClGeN8kgR2I9Hzv+MJmHDeE0me7r7ly2GtY8DbQ32AFytLZkI
PzRNqeqUbDjVy9u6n/O7KZdW2De1dmvU1S9aHvVdBb775t83Fr4G9CUaHGAi1o3/6+15XbbkjkSo
BUQwBFA8uhEtbYcnCHRy56BcfUa+A64lElPoIedLZYAkFJvIH0gvntpvWqlF48OUCe2BwXJloIOF
jFQYG4NiBro2xXsWYNfOEB8FsYIPEpTJ5gxlIi3GxKVY1VG7wkkP/ZdWXarnBlmH49u7ejkU5SKA
iq/C117NcLcKdTWzMpE0GNAvtj1N9/aAQe47FNvGOEAFhk1uIhMwc6XmrfKYTyba562sKGKLWVdA
+BvKS2TOWndyuqT/kqituae3eC1UIAjMxJZ5OpX7JlQAYsKTGOXNQI+hk9VailfIksiH1C1+QXdb
dhKEa1fESu1CXkRd86PNJ9X1QE6siRYWotfwHEvjy1AxuY/6oji5Y+McoIB3O2f7WmlCj5CxBy+C
OnPrEVY5VmoMGqEJt9G++s/Np+TObL1mOgJMrcF9Ziinz8Oi9H6fVopxN8p8xHAwAaboUykn4v9w
LihEAVlS0VP9btlfAA80welTg0TBmvSkxpbWhcCbm/wrgGbHC9vGkcWxq41lPCVxCgGOrD5je3D5
+ppppY6/pg4+2lcnPH6AvWvx3uG9EtCJA9wi+LNA99nyVjtdKamWpUobr8EtIo30sPgfzs6rV25b
XcO/SIB6uZWmrLXc4hK3GyGJsyWqUr38+vPQ58ajEUZwEmNjAwHMIcXylbcU/nJ5fER2TiN/OxKj
qBp4QEo2G4K26jDGo2NSs3bN57lenc/lMLzXs0a7/u5IXKzsANX9xwJq+woHQdy2fSJddAOm8ioS
HwkiCuV/Zc1YfXw81P0uZyh6UnxGNeL2LUwBMFid1blR6fHg+0LDwJMrB9U36AeLZkyX2Vnmg5Xc
HRRkoOrzAaDbqig0q+1BkhzciGepp4DhUoinBuBfAhSsX4vSnp+DRj+SJb2/PwhcqGOAJOOV5Iq7
vc2xuxeW2XguNWn4p7zBiEHNunNFaay8enV1hO3aia0hotLpVwBBrKq3NHI0caYhp74Ttcuy/pmW
kiY7YK/iI3zj7gyCOH5joOx3zlrTehPP3vKpq5ej5/KOu6Kwg9TDlSWPKgJu85wUS9MJLTqXCEsa
Xo6Cj9LDSbIZB0sJsxt/d7O3XpLBm7/3dWq+K1alGeTE8IhCM3Ob/+m16393qkz2b5xyar6gnICg
ZurMSx12ozb/aBq/CS5BYfsvwnZa6wWKifbn442qIvLbPJFpUDFlOQHN3nWijXSxewtFn8gzmkm/
uqUhMLO1zZqafDpgMLSAzrkMXGH5OR8sUUe4eRr2QQh/f9NQLqD3SGkDYWREW273UGu6nR5bcATN
rIU46WTifYfcx0HccX/TqHwYTrsCz1Ge2IyyuogdaKtvR/o8GfWHZpSFdrJna/5brqTRB4/O7mhU
wci6lCrM1r5XJg32025gR8HU5O0LnaMpe7Oa6LBFntuhR/j4Q+4NRxEKsQPkWpWc1e0SojSmSF04
h6y98L+7fladhzgVX2vz0ENi52uh3A27w4eqzT26KXn1OMkpQwuPJLpN/zEQCPssE3EQJ+xcK0oe
nKCbjUGffXOtAD72QVUyyKpLzcJ9oc4vFPVSCD5zu7rPJWoS3x8v4d7NcjPmJjAMTIAg/lh5OHLA
oQLVkJ4RJ5ovPWT7D1Q2k4/rYvhZhLPHfM3mVH81dvP05fGv2PmQNz9CndhfAnEnbld7XDiRC6KU
59xuRFiOskW2LzmSYt8bCsF7+qfAGchMN0OBHexKaop+BH+lNVGeWeMXbW24oLR5PaoN7Nw04J+B
3xHxqBxxs7iSpqEMCgluQhsL6yrTwvrDdrrVugZG2eSnQJgoyLp9vk5PpjtBqAVWG5e/3bKhMmcA
QyYvBk9hb7aVHid2S1+avZt37g+InuVfJO3zGGZYfR5lxHt7mANC+g1ml7rIZrCRtn0FlYLBCoQH
x9Wq3hoTUW+a611k+stwwJfd+5447DEWaSnP0maJ7USIbDQyD2iKpxknVA38KTSELmIggGP91+ON
+rOItXk7+I48HiiHwJHdriViaYDzB44o6Tr/a0/T0Ef4uw9gtIrC/ChWsdgh9xVWO7BpquvYWpRe
KgCYRT+m77V4Gk+Pf9PeCuD4SBwJcQGel/oivxyeFRW2JEXnN9J0e/izTNoxkjTToWU7R86oe7cg
ckQsNbvZDrZ0KR9xflFQA41ENrXfM6rqLxIFtfTgXld7ZLPIlP1Ve5UsElztZg/F3oJvZQUyJnWc
0gyL1dN/oOiLmGWvWVbYaqX+PSubI1GTndMKAA/YAimaqqltnhO7tpaSMMCPJmn7FaIRaXNJiSvt
C254axIui4uLjKnL5FPfzoUMi6n3jIMHey/I4roIYOzBxVZE7NvP2axzPSC7FUQyzjzEuUfNWE+t
B2w4lMOqfUi1shTR7HqJjjqT5HdpsbNOJ0f04pM+reu/S1HU38DYsoCDa0gR2YPnJWHuAd6KfL2D
YOYtmXzWmnQCtmLJLAizFojn7x9Nh4BVSfAoK8xtV0QTwurGRin/zFZwov2P10Ohrz/crDGOzMXu
dgzeIYwEZIMWJ/HU7aJ1kzXXY9xjZ6/7/WtPoEKDdGvBU5JWB5vz/oJjKJ+bDbK8B0FxszmN3svl
krQgB8ehueauEmv2reqaL23xHqTGEQjm/sxRRVXBNtVSYKFbAI5GToU/UqZFVYBaY1J0aHsP2RHI
6f4SUV6bysCWNBEZD/UrfrlEmlVURddDEtFQdaVUnPPiU6J6a8k++O1twVBUAeDhqxRqC1AL5tHH
Bm2mMVqDaGnlMABiUQolvlVffvdqVCIDShbFB8sDxep2VvFoNd4SLNCcYje+FGXdRIjl6WdTIm32
eKi7bYGRtipicmlR4ACadTtUs0wgRAcIFb1uLiS9Uxm8RkvS/ibn3n+L4lz7v8cD3n0xNSCYQoV2
UZiF7W21OO201BYO5dyPT7bdfzI0jZ6v6I6upN2pIR3KdofmACTzdmp2WsimmRiJe0Y+ySYYI5HE
c9gUGNIMWZUeZBH3pSs1NYDCShWJMtEWWbOkEN29hrWsSjMOB6R/v8xEci+WPdLBaGdPnOlw6F/1
wbFeY5yrvdX8JHsa82Y4Mi/YW2XEclX9jAcPdujt3NFMa0ewjbzxU9u8K+ISt0EYXfhbDtkRrn93
LOIzJa2l1nqzW0eexHyFKxHJMkG9oYWp+NLVBBChpeXzh8fbR/1lN28sa8xZV1AJHlgS+tuJzRpa
pKvLYAhor99EPuRfm6EP3tepyPvT5IIKR9LQCL49HvbuNlPDKusJRSKlgbUN17yOv9mxe2RRY/DU
fR5ftKHWL49HuXvJ1Sj/j+KzuaK3NrOWGDw8sBklC/rpFE8Z+gH+6IRyQbbYT4z8ddwX4jXmCtjA
Kvnb/zI8bzcvOIWBbdKtJbMWxzUyHD2SrNdqdmSYj4t1tta+f169fn3pHau/4p2ghY1mxwfn5/7T
kp9yakhx4BJQkbv9tO00N1lvAw/PjXX9No+Fr0iVObLlcyCbsIy9CY+R2jtSor/fv9TU+UNdQ8Wj
WwJO5bs1Lr7pFNFsJgZFifmPzm3ftQ5H9fEC37cYlOo4p9ICf6ie/M0UFw3tkaxLRwXdbp3zpPva
H4YAdhymWCR801sXORnT077Pa1a9Qz7AfAlElr7qavQfpDFqr0kB/Y+VHh89OXuLDwSJMJzCICI+
m0M8oMFr5V48RE4WiyzsUPYOW2gPNUiMDoYgSra4WazOQVRyv+M5zGCRVMDIDbI1VOwheXg22Jco
CPKyCevVx7CXdK/7RuEUGi18oexqjXL8nq7EjHhVrIAyHn+V+3eC30ByYHBhkiBtO+9r2Ulv9pox
SuuxuWJsMr4VSS8/m4WbfqLnf+TsuLffuMAAAWFkQ4S52QSrl9YmzkBDNCGrjUcWCTWubkNkd9I9
OFI7QzEjHO6h5bDbth2cgaqB1xb83QXPcdSkSInEyLmfqqBqD1ZxdygaklhVg68iyrw9vVrWV25j
6yB1ghQ7KYUsKAOjeuWawyEsb3csrimXno5il25W0ByV05+0hkgDQNq+mp1JBk91DrlLD6rl829v
D3qBBlREBQEkS7ydWJqiITMGDCYbegFxar/NLGWllk5eeTKWKf9tfgfbkFwAkQeqLzh7mbcD8goI
C1D+EHlLAU035gY0JDfB42ntHHi14ZWMLdEzba3bUew215x+boZoITme0SbAVCKUaZM/LbMXfBJu
ayJUE1Pcejzu/UvK7GDA/bR9IBDcvKTgq1wUtFouGpj1uOWJWlxpa+lHbP69PcIVSwGJSw3M3yYz
0AfFi/NxggfLMpy7rq+v5WRhFgR75/R4SrtDqb9NKXAT/22GymURY8jBDrEkVqxEScYLLrj/2EPl
H4CE7sue7I0AzBYcGU4aAfvtV9NAVCv0P5eF3yG1Ynf1j7pa/VPR4NJcr5r72u5xbh4n4+9MiPUL
CIGjJtLeByRI4UwoY/q7K5vqkNMHBi9Fmlm4TbnreqFilR2s6c7DAJxZVSEVcxG46u1EQQaVNRKj
Y+RjDMkzMMXPo7OUZ6v2hzd9E3SA1no3CqheXRsrOOq0731SHL8hrlN5pKS92aWWbK3UGasRfLzI
LrOWNzgAuGPUuHN//v3dQ0hLcV7FHnzf25kiA6D5ZYVz8lRl+No0S3YacS+KZrv5be0DtXtUiYZ5
qftss1GTHmOfRqfQRvWx+1sfO/lnkGblc+qP8cFO3VlAdgcUHEqplN22qv4lrjY4QsoxislCTnaZ
ogg2e1NYTlAMHy/gzvsNbA6mGnNSj/hmq0x6PBppgW2VvvICCLMfqTM1WI/6HYiqSOY0Ux+PeF9O
JaeCowZwCrVkysVq9/5SdmhLp0AEnHe1yoD3hGWx1s4fGPRMxhkxreYft7dFHy3eUDkhxDLvfYOn
aXUCXO29m1EGT86JWxnDUZV352gqfSDQjORGEC03PyubnURD8I7nvpqbiwbNurkM/QQ6iUtD/us6
edVG1GRS8zNKXu6bHGgCbl9FigpbRqX/9ezg3WbNRal/7C0sTw7CkZ1DrSCdFEdt1A4QqLtdNqOM
Z0cXGTZKATpJbpVlEfVR+xw0+TvRgDbkmTKecKwZLmA27YOXZ29LIqWoJJixer9TnK09h4zcZcIy
BYM9Bo72SiTG3/D7jd8tFbE9UO6lEUmxHXmjzTnLgiLBQB3UssyhTSla7cmu+jRyVtyWHm/FnWcc
zW6U03lTyZq2JH4sgdIUay+CybRZXsk2QRMMCdUixIsuQQBsgYHStEe1+52NRhfa5nHlwSNn2MRE
nkD+HhelMbISMUWTORff8H2oDqqjO9uFUbCVJoTlJdgGyrTpjWy00ZowAIqfUDozX6FFYf0VZJl3
0Xo7vXh1755EkJhhrXf2h8dL+1PH/7bWAJ0XF1lOOXhQSuy321WMWGyVU47D+QgT5MmMY2lH1hLH
Sxh3BlTGuBmy+Oyh+mmf47TGS4ruS/dvZs/L/wpn0L83Vdpca3rxlzGO0+fJ9so/Oy0X7jnJJxuZ
7inFy00gsUF9aOIaRXiyc+VloRomnnynmIoXz9GqM3zUoD6Y3302SggBNVqnzUYFlQTodn45qJfe
JTICzhN8VgTwIMaHb8xVOgq975L7JWCJZZEh2p9Yz6irjrrx11K47yt8+/CcfP94ye92s9pR2AhT
y+XVABJ7+4ugT+eCJhSlpGRxXuG2iRqK3vj6q4S60wUJx/JEuck9QhvcvSA/h4XjTDQDkWrLlJUe
eJyChyNKlkDRqhFQt7uefjYGkedxyLvnx9O8u4l+HhxaRIylYA6b+6GkbCXThWmKxguushmnpyIe
yqj3zfkgzN8bygC2xvnxibm3kC2S26wLaDFEisJw6h27JZkYsPfh4B28w+r2vjkuzAp0ilLPonvC
Z7j9eENlOp0ox57YtI3rKPd6+68yN+Iv/Vh0JzCj9bPMsvntsKBq/nhBd4dWjiyENljJbdubSAfU
mW5PfEBEY85Zg5WyD4nyihRa8no2RBKVCNaHHXTK6+OR99YXaBHwVKq+zHsTfORIYjpO11Oyk+uq
3AvWyJvc6RwX7ZGk0t4uhQ1H94HjCoZe/ZRfgo7cap3MCZYe9GeHgWZgLac5EGtYOk5xWmHsHPTf
d8ejpAtRDBkK/s/teFQi+ci0ASIMJ1Ciyar83Ng4DKJA2r123T49+Ii745ERspbQl7mPbscj4srm
aRWK6pRPH/qhCU6d0dXPrZsMyMIvRx2xO4tOgIwgqVAGh4BLPrNdUFOrG8rhpfI7lQKBZY3m7CXV
RseIrMFz3pWZW/onK/AG3p1AS97VcGSmP/R0WFn/LJ2msOqsyg/9fPDnsK+W8gv/0fyY273z2xmJ
+rFA23+C28mHN6tD7jkbfspBznnuz8HsZ29jQdZMYlt8fbyn77NMxgIQiS+jIkHQNr/9EglmuOUq
NTon+Bx95czKr7m92k/esBh/95jYB6FRtuIVt4D7wdb89V9Db4cjRYi9/UBSzW6g/ALSbJPrxktm
L1nAjPUiXk+YuC5v7N50v8DhFl+lrxefH097bzz6lGjLqF46WInbWaeJhdHS2FL+Hqzh3Rzn/RDG
yLHQ/Y2z/NQLeSTreRdGsc5cWB6dZgVx34ZRmPiBR2wbbkyMST4F+Wq8T9P4IIramxbAeciefFH4
LJtrg77luk4eDllTsLgvXVN+zOCbhw5i16DYR/Pp8SruXYi/Dqd+zi+3lGFADNP9usdVUZSnVJhB
lAZFhm1X5p4fD7U7MwoeFNWVKOyWUOgP5eiVvYpfcPB7TUShv68Jx79K4rk61Bau4IMnbm9EqgFQ
Zslg0CDaTE5HaT0mj+8j32+mp8Dvu5AahYtwlOOezdYuDlKWn8/z9k2FLEXkB0SIDHcTEK0el/ts
8aYi1Yq3tNN31nuTmo57CVLRftQm2WdAiJpZibP1izgT4SRe6LRV/yfgrcULXbs2iij1psR55vqY
kdwxzTEN60IigCBwGPojS7ueelxh5s8ZmCc7HK0y+zHZYOnDsY878+C77W0R6mTcYSglAUzZhD8d
H8atHVYx8FalAYBJQW/l+jWg3Xz6/S1CzZZSDrpUqhpxuxs9vJm8ylHK8nO+nNuxdP6mQJZHk+to
JyTYjzLcvalxkmnesztUE/h2PDTXLWHEq1Kyp7hZabBdew8lZtuOj/bi3lCwFSHHK5IxRcHboYyk
sCk60uL1ilhA0pya19myWGHXVeIgn90JrygqkEsiZ6kEFNRP+eVMj47mjvaSDtEA0eff2ES8N5T2
MkYumlgvGA6X50kiJDc5Q3NE0t2ZJjk7UDloebiZbMGlbefnopYVNQMcvEO3cfqnHOpV6BlTfnm8
WXaHQgxIkXBpRm0Zp56xtFZTEWwIkfxv7GvrYsphpB01ZQcjqW+zOdaw/dCHoPMF+3JbXpR52q+Z
zgOLimt9zspMXmxHHilm781HQQspo/Ka3aUZ3L8B6m/Mp3dGlJ7Tpp2+Nr05jeSasvj79xePZ4y+
LToUWCVtXs8l6HRsVYneXLCEkTZM3UsB++EtkgbGn4+H2skS2Quq4AF6GnmvTd46Ax10M5QKIyMA
LmmadXC11nG45DmmEorrTWn60FBn5+pXNGQVj1CRIJW6PQNZD9hXDgwKtiV+jZKNfhqsybwssTFD
LFiGg8Rtb5KkbOQy7H2V19yOZ6Z4x3iCZ3tw++Y82cP0AVaM/cR28ip4m239LLSp+v0YnHhYVQ95
4FRz8nbUdbY7h0Ic703TeueimvznQOYLVAfRhgmC4efHn3JviypROGRy6SZQyLodL89EUgtVza8H
xOByb9Cfam36Z/Wao4bCznrC/qLhCnaLGuBWlEl1GfrO0zreOd8+pbE0v+Q2fuunGtH2MfT0VgP6
2pv2AVJ95+5UMiZImbqMTqvtdoZcpnHTqhhvbrFc8jOMCYy5qN/UJVYZc+Egu1A7KQ2csjnI3+59
HeDBkpaqZ4gSD5O/Hbothipo4WZAtu7rD7kJv4CKwzi960cq0F3J4+RlennJhr4+mWvbv++CyTjh
wa79Ixe9PSdaVv+HWgtXEj/LB8fOc7JZD2nN1uDUJMzAX6az5jTmc2JZcVgF/fLsJs6R6Mc9Kkut
Ap6OqguBPeg2SrRaHyXKjNqAoVGmjzqtJkDKzVL4T9o4rB+Mpersy5AFyQv12do4TVo+ZpEtl/Z/
oz8SO/z2luf3KFIrZ4xV2HwVoxF+Yur8nnQeCB9l5YCANr9RqvgP8bGSI1SKc4CsAU3dfn9rEAu1
loyCgV616XVtyC7x5rN6+yKdMn2bBVYxH8xu55qkK0nRAHsB4uNt89ozSkc6tdtF44BR6TgMRri4
8XQqeag+rMU8Hbyku+MpwD6NmJ+stts5FtRvk8U3O5RWavd7388oh2uFScMjoacwl+n1978eenrM
kAyZ10Ad919CIb9Pm6HonQ62oB2H9gTl0qLWczV77b8MxWUeII5OTIJo2e1Q2uoVqdMYXZThsIFu
VSPezEvwAwuo5MPjSe0tIuGxr6QAKL1sQaBmvBZTC00oWg03fXK6qXoNK+Or5nbJKejJBR4Pt3Pp
0xYEawNUEszVFgIgEFdb0JruojlxhnDpkGOza9GjsHBYntsJtPhUCuFAAISB1uYIYJ3qLMB4KCj7
dgftQRhPLonTwU27u340VkF0gZ7ihbn9UhJ7gDQ26PiZlWm9azQDvjqAstCDNRzS1a0O4vHdO434
UTG6AFfzttwOGAinywqfUyZGD106SVFQ4Kh01lpDnNZ8Gi5L72OwJ0ukHScDK1Cz7K44EdoHv2Rv
5o5BPswfUKZb06febxu6ibzfhl/lEYKu5V+m9Npwpit1ahqnOz/eOnvfE0kwjh4LjTPB5nsKGr29
QIcwaorEuOSJ50Qttil/PB5lb4MqOBpcBhpABH23yyvILQy/z3F2gQd0phz2Q/pJ80GC8jhYv73o
QDVDEftFiuNOjI+yIqJDFvGW2xdlJCB5fYvR931NuaOk+CTWV0FeJSp2SD4+nuPuSnLouToVamvb
i3Xn3PNlT50mHUvjS1ULCZbDnw9Ohvoem0SHVFh5Av50M96CG/ADI7SVlGhMe9Ke6P2Lb8Kq5FX6
03y2pm6MyJCgIpejHhnzIA6Cr90PqbB2/z/8Vl2xlZNwy4BJlhZc8oUG+R9LYLSRZXfi6fF67n5J
OKQYZnCDkpnc7hnDTDXT0NiZLbnDqTYS/coezU9YaRLcxKsV0W1rL72/9gdrvHsGmSNxNBxMEEC3
I2uZGFbmD0dGSzIAaot+slPdiVIivGhpZBH+h5mq0ZRIPvf3JjNBxytr25Hx0Gor3gZpGV+Xscqx
ASiLOT/HKIl+yNah/7Aafn3wdNy7qxHNEcgB2KRgDwxKffFf3l+37wEt+AnlRVoty/PUIBYRruWa
fwb5oJuwxwa4TeghpH9M2ZAqVn+Rn4sxjc2w6WXj4qDU6AFEB8CQYZwHHR6D86xPYddgTnle7E7/
glPm1MJPGnGuf7x2exvSpQapcIuw4rfhg7aYVgdvmlNXpMOZiNxIw1lfC3DHKLUd8d6ORtvclhig
GVVmqj2pecllLnIk2VtRihexevZRPWpvG5L+I9qBgorHn9svM4F766aAaoPZY4xFFlY+6bOlRX6x
1Jegk+nBJb13tfBFIWjxuPMYbnZCgqNSuWg0bQFIa68suy300MZTBHpZgiVl1NhLPp0GY0g/Z4Xj
/zMvtpueHn/OvUtU8QK4joHM30kA5SJNNTdvKYwVMIxX2TofXbeczo9HuQcisOlJ4xSAV6ngbCXK
8HdLshjB3qiu0zW/isLMfiTtVHShxs63cEqPP5VViQ6AjrPwSRhF+q+H9aKgWdQOGhXChDbKNM/l
Gw0Fl/5k4N22hJOGk1rot+X6XQ6yLyPfKhG4zdAfdMLMdeY0NDWjlG9FZxqY/xRQ006T3ze/jcxh
byhhRspUwO1gOd9uHa+ReYtt4hDNQ+m+G/1YRoHU80vf6wfv7c6J4FmnR4wxJAXobdG0WRuvySVV
lbxx7BAlXOeJECtG5QFU9OOv9rNftHn7VA2F6IzaM7neZoOKciKQ8cn8gzjLqsiTcsHVIynkd5GZ
2nuaq/gkJFlRBs/whQbnYy9rlz3sJFMZCscVRQiBznjjUwTDNliXg3jddu30vltYyotMEHA7yN52
iiQqIgDkrNpu8BRuP8QKKnjpMgq9NpiBi1gcefY1s4rc1ex+LHUqIXOWtesc3Ip78SxCpFTzVA9f
wT9ux5Ve4TYiJdVurcJ+q3WTc6K/kZZhTVlkiJC5otPZTmMe+XkzncdFC0K39eszR9z83+PvtrNF
SCZNSjUU3vhHnflfXhjw7f3qrUETIRRt/S3S0TwbDco3UTcu+dFburPgCGEC2OPtRv1tCzHyNUoO
hj/ylsYN3ml5b0VjNyYXUj6kCAuz/G451L5/e4YMSo2b+4QIcNtYbbFG5kuvQGinpjjVw2A+I2al
R4HR/4dWDxKOFEzVc03xXj0avyxmo4/sHHTJ0CUay7MvaaGOxWyeY4sCyONZ7S2lOtVAkgGg3IFb
V9+fnRKrpmjElvQC7gVqJqSlqyuBCEsRpK885KoOYq+dzQKCSiGUVf4MpfF2fuvku4k5NcReA5Ll
GFH3F7v3wAKI7kgZa3coAjz+4TW4oyUXky6cUVRdlJZmek2Cyrr2gcRzeaiO4H17AAC6qvBToMNA
RNjCzAVa7HT+KT1UgpOGXK0e0f9Jz7O5lCcXSbSTM9T9ORNyPgUBHXJ9yruDpb3XilTiKBQj8HlR
ojdb2z/bk7oc45qqxFJ2zaVWbrMUKpI/11Z6fejlPvekzPE9ffK7EW7jrEspw7LvC58by0teecZM
r49Sn/s8VS1heZvNy5+Pt91O2IPrOYHoz14+VdbbHTCmTV0QsbaRn84V/Zx0PVuD9WfXGsVLHDhH
MqE7uwCWHMIRVPaICbbQ0lpfAK241J9A5xTvJI5KsCzj5LVEVvPoAVObd/OAKVocdH5lH4ew4u3U
CPbG2JqpMshmjt2ztXiYQ6HQPkbO2FRPc4WQfGjE8XTFQUO7ZsuQlKGrOdrlt5cY2pyKEWA9KJHW
298hqd94AguuSB+XFCFqCZLaFMvZCYb2VV01yefH4+2usaJek5wiC7aFv0idBGFeScqtAIWuZMWN
kDJH/zJSEvjteIRcBn0qk1Tgp3/97dTwQEV6yrXayE6K4En2KPrlRoo/adM7B6t4Pys1FIPQOYPY
sG0odaWcbfDPbTTo1XxxYAeH+hgPlyI+5ILdnwlK7YBA6Doq2a8tI3jBZtWO60TVE9c21DEGf6YJ
np5X12xC2gLN8+MPdi8+QU2Iu4IdCX6UNoua+y/PTFrZXk2HjLlRzLdwhfKd+jJqpOLhyBl5h7I1
8OugMjAKlk5vv6pzO6jOCHsmXZgmE6mDNWGeHMZYbudnWbrWS1bG44/ML81LHIs+P7XzbLxm7ab8
JE0r/SNJNGQoHk9k5+KlSsnjBa6a1j759e1E4lpbXB1N+wgTxOlfCvjlc+11+XNVwjkLPa3vz/ms
BVf8d/TnANmlL5Tb29/WwGU5oYSBmAH8hQaf+r6/LKcIWjjpac4lo7kmTu6edtG7wbmOsWlGGMkU
B99vJ/5DfI9BATVC+CHouh0waFOk2dWtlruL86aaJ6oJFp7iT7JIQ7/ILqlrT69zbr6oT2YPx6/h
YjjVkYXTfQjBz8Bg1gRuzty3/Al7sWJ/6HlircSewtT0hutcpOMJ3zjlx9eLp9zOjsr8O4eFaBMo
NgVA+iZboQxJYjQXndOi5urD+vHq5XVsie7tFOT5APV7LI7kne5LVchYgK+EQsuRuQtaJg8PsHhe
McQqNLAAjb5ExWS2Z3qDGZ9cc04uhhInbzSbT4/3t4qdb18URoaVB5ZE4XS3rxflwFlOkgLcks52
JKs6e+Ojw/P0eJQdYDvDwKniX9IKf3uKmqHL13gO2ki3G2QlYnepn/ELRzo6NvMu7HXhpWettsYz
ws5llAkt+zSVwjjpQZ6+7/2xqC9tnKaXNbX8g72+97nh46pyOaBT2ju3W13rRJ6ZgrO1YtP2Cdll
+9xOXn7xcNaoTkZMje/gHd/b1bRbFTkERT00gm5HbGJXp0rGiJreV+cyte0o7X3vXR/kcdSg7HR1
qI4dDLo3zV8H3aT0TlOvpauntNuH3KU5kTWnQCNysN3YfDdignsAXLjf05xbxYsEDUUCu03sdX3K
piQf28hFOOUZcFmLXG+rnes2X0OEHSc0JltsLfX1t2006UNAv6EKRC2U2HwzUym8xaXBDxdGE173
ZNttgggGkusBAluFnl+rdU7G6+MtfveYk5cSEJHEwZIE/rWp+cZrmhUL3bNogF1dXs3B6l47bWy8
qlwjProW706tGgwKjFL3oPa6lXxcuryXZl2TASer+a4cZvMSNJX36fGU7r4go0CGxw9IVdDvWzs6
DCYCOgA2E4JjQtIgAGopqWB7a0gcAUGSCuYJgdAjSvI9UIKhuQep4JGiIk6/CTCTCnxErVEiQ6nc
+Gsw6/Rfolqk5u0FaAChmOW+jKklfsRlu36e+i4JlDlA8DbOWmc5ywKNN6Dgcfvh8ZLcnVz1u3gR
KC4CW2Ltb0+u55fGrPULBZCsD5RZS2xcvGkUp2QkZms76VAKQe7ooByz872x16SXCYeANHAbTXkK
+RwoqLlbxvmXqvJTg1qhfQh/3pkedY+f+vN08PGpvp0e0WfTshkYZ9aza2GnOHAb/iysaGoW/0/q
xiR1GgaOfz9e1p2dpjrCSj8dS0oohbfj5sHiQ1Nh3DWhSVt1bY/sb22HdWqs52A1ghPgEDukJnkE
Mb9fWWS+1MtElEoEvm0UNzMQKN6eAfFZb3hjxNrysRH9ka3L3d2rOBRE+uBrCCjuouEhzRYmTvbe
ZQkmdN1oP3WO+Gtd+/EpnanzPl7O+88IWozNAogLoVHQ+rfLGdOZGiybdr6Ax1xE3jJ0l9zsk6fM
cuIPsTOZL62WyYML//4GZFSqIYhRqwxq29kv5Uhm6oDnWjvMhJO6nE91aYlI4Jl2cB52h+JGUpgl
8uAttLG3R2QRfXA0GPs5f6f1HP+Ys8J4l1H+/fIf1lKxL36WIImVbtdSM9KJpaZh6UgqIn+WZpKk
ZzcRJCvozk8ewL9CXFHqr4KDr7g7SQJQ1UtRvmWbu2bRrKal/Mth1Jv4Kl07f+WXpXe1KM4eDHV/
/kgMwftx5kEYEvDfTlLMEiNbk8IOrH7/Km1If9egXcerZTX+vwgE1j6ihY73xq5S96AjfJ9hcTgg
qamNqtMC2IKiiETSljyqi5K2NfOw9HVMvm13aOYIS5L1i7Ddqbwk69h+cvxq/V8AWMUENDjMxsfH
33rnMqAoqsqGxA7qqr1dBi1O82mO6aPmZVe+GzSIpZFRVL51sNx746AnAv1PZRkAs27HSQyQpOCy
2VN22b5KTK25LKboLo9ns3fp/DqK+hW/5IxU8LNRopsDEGvIYeyKLPK7GDh43cv+MgTx+O/jAe9J
+Ar5DnLhZ2GZrs5mXjUFQK3qWT9a0OanQkx2eooL03tb0WT/NnIHv1CwMbJw9ifrGdmR/nURWOJD
GVfli5dakOge/6LdJYC3CmuY1IYb8XYJaoQcRK7AHHVedJ9drS5ecH01vjV+6Z18kxrEwZfdO7PE
QKpUBb4J5ZHbAZ2hL9t+pTAW55p4muhmn2K55Gclq3SQtuwOpYqOgFS4ne46Q723Tq4PRKyBF3ZZ
vap4BmjQnzJjcp4eL+Pe9UCzE9ohdTFq0Jtz4ZbakPUJZmeD7hXeyfGz4d8+jdEY1xp7fPb6cnyt
t0K/QLbIro/H3pnmTyYndwRJGpjd2xVdFYOiQuMjGhOtfjMsjf4+mTyYoxBnDg4MErc7J5O6FaEA
wSfp2bawaWN26jctmHlvxBv2lTbnvgyHhp4tEqlW/aFNNaaZuKm5XltjGD5BgZ+pYvut1od26uXi
YgCl/ajlrvbXsszxx7qNYzdEm6A0TpidNuiJ+o0RhIshluW6GE4ynkThCf0qB0f+aFrLlpe2Hfp/
3Kqa57BdcdgKu1F079GANlDMdaX9w2/m/IfR4/vytKypXYRNJ+c/5kQOdUglTQXpmVX8Q0xvfK78
tnXpEUj/69R5Y3dd1jr7aoLerEEb250LczXOPwjbIm5tzVj8gUtzl2YhdGH9TZeNgXyi5AqpipAT
FEamr+2PcWzd4m3hUogCTUp2TtQ6wLZfvTg+zYVo3es04JfaWblVXNJg9cVTHMQBub1feeMJbUvU
fpd6waeDPkq1nrTaEPMFgZDiKZAI4p5zqflWWJZLk7zHnLT+Clw2+atqq+H/OLqy7Th1LfhFrMU8
vNLQk9t2PMRO8qIVnyQCIZCEQNPX3+r7eo5jdzNs7V1Vu+pHOUCxDLEGAlKx9gn3vS43oXg0ghp7
3/Y1T8CGkqiLyL4jsL1JXfJAGMIOWhQJ9t9SbEP0WFdD8go9GVJPs7Eib8kq0WjusFiCI+XAIT7X
8VKxVxOsYj0soLem5cXiP7EGMMClOd12jx9R7CO4YDJMRHF+LOA7AqTMDPpxCdE9nTtZ8Jn2IiHu
vl01/m2WisLJFrv7SLFxk9PPcsM6IBzA4KB1pDDOAtYYjelTNAg1XuHwtjyNVUXwTYdmutIimovj
XOPxP+CAyn8Iw4bfiHxDsAmvG4YoRcx04AOYP804ULN+TApwAxxBwqwlOcUUzBcGnmCBW/pjHufe
9lRUCuaQY+KQsTasBb1CVOvn0yYz+UIXSj7NHJICUgOY43SrRWbqsUK6PcdiziKnR9gSJBA9zGa4
qiSGcA3fIjkiw3DIr1HuAHFDIJRPrc7mQba1gQ3LuTBVHHXbrtP9jCBFf40GUv+FRdJq4QcCtAgX
dGvsBWslTHeWxtXv3DaqOJYE6z8thwNz3SIRQDSvu1smfxob7urL4ouEdXCrFMUpIwS/LIqcv9p8
LCIYRjDxUqdKPBPO5AYT4VXfGBmyV2vHGKa/+2x/lSWo/kNqoQQ+wSycTxDkbWVxTWpCMkiTMGL2
I7QRO4yd65C0hSk0VGxjja/JK+P4JUZU+/aAXnvJ2ko38hXG2hH8ImO6iSP3K1zpza7If3tZ+emc
K7L9J0i6fLoiDQPU7jYHMCbdKI6e+uTfwEp287EbUYrKQZk2d9WKffqK5lW7qLV50zTC4yq8ApaG
azydHZ5FLFyWO38hFHluJ4eR4OpyPGgnHkpMkotIl3+agd+AHNxs8B/gJWwmol3pS1VxpEGuaLyX
IwccBbxm4PN+trwiXQN5ft5PQ03SC7QJYrq/FOY/wMTZ3lrgda9NgG6xM+tsL7So7ffVRFDd+nwi
P0uHR6VbEAi2Xgx1w1+M2/5nkatSdWbOLE5Kj4CjM8GdjjtZN9F84PXevG6lsUuf0mGil2gI1sES
M4KPUYrwZNpntY1h2V7scWihx0AcxZSB5O63dSKqFQJr0QfrE7n0a4KEolaFOLAeKye07nQslrhd
l4FBHR+LnT0Nw87sSY+7N51HEJw5j4Q58tAswq6IYcS2P9JAVdQgpdMZcxF1xJuT3jQQPe/gWHGO
PIIK22qII/drGKnj75hw8z9JbQdK4em2ikcoGFJA6VMQa3jR+Di2rzMPQKwU3M23RGWVO21hpvUD
Ln6SnksP5Xl0aBRn27OvXTY+kBAZ0isYxYk/ZWbK+Qcd+IKa6L2ClXtrSvjng28v1qb6Kkeq6y+a
+C0dAbua1cPNE/a41Wc6FbDWbG0R9uhN5QVr/nq0i7JDBuiyIl9pIC6J2sITEKCtS1KNLatI1rCv
xp7taj2CMuOpnE6hqvTwm3rkT7ZbFurwJ0qMUUXr9lKqM6FFSqsHUjeoWYdkbLb4fXN74j4gSySw
DktEYp/gmzhufyYk06efUY4Q6ocIp0p2gBcjJf/WTNhhP8r6ruA5YT7y7AXK2dQ+Ooc4FoW5oIHQ
utVzEgnWrUAcxd8RdvPL0jbZJva3ZZpH8TA5qypQe3Vw82VF4s8PuLYVscTjE+/0iVkl8zNSKJ24
USD2ENjsc6GzdyS0rhxAfI7cJUgWYXn+GvFST7QX6ZQxnFdqI7WELwPkp2+4bnHWQY6U6uca/CWN
2qDhbgm7mpBT5KtivCyE+eTIaoa5X7zUXh4cAGk3tp7Wlpy3ctqGp21ujPw7j+HuEmkzPPpPubK+
OCZ4NyDEieF/C8ebGIgN+wvKRNO1M5kft8uACZp2KSnnJ5O6bTuvTsQCVH1u5EMt4DBL22aGX092
KBGpRZ5hBXhPtEmq4PO6XaRtYOXDhhy5BDIXfHvMAxIYHwd+d4L3864JhD+Zh2FUa9e5Kd9nPeKm
QJsW2WlqN9fs8uSmhrnzNO95ehZ1ofPLJFyBDfFYNOwoS8jj2hzpWFDdRMgVPQSEWMW0i4aGDn/q
Khj6JKFxTNtQzHCgo8ogGyHed7hG6WgAv5hm3j/ruw1HBwdwNKaSZyI9FqmVU5fBoXY+7k5k+UFZ
OF6pltFtbLo4n2bw49OYxNiwXtbp25IM2f2UDGToEEkU07ZIdv4MBThMmsOesI9hg/L7IMxWRKcM
isZnJNbTrE1FhLh6Y9LtMw7JZlqOXcC8Q2KlvYCjg530slYOnNW4E9qNU5k9e+70D7D5Nhz2PErW
FrMQcddFNqXvsNKyQ+cxqnTs4XkBa6Oy2jj0ZyTFz8eW06+5gMXKQTaGLmdfBH7LpnFmXeakeNii
JB4eCXYAfB8MGZ4N6h4uHCS134u7tG5oQzqVNQ4s8H+HbVEcbESFf3uY2Y7moGIVVGZmAKZ6YCsM
+WAAhGxZZO1pHf+Sk0Yk8bA1q2zRKiILrCGVzI5wujfNqYYBRtFavci6qzaByrxKBR9qlezaH0i8
++1dzptVp3Gcg/1C65jmLRg+zv4OkWVQjORK2RPRWAdzTxSZpNMx0GBD1NpmsepHvfAtro4hLFEK
rzdSrL3SpeW9SpDQ+5WYNf4pV+zvp229KH+J7WrrtoT+Gu/VyMaqj1e3RK3HOg+SS1mdbg+LLtg5
JsW4XM1q97pN4I62vySxjWP034WXHY3JEvoSE9364Dfn3ck5lW5obKt9xqPOtrwb6dwMMONoAM4i
/iZgiSYxFmbJRR0u+6KH0DViKZLejCv6shbT9EqfUIyT6SlFUub0Mm5Lsjx7AX+gnmViFdifqt0b
DPsIP0OpV11GxQeJWIdRhlM+AmS7NbiPp5yHAs9Gjq63h5mom15E6bOsH6Sqr5pF4W8lIXN06t6X
LnxcnqZiXj85Ip90W6kYLYpyIBwg1LVz2dbZCDFqFTL+hbdm+yqwgxG3qQqyvMmwyb0X8Vz+K+ud
6j4rrZqv2SSqf8bkeugoiudNrLB462g5QbY9o8GdD0kh+Ng51cxvFmXiNddqw4IjpIM4p+dxIU+I
YsrWVu8TnF7gAZwOHdxN0lcnRyZatMfiW5hxul30kOKklQss/684h1c4GQ4LuthtpXf3scrjQ9SI
EnOPTT3Sx0neTaTWNTJTi5KqkKIcqaWLoL7Wv2o5Ty+o5XUAyb3MH26aAOrhTRjeiCzwS/cSK5kH
B0UvOjMT+bW3bIRFmKFNEffl5vHnNRyTz1g5sFULahm7dtPULIhA0BHGMXizNQetCo5VaEfil2Fk
BUNblVgcxrUWD9SZeP4EPKd/E6IEVIcmkesV72R1inZIj36WA6cD+O6ZsZbhlPkwhhnkcrsi6K6h
fI1bNHjjr61USENUzSLb1EDx/h5KpNbfdC6j8QAUeNuu3O3yyyAOAh8YS4MQvWZDbc9bjiowM9Hs
R1Wthl/LsQqXacXdehWkHm6JQWXs/ZqG5IpXkywXoB1ibnMV0+hm96D0CQnhmIMmtazJKWrGUqFx
2EzWb1Uj5x8aQUHLj8TG5dLCim1hH3aOyuYQBZGzdmKLgkXJkjUEEie1/aYRh74Dkw8b88Nsd1kd
XIP+Dvh1igYXZhJpOBrGbX0d1gzBLrMc4vUHTDV93dJqJD9S1FZ4biCy+3vOtuFnjIikzxoR5h/K
V8uTn2X4DXqL8UuN0uHa0eBJ7tK5MPOJiGH5Xg0bAQQ64uIt8PvZfkd7ldk2WyHxtqWqP9RQNuZM
N9181WQL+lRQYvLXZmV50Suf5v+RKHFl17ClqC8o4yipxYhOdQ0TT27IOBW3oURT1eKgqKFyVTJ+
NTMG9jPsb5LsabDrps8WsdgoMhURyyPXYZ/ONpcs+T6HXa7fpgT97k2aEdlas2MSggETXXEn3X95
QFjbKY+EXb7NaEyzW77n+78B0sy1WzlWgtu8vnuRTbXQ4rALNlXtVkD48jiMHEvnCewSk2eS1tEE
h7mi/hMjL+0dGathuwDMGNPWMr7Ej3sMoteOU026IsprczI6I2jFtoKf5myx9DyKePwWmdkizHVJ
N3tGZi45DoBktttiWXEpTSKKA7VpiB9mXB3bsrvbHqzvk+UC8rVkF7pk2XtGFUdzkW0TFPVrnX0m
cRDyuAkAt220AUm8b/1wYAQ6Syf8dQhRW2xlY6gQU+N+7JYodlAFnlEmY5L2Kk3kK3Sj2XLAmRk9
qFWtrLNVhtCEXOEPI4ZcrX/TOSLo2sg25tBD83FHa7vlPwvnpvmSrhJeRaRE2CBWPJAkhQxel31z
eq+Pa1rV5FSEOeXtuga29aYh+HpmxsPUoYKiuKH/c/8l+TAunVAmitua1uNfwVaPJPCydNfRwsfN
tTyhGbDjIYrdjQsi1jbfN0BF2TgWOFAEW8Qx9pBUnDDkbXCerKMwIDozWdT2UIymFk9pEU3uHClQ
CW0Mu3cUE6xlrY98s/whDax48Azpm20MrDp5YUKrcATolRZHA2r9M3NN6g+KwbbzGAMpoNeULVvo
oL2FEQlBFNzfBfljooVhYJSc8FqnycmgR5nPLocT7CWnwY8PzDtNWot9rLzlG8ySMQMi6fNQ4x6p
s8qG6rT7DAuUqDoJVivgnFQcKdkHpK/g2AiPMNc0W780It0/tgh9Yh/wcXr0rNhfp9BQiIOR2TQA
f8Ogg3e0oQXMzJD6etD406odo6p6owlZqnYc6Dy0VOxAWuqBKqwbTQuJDils8J/HaOEIPsK69vqc
D746TzFnawfcKvmGIs5/QOQwIK7L5cvXEOXztd5TiHCjeYyni7ToE2HWWNiyY1PIXxl2pn7h097T
JKak0ScGjOInLECy9xlvnznxVCnewxen+FwaP6o2y+z6uOU4nP7ZLc6/w+A60T2U+Oxpp6YOmEhK
YD+A0PwvLPrkus2NS4eDZWk83qIVF6sdjLAXKTItYI2ZJi87m+LoPKyyIrcCbMDeweG5fFiwfTJ1
YhkbeYSeLXut52htoDtGvGRblhFZMfT9/94G20R/gNJJ+RbqROrnKp9ilLw9pwj6znXNu31N9FuB
IvE3GHSqB5iKzcUl49p8j1e4nPcSyvemr3HcJKj+tbk57Cbiycd7cppcg8hOsUz7V0grK7qND5k6
Jrnl93WtPDxvSmp+Mdh03Fqcn9nHnBSBdvW8D+Sc+Zy8hFQ4vE5xhB7ZRrHqhBlgogSXUGzpIJML
WwXZ5qhr97CpDLeV4rbtJFTPUDQDO8TjsyE4TEHI0nnIK8/WwKymTSXk8r1b4njt8glLK+jG9gXu
DZPwvw0Et/LACEcm3liJEbDhvA2vMKYnE0y40ECf4UAMHGcq9PSySSy1HYHWru9rMUFaBjHith6w
xwR+cxzW+g9mG3epIsyPLbAEeZrHFNhDs3Gxf21NqvRR6DiTD0tB1+h3aHz2r1kRdX7QfMhvZOXy
Tw1geOqZt/n3fSfjJaSE8h4tQzG2hR2mua0BIf7LJoBn/YC8SAOBrbZwp1gI2PgWd3/aX1eRunDc
sMBkuoBKccnRTPMem4X5e0OEA2E3RPqjyRb36kocPdwDJzoouibvwg8mv85O8hfnLYlfSzQF+zGK
LchNj12B9QTGUz9zbCfwFqV1eY4Chsc+V+tyqUECpgcX0EM+Fm4OJwsTQMwJIeFznw5s+0yhfdYX
2LPyJ8k1WdqKFps5JZHm59qJdLzOdwEJhpxiFgC7uEDrhDMCm9HEzn+QEu48IOcVaeNmy9DOW+RU
Du1cho10Pq0dgq8xobRTXWXfonIcMA+6On5UBU6AvkIO1W/0phxpVxtGtw7ZvQU/wNLI/ZANKb7B
2ZDNJzpV+fe1zgHWmbJkSJ6ufAMYWNTs927G+61OQ9GXkVt+3mmP4SDDwnJsC+7hZclnjHDwsID1
bojJYFodqPqGFdeZoDeqdrwIcq6Otc2Rt2VK1VBIKcLWB7aX+mmvI3RMyG2eHtHW+LHT45iazlWl
TdoG0Pm7oEHtH5OaZlwmxCLptxgD2E8Yv9bhILNcFU/Sj/sthyFMgbcBy+UMJU/mWTshL+MfF6DZ
Tt6v8gkbY2UAG4BYjedsLPHAAWyWLUvZvZmmVokTXbTu0cpBbpdm86KPKZy73zYoypaHgo7krHGi
vImwpDeRCu8gU94FFMJzQ8JL1AwpVnIQ69Q64JkwHoojmT7SPSq+AA4W8oI5vngMSpT0bIPCmiW2
v7JfkMlPXwQVCyg2dtxuPuGjaNFw6Q+ejTwChxPZx9KKCK8+gjngNOxVnh3yuR51VxMaM2xWzHg/
8ao2tq8ifBcAr666+ZpWeZ/AbBziZlpMz0lRAJ/wzc4VdAq6jlsgTnnUpkMd3uWKTOJWeQ8dAYky
8DE6sgTm9nlAunsiJW2BeuDlwaQFDBQ9J0x/qwxxLGgfQGRcCuZlDAw1pOwMkNq84YxGbOXkIVft
yyGY8VYmGueOQ9+mnoBQenYzosH4A9/hVF7mhA5ZV7DUPxMW5l9MVViVMcUAr806svFTrhkuG7zp
xugwyY2HRzdn86cp0IF98LncfnMzFsUrzzKddvFW7MmtVvNy9S4fTW+RFIM3imRjDix1Kf/wqaFJ
C9JMDI+DjO3jpjV4FL02+4+UjhUDAgkzvYXZULUrFkweZAm4tpvnwT0Jwsz+thrk8/YwkFiXNs+o
BHODOJorddPAvze+Sff7bS3h12+t+JlVah4uBpNw1Gdw8H9Xzhk8sYj3ab6yFWAc8pVi+mEtrz+x
jIoPPSKXE3xYSRzpduF20ZUuI/KsZle5B15Py4vHA+qvmZTke82TNX9fxFypwwAK2v0sJVuvcB2E
ACbE2Rwd5jV1wOfM2sQQPSqzoV/CV0FF4bDix+ZI1JwJYOLovOgoix75CA3C4x1K/F2yrHSwiCjR
lhip09D5JV5tZ01hfB9FLPuV7ZuO2iRqFt0SZ9R4VBZsWhfybP0ApNNE5w1xgl/JAjrjSWbz+qfc
Yva8cZNhcw/S1vSwpR6LnVPirDxUY6NeQMRjU6uiQ3PxcA5L36diBJmEmE2/d7C3qJpPBxZtOgNR
duZWj6V+4zNYsy+d7zs7yGQTKPTl7Dukb2OrtfAYwFsTXFk8pA3epzM1I81vY5D30FqFxcKLh0M3
f9fDsI4IXfVqAMETAKdqDHjNYRpMNuIqVh5gdjk92cLmy0tjN/GvwNGAVCwIvFBNZxqt5w08oTyT
neAL4dzXuDSQkRVnyE8qfxBrMZ59RHLRNXC3ulNIhDyA8ikwD4xL8wgLnXKE3qxhsEJolPqX5Zg4
umzRO4Q/YS/DfQtFvGARxz0rxld3kDA8JDhBJVIvSlBUQL9RVPeO1iI935Vf8P+X1T5+A+UKvzKQ
5uS/GBM7TDrmKgK7u5VrONRlsj6N5QaId0jG8Bv0LyhC4vaCtHAjRacCPSl61rsB5YMojcjOWk7s
s6wbVI6ZBfqfngWZe8zc+GELYS+McLGbF1q5Az0/srkmf0I5r3/zUaHZtlMyok9fihfEmE/qScE0
ZT9qmUU92sloOKpRLdtLYaw8J+jvAtBHXoh2GDAxHYG9F/KE71KlgL5m/5YZKKVfFeZvdTLORh8N
3zzMhoxqkhO8vJW8TPCI1+0UD+5bDdaF9VsaEE2NOd1beJUEjCxAk7YYAWcJ6mDQOvE/Mu8UyMRm
cRhOa45lALdK5g6hcvHrPrjq966GhCHr+v58LFgC4Z2DsBoceLDJBH/ytPkRr2FIwGRo/t+SENhB
i0hgtXOY4/Jkas3GDr+SvVEVqeStWRA00tpUc31sVpVpmAlVHgjPnoFGmJDDVh5Bl+UMMH+MxQgL
mVZoC0HkcgX9BFdEZIm59VjLMY+7iQrqHwlsN59D5iHFQXGK/y264jcOsfd+4jFDehwCQMueoaTc
ochZcWhW8JoPDZatDnK1KYM3WQYIS+5bfZuKWkaXTCaC9YgEWuQjRk+6t5j3Mchnczl1YPOcvDZT
Dfo5xWgKrrpOjegNDgEAyDQCMAdfud9rlk1gfetlk/2wpAqTyp7KuV2MdD/huqBx7rmMnyD7pMiP
VXM+npuRMn3NwW/iOiT3B5ZLR7uSovW6FFDfjoesssDHtCBwLAKOAhcCeIotObzV0lLAE2NoXDuJ
oUGeGg4oKEmygJc+WrD503O1yyc1jeAjoS1BajkGE/kT/TPzLQZ1XrZJhZasW6BHfV1GTeoHZitM
QZEukOcAC+7siCWcee3CUll2Kwol576hpAaAUjj60DTR5G8RQiBvQltsRK1bCgovdwM2+DVVuzjj
mIq/i3SO/xapR0TFcFeoAskR83wteYJY0xARNx3+76/Va5rpIzHTsvx0C0cTb6YiftIbnaF/dwvW
bfN0TYCvRl6vbY29bd9WiJO5wCkEzEJuC5630GwOb9OY8+S47QRcFtqb/QFUth1OOslB24WE4qep
hg7n4pCFgjxSn2+yDXCAXsFwevNKQUbpA5/pjv9ADLj4LMAK0c8VG4/omS28cWNk3bWYs+yl8dM9
7zlnk7p7doRXM0HU31FsBNVnPmAD4zLCE+pDgZ+82rB5cRDg6ilapt3yo5dLFLUcw8Q91CKR32fg
Kh9L8AEWavYuUTB1ybeOjBoWRNgiZ+oagaB+U2ib8u+YBrX8lmdOVX+Buw+QCVQjyJsZgJDruB0S
YDzQIqLrpVZ8TfuqJfZsNXbWsM9CLmRmcI7TfsrHS5Y47TvoOFGrwZoT/6+MAn7QYAh6g1KDo1/P
EJjeQvwTYzRSTXMc66GoUE9nn545l9Mbo2r8RXfwyPBqERSChaQxAZudC/sLTiMBwRDAxY0o567W
Rx/klnbACiCEQD8O2SK4qhK+ns3WPCx+RTBehRAQKKTmApoiI6T8wqSAViDUFf9PgDczrRuBQvXJ
nJjw4Kcp630NQ1AsuqSqKyB6lxfMGrvuOcVmQYcswvKa5nf1gRlQyw+QX3iccMXgwJTLYomRhpuH
9Vl4mEMAG0POXCskSpvi0ByczS5Qr+u1XL5BzaPylzjFffpVysDDeUctr1sdm6F8Y7VMK2yaMVDY
Dm4twxN4D9Q6MMsA4VKdpw1WfWG01lLAXHhbS74AZpkTC+SNZx9gjnD0zxuj60dpUfY/EePOMYLe
z3yc75k/7M2m3yH1J1N/t8QakG7O5Keye7U/jkucsgtQFrD+8/+/SohrnuMGo9d5oWMGsYGTgX16
6QfVTrPDzl0jKYPnLoLcMyxhB3lBXvS83qXWU31IFYG1i4bxyo8cUAaeLIhD5oND7MdyTOYcR1WF
//lb2aKwQNXr+L0UbvwT+4HRFqKT+EvoqhweyKqQMwfyrtyOiZfy3a5+/ltLvoYerk7M3uQ+7w1y
zWoFn9BsgC1v2OEMfE0STf/Nka6HA7yjYeSIZcb4FTMQ9Ocb8G6Ka48hy6Q1lFisSDac3xol/bAg
6MT2sISj/+2QRr1vUNJbfAGWlF2dK8CQa55Habc2C7W/ZKXFm4lsA5FS0JQfXe5T6AqGsexmAXt6
uIgoBVOiOFmhHwiq2RCel4dhvGlepa5lE7y2uoxqgPcK0OQtQAgAZZF3xT9VGdj8wnpdfUeO2wpz
krX2b3Mpk6TF2ZOBuZ5gp3gLEiWxq8JWIqQU8DB5VKsGxK+Vi6pewtHS/trNEucHw9Y9fgT9nqg+
X2Dd1qcR4c+1XlIHpIrjFCN6D+altFFZduvqrboyF6FlWKc1fyxJtvseSehI7Q6ONXGP8ibjdqgL
ZNEo0DW9qOUaum2AxO2Oz/rbUuukPBpvkhyrUEr6folYWYLn8/wjMpAHAiLYcc0nCwXgCxmrBgV7
l+UDQZ/wRrIcgq+sgWzVAKfBwglRpT02zVo9ow0RP0F4ZetTrSd23uLU2bNQ+NUwx+DTU5ILAw8z
JeVztEzVvzJwdAkgXBEVDx4+f17R+v4EWSCKFvsxENjACBxGoUq6qm6LAQKIC8mBMEUUltZ/p2wI
vmVQh4AdtdJNHbpMSF90AAUiZ52PvVKLieEYCzevIqasBuERY2RqobtBDxpLSL97BN3ivEaSzoZO
lIOs6ZdiplCAgc5/VVg2Kg6bzfQf4lHGHtgGeUZHEp6YTt4nSYyybEdjTej4vGs3r+/jBL3fLUIC
3/tdVBraOvfhXAJV1j8xzuovULVz9rRx4uYOqhlS9BE611sQ4FEPiY3CbdTO5S30EE3RDsD39xuM
oda3oSiQJYYnGSXIbwXKHyJ55ZMIJaJKob/wvDXWz7/KeS+mK86z4suSfXzyMNB5b7Qq4TbuC6jd
IZeYvsPf35BDHgNxhZIprr8B48+3x6HEwdPKdWjg1beX5k8Yc0DycOih4czTYXr0MRuhkgKXD2Bj
1ZBD1IrXVzTp2dANCRiQzpd0frcGgdhHKKLX+JkNBpUHs+T6Z/GOPc8rifBILqj2h43w6ZhsSGQB
gQgk9tMv86ZbEyHLGXp44p+EDXb9rxDBPe9pZuoTmnuS9BvZTAMNY9T8CnIqMBDC7x+oElRFyX9V
Bq1gP5lMnO5ZGdhPm7MBrZ9tmuGAUmT1A8uo28AewObuYMoxe5ZRsf/GsWs9MmMy4fp0S8QnZWGC
/kjD3/O8NLGjVzntGoynmpunRO5lfvCkBrUMIzCenmmzLd8xe8+gpN1In1EEVNUN0Ph+SV+xn5mh
AOPv4NhnPqvhnRGRVQcKzAjfGd49eBinqT6SGjkTfRVi+p3Hg4Bb5AbJEdRDnFCI5AQKKnVavYL6
aFpiERwMJanOAD5pqFrRPtTDD76PXPdT3ch3MhIUBSgGim8Qx0LIleD7vcy6aAqUCsrmdl9Vrh/3
OaI/AbAidDceRwFj0UaizJZ00tcsD84fnBjh6gjDPPcXqB4WN2HZH/hhZyC4e1iiwTw2UWWz3meR
Kn6ddi5SyNVcMsA4PZqfQjNlP3bsV6RXUyf2iqEtxZmGU8Wc0jxk4WUC+PWb1R4J93KvMFVgzKTl
cdxN9RHgGM2e3BhSigmWLz8LH1V770pcEtTYMWAqGbWI+8pXG4CfgbP9zPZGYIWWZvQCLJotxyUp
2UOZQXkMTpzjSOXeA+UPgae/I5c30YlyTvF1mv9xdF7djfJaGP5FrEUvt7jbSZxe5oY1+TIBBEgg
EO3Xn8fn9pRJYoO091s7914AMls8pZNut2sRe/ycxXU/l96rwwO6/unosgTc1n3dPcaT5Ra7Pgh4
MmNEWF+kxAGLTrknkY7XxXOpozzfdMYE/zVhhOKooZrvzWmk81JW1mihkgsJ95kSqmU3XcTosbea
IfiKxqH+ryyd8Z2MDNznoeLjZU6zVhAskYypCaL1d0RqYg5u2FlsbdJ4dzWawc8SFV+3n6BxItQd
N9oZUs7gZaQ7u0XgzdRWSr9dNoizcsZi2daXIYsmudG9K978zHOWzUSajHVYmxvlT/fP+NSgjYI7
yaL6HQWPr1AjOHxQbhkGUMbsEY9lMORUuZbJ9He0BacNCU7xXWajsNxPyxRPKVht/pVVxkZFawUO
aVNe3SypJWDeGR6JlWrzshU7MNLms0HIiDRrcGr6hnxF4kx/y9U5ApD2nPJO74Iaivwp47FGXF5a
ABW9ljGSFj+UZFwbzz0WxrHlsXOC+RpCaYjNgNgnSslOmUVK0IzWtziRaEzzYIF0sX2A18eoyqxn
5FKIMvJ+EG/jCEcn05Gt9UxSQiXRV00lomcM3axMjIoQR1brH4iy9pftoKOk4x/MkdOhf1BrqhAR
D2mhs3YP+K8hDJOl8Nklxnz8k5BB9Z/ws+gfeqDoQtsSQLIzMdej0ynDZBsnphh2uTe77iHiM3iN
ktL1d4jgzMmQljM80LRV/Td1VmE/IMYIxnOv5tpcC6eNn+A7ldy0o3YfxUQG2XlUTvNHIvpGcuXb
dMc11mQeKDAMp7QyXnmHyGToKIBvrHcYwgLdMUL1jduG3BTu1NRPqrWi74nk3OQ/xIbesBeozn34
zEncI5gHfGyNn/yoMQZW8lCW7TSWUqo/3EqVm3gcfOtYLaNY0a8uqzwHQzbPh6Z3mmarURf6d5Ah
2aOJ4f/3s5YtMLyXZ/Z+7gXkvtV1FbUFXgkcxNb6YqN/rfcsFuFeL4U9729dJDhE1jYeUawZiMUK
0k3u5hgpyPPYmfkr79V4NWGct3uTmQ6CINRdhpPQhk2vAt8HCRgtTxMg6AaXfEL6l9p9ogj7rzl9
3ifpV/qbWHfuuaXphLVdkbVV9168yO45aMppTu2WYQHh/lg5qalmsw07ltxbAU7ppOEAo036N7qL
PfbaCCamDeqHPL61eyKKs/e0pbj4IMywXHI5ctSTCIE0TKsm/ykxRocM3cAzF54LbycnyVkIAdu6
6I47rnDC3+uF1O2g+57cGM9Rpibtb0IM64A+8WgKbo2u6t6cwQXWYVGFXZxuXgOk5N3QHKisU9Ux
o/H6Oad7t7rTfmkkM7WYLmhc2veFEPXLUueeA2BVcqzZHZZIKKllmp2t702xs7PaJPLvYzPZ8jA4
ZpLHVpX2spUDkzBIE0Bw6tCKxIWNe+7YBci4MRh7FcIs5VTfLEU+5iLtTP3OKdG+IMUv6FlFaVlc
gtqCEyqiQvAkxN5830hy3HYI0eTOLkOlWHfjll+lnvWX3y/ofdqxUafEbWGVeSLgwye+jf6pb3OE
mLr22/uk5bZIc2spwhThqM6u8eiUCIayxU8ei4Sam11l6CW4j0Z2oQ3lHYl3Guq8kYwbYT1uizlk
G60QL91BNyt1YIM1T4Hx0aflPobr1MliV584tvqBVU2pf3EEsIXofhg4yNcklpsANVO2Dyg0QndS
28o5GdAJWh9iTpKRJrBXXdbVTxTBk+0oS+PljbrefFrA7B6nIQtfigozX/YKqRmNdK0gy6pyxvrN
LYup2DeVZzvkLHK57qyiDSCmu3HippE57fChaOP3FeUEA3kSFqAfYkbaP6EbYJ9QCHNL5LlAZpmB
/y9iu9ouY9YEmylYxispD+28w51e6s26mgWCYBxkfS8hj9q0TFyhttVKLWy68rnPvNfVMm8hX9Fi
DFZoHUZOtXHfU5RT7IvVv2kM5il78OexBZ222iJLO3saP4i41k+T0gNrI0Wn5aZFeh9AWWKUSYOm
KueNV5lmPU08zYC5zZJ9BvzIR8+LhpempytqJ/kgYAyjEaGxriPdnj2QknuQLEOmqH9LWHC5Oq56
Wiuxj4s2IsZ/KWcsOKgf9SafbVtsbz5+aFNOze8I04C3C9thqghydgXruJnpy4kVpbNp6SvEs4nP
oYDIsMtYsUdEUR0aHEPcTCNerLGM9MlkgX0nXRMDrTk4GXt0j2AHgfLCix1hwsLbMIlnOtt7GLZI
9pe5GiNealCq7yqzVbgHgOa/yyou1Q3gxPAyMHdkqTck5RVAIYh35Rx41TUKWvMySc+eP4RX5O5p
oHoy+ZZjOJ/q3tMWZH1W2D8LTJl+kJpIrC3qd5/Ie6eqh0PmztXBRawv/jn0U4W/dmvPKkUYQECq
cHuHxvC4sx+pRACoa9c+eFm11zTvIWuyBo4t9e1RX2+PTLs0QO+Wjg/8lt5yxAlhzrXX5OEx9GoX
kW20NjsHRGze4dJtargn8hlPOTanmb9Hw7ZngHafeS45WyyU9b8y9+0fMgcRH5HPG14zPExA7UuO
g1EANSUHMwFrbwwZNAM0bW2QkdvC/wA9c/SuJU59hoYdg59kaLGTIJtEPe0giP4a2tb+k2mdhPe6
HlfzMXHRfXKNrMnWD4mt26DmyFtInSb8xhkDTKunQJcPIxtrvhNOVy8bKr+tmK+lmo5+C12EIqqo
wq3sOnAP2bf2iy7gOA/8MighWVjajxpJcL8FzXX7nUsbk9ixCNT/euyK4tcKM/lTSRQcB9FH3rBV
FAY/ByVsm9Ar+78HbBIMUM3F8m7zWFMYXFLhvEmSdb0KZL7Lmbe7a9/LOULElU6jGv8Ak3TDwYcg
n1lQ/YEqwjBahrfa5K54HtqATH0ThGjr/TVp/maN79x5egIiqiIG120Tkwyf5RNosrPYznJBgliv
G7HW5nmIJEYP7s7pLP1REs5vNUgkYQx5V3XicyJ7pubs0WYIH4uwnpGyW3l833tqiG8PzADTY4er
qDa5p5PisxFLLlJGSNoYYG8c8oVKvg2yoPJLiaRQn4Yx6tCy9yELQRZL5lDKsjRjctss09bycaik
sXH0wsTiMVvwS7iPM+zScBhLe37l5dLjUYhB2Ieci+8IU4aQaugG956YU2f5HqEPsh0fMkJRn3Rq
tE7GtHdJRbDJ1onYh04zVkMfxQ+1tumsZhe1mHDW9e/gU0J4dam4yg4jLJ1/185NvK/F6Dp7l6jU
nwm3+j1QE2LsGQRoF4gb08PHa0MaR9P/j2IxFmDNyvwOdry+VRopa+poU7745F1NW7vu9dVa/EUd
ZFgD/0lrakjjDXIwOm/lRafFG73Ali56NW8qxw/kt4z6DgzS6bJfQJYKc4nbjdW+63GMbKqSh4wJ
p8o/i9qGRGNmnZJNI1fwFhGBO29yhWDlPC3gRKbpQWlnR9jQDC24PHuhaOqjgMvyHrU1rVdMFrjL
piFcLjU7OleyPRTc2r1dDOmKy5ppzW8wU5agieHDPGLywG3HgRB3rv2MMGKutw63c3Q/tlp2p4UG
S6xlPo/kjv1qvjKTiioVJbgxizVuRLBfco7RcCWe2aK/tf0tyW2Ru62GfHyNBSPz2akKFiVvsrJL
y315sr3QfLR9Bifn0TqCj180CNCGmJNin1mu/TFpRrS0EZ15CXDlPeKEBz+RY1Z/WcOYvdpAyOBw
y1CpTdfp/Adsj22qGoghebOZCf6zPdBVoDsmeSjXenns1mXkoa8wxxxiW9rhtuJuegJ2CYC3Dfbd
QxxnwdviCWm9JcLLGIebKP5Qql0/FXMjKou1ZOoag5nQDlsSsGyNNtJC7TT9Q82DWu+iHAske9kU
lnd53i9wRvxOgBIUlp5BSQJ775vYNm910ET5ya6H/Pb9NAWWkWL2GGCZ7CBFAo8S5y4qXwAjs/JI
qkTxhT3GnsHhpIY/DLAs7TkjpLzKxg4e6M4p0Y8SVfjaVNL65KuRywaZXPOmbpzuRnl59G+kJvlX
aZvx3nitF2yHNdb1j5GDCG4nqDspSOPWftMuJXxntM2rfIF/D3JOniEGuxHEU/1o3kyYuizsGH9F
4TCoVba7IY5sRJC1WDTGj3FVXbJo9OZnpLfe2WjSGgmOQ1lwlLK1uqPbA8QzvcbG34MilCjGJxRD
UKkigZHW/vdgezX3DGlZRLoV0/BIABIuT4Et/bUvbfs/r8+Xc587FaBmDXeORHCdH7H+tk/I1XIF
rEG+zJNf+N1bqVzr3TS19jaGuePq9LaVHdvesu7ReGbDmyvx3W0JKh2P9N4DYlvNKJ6ZEr2Ory8f
3RSDt32JOxUhy014glIX9InIgGC2j1FjInXwynzpDv7SjfMuFwZ5aNwOgXhM6CktvzyV6OQKMDCP
91ozXG7bOTwkFmkeg3H/+KtwX6B17J6Zu1+CQ5HZbnnsMTaoG9nl/lKqkYGhtmJ4Ah6riiOixvJa
LetYPAI+xEVaruH0j3x/jqcCt/pspcT0lWbvl06kwOlkuW76LOKGlhJ32Kb1Sz86LDNA0zFogqjd
1YvnH5qBsvR9kdOn8eUSHVkQkiU0nLNAOwa+BRSwNUuMyxuFAyvidplUUZ3q1nT/OLrz19UbrHHn
1AKqqvV6fDKCduZfiyn8gmx+mS4qYuvd+OVEyJtxVm83uW1QbbsmFvF+JQISN8UMYl9XfK40pnAD
B8HSjNC8jYPR1ckc74RTvfxAQxJXmCxjuEIGoKx7tRZLfuPZgP5pAUYJBlhM62EU0fg8S6XUpc47
h5SmgULDw9Tj1X4nrXsaoMLAsOHuVRkyxAc+g3K9IA9qfNpTENwN/+Wg5zMru6zQl2NaBh53LcSJ
eAyQ5HaOy6+i57jcU0zQBiivxyQHK7PxaTGOmk+IxfqPxyXg8ICxUCNCFvk+6IjFvSkEoldoiOJh
xpRTpLLufHWIgxbx7RiuHtR33Pp3DpP5ryujxdmvMfxC2hEU81/Pel+cIOeqf24ZoErMx3H85hBp
ZzT2jKF7bHLqb+mUUYzPhUMnxePm6nRZMcRua/ZCnDyBzCCW/ST6g022IRekbGIHJqlR31GEZ1qD
t0YbwcB3yfIhphJN+/o/RgE0ZGryg4SUC6nkyUMp8SwpqeelrOc5AKes1O9o7PjLN1geCEaC1HXz
mfc+sXxuxrbv2/igFxtJax7K+RtaW3RHxHPhA/7zcrmuA9KTI8s8BCOh86vBRTnYP/jOAMfwKeTn
xsZLghDSqevNXHizs8PAiikzGsL44oC+1ft6TbAakkCAxs93YvdfuzrRh9GteYCnBSKXsRzfBt7j
hrc8bC6YYRC7SYNLSjQenIW9VOV16j3f3i997nOU5BqlfYG4+2wF3Dhb2sL0lYTw9jsuHf93abvq
si74AaDLfAWjh+nxl2I379VjL4UtpfbI2pfRQPlWNYIyup5cm+1oyP9Gr5gjvuEXZLdFMrE+8lbr
/1A8Ev/fS5ioY+W04ZEBgCAFqSzcSFYv0SGSFim2Ree5wVfCGmW2Ig+ku/FlUixHb1jd8TTVlTzL
wC6LTW7JyD/CfatmkxM1SHyEstf+M6ANwzkhJ4d3J92gQbyEYK5HCsKDn06RnO/Y8srk7LAi9fcj
EuQnNftNSBJBU3Kfx8y2u9gmki8VYlzuvekGwThiSqLt1Ps+/4gVyepPueJjOQCM85jHlWPpZzKJ
fLXxM5FcCsu6AW5ZKK4BfYr/bEQkNv/3MrrYRZz/YRNI1jSasjo8EdUm60tbg2Y/O2VnlSe56nLd
Zij6EbhK6QARYXOJhGirR11NwkmBadSfJkmgnXwpYREnhwbC3ZA7Y7GtcJs/YALFrsha6WPWDqf5
Do8l3HvE4OGmrdsYJKkmIpiyrxp/3rrOXAVcmpSVbtrejHdu1pc/bjz46isqZufvDC8kxdZuukzu
8B4VDzHwVn2Y1JKg6qMAIdkMHNRXxBie+x/vU5NdmkK5D5yTBYezCqbhTnEgYGis+fucuxpozTtX
BFGJUwAneJ2KYfwboUb6sdklnweyFf3dvIr+M+7LfNwV/iCnZ4nge1tgu8W139G6KGMTJWfKMvOj
rZoJ1jPXxa50yQreRiiq872X+XFzAnOVHa3bCacvv7+eGbem6s0kvT1c66oUl4hnZ4G36sAaspHa
i4MBBCYwqq7qjYOiHk8egfDvznQTPqJET95kjI83Daeo+5OPhX/joAWlYyqkBm+TwCKXqR9U+V8l
oWRQT4B90qcBXbHlUplflAh5v0qBHTO1ONf0KRPZ+Bkwrz7mTq2YHnx3+gkcPb3OgvINhkzj7RMs
Wn+ELvtmi3jMOtqyr/7GemAhrzw5pLBZLhnqSJe9bQGJPe4zvyzUlvJm+xPFk/prBaK/8ER03IiF
iJ6btrSzi0vxwYVYk9k75TFp3HuUs1giiQkyz6Qht+sW4x6GlJY8kezC9oTkJmog/NMF4qFPtRsa
jz1IBV+QcklxdHjsuQKrqHkHRurHuxx5Xr0PKRodiXu05S+De+BRVJC4NreUS+o8bofYP2o2IGx0
faewhLhz7m6EuKnVVCmc5o70uXHaV8ngweDKWj01sJBAQ46IkfXPWbDeS8EIzTxjQu8kOzdRTC1u
le2XAKBiN0WOuyezK2YvhoNAHJc13abC7ktrZzUsuDwX1zpNEwPKbhqgp1IbfARFAYUVBE2Mk2Lb
IilJX4bxJgh3XW4bkqT7CDlVhg0Mfaa4UioLl+WJWRNFM400pTU0dO7J5V65a2tyX1Ii5/Sfaerr
16yXS3OuF7lc+yozD8zBkJWe7y7IJnu/u8vQjWKxtrKeIdyzzNXF6e/iqwrGSy9Vsr7j/l8fInto
C1Z/F+U0w6wGcFtjjOS8Es9zRBDS3gpXsoD5VOKIiBdOobOIue0PwdDU096CauSyRUgnduQYNFc6
f3lpufr8Z3ZlXx6zllQTMrg6+anrLLqsDsd9ymDbvHeeaO5HYpfVNq+zYc8WFmNkA+Q5MeiiYKqU
Ikmf9rJ4HzCGhyy4KoS2jqJu/WmVj2qiXYNuO5RZ9kCgyZDfARUGhdjoxk74s7rx3ary4Nxi8uZT
hUI7zPXij7seEaFJFXApwHwZuc2PO1EwcDECw9uYWqU/q4+aiJX/ms5DPWYNzuziaSfyfhr9YE6l
8lS0Z6Rj+BGECFQp2YQddFm1oEuEoHfyXTNm9kU54c0qhNFPIKi3PGQIN9XjppqRneOBc31Q2oGk
wVS38xJsoxsMAzDjZ/jn8KmvaYcSaXiwFrQi17aKwu92aD00+gwIerf6c2J/cMO18XmmeG+FOufw
TYtZaexhc2ihhwjEeg4r+BiZWtM4WPu2YyLcDnbHCS7RdG5svP35JkG+iH2Yu3Ezl/H4AF6e8GJ1
zHV7XeFTvSWYz94FORXl4oADHZLDUuifLDRD/oZytOj3Ac9RthlUR7pQDLuFub8yGuctBsLi0WRu
+4yMaMQPyy4Yb8jqSP7zJxNXp0gV408zL8W9iceQUJ+2Ca6WFwTu34ocJNTRBUqVtIXdMNvb0M5S
UFQYD/W4hBOJAdPNRbbk4VNoUwXApW61AKGu6funpsI9zw+T2MbicC77XVx2/nN2s8Iycdt+s2OH
9XEn90gzcDAVyn5CXIE0brRz9XDzHZ3mBqkH0EoDwtHoAntTl5Rdz+oto/LA2ISvwQuXl7AlH/XP
kuMAG8ckbh4X5RfyVGSFlv8mC9Q/xUIBua/gqfsj+tzoHj37ADPWuXgbEmA1YKAs4c1vkA4+wf4z
2GjXkPsTEsjzoSPcI6m3BMsrWLj/pI2ev0tY0K8wW1vvwavESpgNGzDgTCsbpoCo/nXyfPlnw+Fk
6bCa/qXiF7qhIrC/26rAncguVtqfvYoy10upaIl5NQV/7Qhl1jYJROmgAkT7zEnQt8QdbwSRGTAS
IBk7J6c8qEC0O+xxDtnnfA2dUh04M3Rx5ii5NcIhYg53LjpCbk3bW7/RFI3rlgLmOD5XFRDkxvf1
fOka7q9d5VZ5RziVq7yXsO4KfY5lZv4qmA+8UASqvN8crSVRCuX8wInIvBWVXM57XTTAzrpnWydt
A53FDrVV0fwprJYz19hCJyfRT85TsRC7eHR4b/I0X6rxwTLJYjYJ0QssGUHP5N932owb9nqso3AC
E9ZNh/BhtP5K/nMKIgfTJqmCYedJuqqI8s7xhfGXZMBfbpjfDYi+viIIDUiBsiB53B+iItnmZKWU
G1GJ+VHRGPBhNcvavw4eTwhPKW88qtC2MW8s8MJ8RCHSdCyw6/BmEdPzAdRz8+53hXrM8oq/BprU
3JHM0VGiQ1VZmyZyCF7IJSSDYCrFyq3Aco8eEuNBvEmEHV8TZ9AYwGfUviO8Qan6Oz/yYpQaTj48
elkU6r1DRsUHZZThXz5uLzj62WqzsPf4Vve2rubwiMRWnB3aR9XG6wMH0AxwgGCoAbXvZqVmHgKc
tTe+T+qZdXhUMf/sEoZLfOnUMt2pPO/681RmEQxaTEzMBhApBhoBecACy38CRARHr/b4AHAJjXRP
lRssIAYXV2Wv05YJluiOYnF525Yxz/xt1RcIdI3OkQAApTKytsQmoxUgL83ZzfiBDqgtunBnYeVj
KADls7cYLN0mXaWPmdxTrv3U9RlObI5ItcP7WlgbY9AobMp+XV18RLHQx2kKOV9ErXLxX8NuNZC5
Q+VsOi5T+1Usa6KOaPv8MLWHLn8twzF/GzHBw10GyRDs8lLqv0BVfF5xUfVffW3bsEOYSqIUH5G+
g5aHFRj0QhCX681FfMBb2P1XGWKqCfOIlyw1pcT3keEUXfZGjdPTSsdsltoSxS6ZJ031QqrM6hyI
Z8eQloV8Dec6G92p5lyzb/HGpM/V6JKs4BzjDm7PZR0RQSCZ5vsDW7t4WXqO902Ohm3gHwBK3kVY
+ad9LQldSeOSMLitVyTZi2ls4Vwd1YQn1ACm3JCzk+9JYK7q4yKLobwguuNC61Gy2ueEUFuVwpwN
+DMS8gMRJYUH2Eit7xwC1pxNrEf12k9+8upgovb3mhfnZnpX1sG0ZZcfeDxvp7yxNKe0aas9rK5B
PTS70UcfNsgM+9lCwDT6vJOJcf3D1Bn0GnXpNvFhVL0JtxOW0v2NrsXngv30hlD6QKEYHO12Pw9T
/Gxpheij9OVQbxO0+l8LyV3RtkYr/IwSHbYpw3GMFJ3qRp2a1g0aAlEKNMyz1nh6LJiSBJEptizG
r5JFbQ5QEGIvmsllu4kJi87pRDoQx/Yzcqe+zWolawABkttdJ37Wg7Pin9gRnmHl/Ny6Py5YpqwL
EK0XbmZc6BPS3Co4ZRhUzbaWBYApJ8eUpLjX/n8Gd3H52AgX4LODnUoduMbsMi1G2ntTu2QikI/j
+f/6yI8f4m7QE3Q86Tlo5kTfOinu5cjelFlinvjyxhoyQ6rvhB7gzxZBT3SOvEzYR6KSl4Sx2XXl
nTebNeRtC9w/2Luid274ytkZFJ9su6WTfDvacl4IB2D77dUEztGg7NUYF3+Srl/dTUOcjDmvWe7k
B0Ds5F8btm1xcjw7J/gcEN7aTJ5p111HAdF8R+iEV24ZqJiDGzXqj1VnfpFqK1YYmK3CQcASB8zs
FRqM8eSEzcDrk9TNvPcUJoJtm4Pu78KAVA/y9ijehf3PrOiFpAbMF2GO+na/Ai0C6gWzf3KAgFuI
GJ/gtYAsxbOh8TvYkDdGzsE89zOlfrYfc4QgWHwS3Sx8+GgDzl0gE754McZ28mB5RbcCxojgPtea
/5Kwkr15oSXLI24y9xuyiGBOxrOJGE7jursF7M3ZhHHfK3iuAPNwNVbkzRX4ZLjL7ZHCqWC8ZVAj
HGbgi9B7y5QIYPnrY+9S5yhgNtuIhqt/R9tXdEvxK/Bp8l4lLP3kj5g3hi2+JUVh47r1l8gRX3YX
9jOitZZAlLxYm0cvoRLyMDMF84SDCzTPZHQqsMrVB0uoOBY+rRrN+RF5bE+eZBMBKNI+ItFhSzfM
8BpHNl/65PBRX2sNNXFiMKE5nW1qrs6IduxbY/RYET0a1EWMrzcmOAFTNvTf2nTc5BwW63qJaiPx
ijRrHT9gnR3kAwB0+BV1UHKvFikw8W4Bt+MHWsi6CLZYW6xRXi3WQ4hDFazMlHn3nSB7PDeYt5Y7
ZG72evAmfMOHMdZ6vMKnZlejwurblkNfPiMCR7fIM7gAUeI0ZovoPGpMbDMG0R8PyF+cccyVYts3
ORNFxReoMHi6SMG6Xg3WuXAz+71aqO88VmYWr7YaiDgYlZqwEVQ5PqE4LusLH8z4mPRKlTuuH9V8
i56ZZ9db5dodTFAu9+jJiR5fHB1+FhXywpn3m9c2132BBDbK56u8qStBoOJnm3gq7L6uJ/YdaP8E
5QKB8CzzEPEFPoLK3FWJN0d722rkYbXZgPDo2h2RFHwbF8dpx25DHloS7kbhj/F+JEsVvX5AWj+2
C2HkafJi/UX6ZwtF4cFfHeVMMuRu6llsjoJQiN0ikkFdk2CQn0G5Vh8xkYHsQE62vC6rEOrOnZHT
7RhrYneXu+iXt/m85tl2iBdUmAWBTLwbOVotkGUHpohFEH5/jl1khA1l1QXxQetlJkDIHFSSV/6G
z68a8fbmMw+r0vK5tsRkvSEvpn03EXS13UV0YmY71MdFAmdmsyQ50yTrIztcpe97q+sf7dlrx904
TGOJSkEUwc4h/vKzQplV7qM+GcwBcqWg3DZh4ZpbF5UHJEnDRbhaYtyZpGvvPE+1Pjky0Vof+mx2
eYsDVLzsHVZj/g7JjPqqDcgAxIKexIcVOWORsk+47JOr03iEP1aD+pi5k5B7ONbQpBiEJOwZmPyM
y8oXDbEXkWlTJK3e/Mg86LYbMiEBcuNKBWdXIPA+jVpN5anluwAmQPra3qEEnabdiorpvorHPLhO
Q5VU99NczpDRVT8fkI+WP5NlRTalXYIvzXFX9wR6RtiTG8rbC95bwa8sxm5+gPuN9L6vmz45zxZO
QMiDCRM41NqQ7xziPgnC6n373VKBAQlZw4HrP1oAe8jNEdhGwzLGrRA0N4+aRTVRPEibvMAVNhLk
zc2da98m+UROWRgFu5acb46Egalr77RgRiQWEcy3etb0g1oj+K2Uxn8dNwLbsafUco/vrfhhCmmb
m+192CbTjP7vdpZvWX1mWNlizp+VFuC7iDdABG1tewKSTep/5JWV3yxZEEgZ894hAgMo7nCL9ZRv
oz4ztHIMtXkpJ8VeNxRe9lR1jvqZBvzHJDlgLNxVTk/1a9GsgBpO7JAJH4F2JmQ5uMRsxRwaXETY
G96LplPxOcuVeV/lur4QokH+AtP4P8xSisMnot+YEIY+OXo96i3Cetbl1a664CZmWFAEhjxdT71X
iCOVWvkjaxMEVDhgnD/XQc+edEsdUxviwYhR8LVjiTQeRic6tUOlf0w3YZF0NbZ68mg7vEsx6MNy
tHEjtO9tTQjt/lYQ9jeo5sGcJe/uAbdyNlzmQVa/IIq9jbiM3rMAmcZA/CgelN9kxC0FkofSl/c3
Z/Ae48brdoTSqSTVXtYcEpHk1EQ1ACHnWYjagfRbXXDbAKcCqpm2eiCrLK8fCKnhKFZjxZQbekC+
265mZbwtsWN2jm2IxZ3trpHa2TohszaQ+OhSnzhZ9Jm424cHxZv2x9fJ8NNFKrsj+MdG1TwN6EH6
tnNuOfJsNsz2YbXu1rhwnsiBRvqkk7p9Qh0Bxd3zNR97osAg8NkR/9jo36stMl6CnUmOJX59zVqn
2lmVF/7yZWlnI8ngLk5+ObugNS0xiJssqKvgwlVn8gN5RH5xwEXJV8D/cjzGQtbcTIEX9XcZkuge
Wn7JeAR7GX8UzCj6mNvEWDtSWv8CO6vW4ypN6e5nYVZ1c9M0TyhewWL9yRr+2iQEecg0hvW3aYjZ
uye+RXv7YrSH/wiyL/6xz8wPJdLGJ39S2P5k7bTvVex4bxx6yUNpmuEzwSdpdrmVxFjkGx+31uR+
5AyS78H6P87Oo0lynEnTf+WzOTdtQYJybHYPEQyVqrI6K0tdaF2KWmv++nlYe6lg0CIsu61OfUgE
CMDhcH/F1PcbHx2EhmfaFOFujg72KQbVBCIuFDrXuRib2o15Z8Bqt21Q/03RIsvs6Z7xLgFmrxBC
o/Y772W6l0kfqv+EYDS/dq20voiiwy9CjRA74rHtGy+J1gKMyvHw5ZqKzf4efSxTbhMKE7n4Qkss
9U557tv9LqXspW8jyMvVniqX8jJ54fRVE1VVuRhUG18ok7PNMSXipYTwbPU8omOAhAGCLbS+gSO9
030K4RuSGI1UKVPDJ6UEj7lxGj/vd45iJlTO6AW5dRXaLQ11OhDAVbX+pz5GyTPmvh4oZ64wlKo8
vQY45+G4vDWsfoge0OIUr01HXqB0iYeRbDdQuhQ2fbbesDJl6znSMZ/syVFR3awN8cWE5/Ae9E4Q
bGPgqBiQZrjIo4XltUc6ItD4s1KxP+GkaqmuQg64p5iJFlGbdIiNYPI0BPuMGw/cAFi8LeyoKtrB
CaOOaaRIsf0N3F7AlUNNBPZZ0dK5HuZWREaTF6pFAr+onzS1OQTACmZFgDrhzRXSA97UBr1BlMMA
j90hX6gdJAau5bvaihB8AJ6jaIdEHfBX8ihAStDhhZl+bE2ks8A0M/b7yqxn6dyUXzSWVfPDDxHQ
oXHXq8UduVT+EPWNisDG0Bc/R1MRDxo1Gkr5NMgfZawV7d4eHZDVMQdWPlAmnCLXkIVD1JXc2E/q
CGRiN6Whku6LpLU/8TbAlk1UyC1uaCxxl4bjhIRfGVUNYjFkgP0+tSfSbk/aeTX3lv3QNXoYDa4e
aXObVzG819Eck19NRpb+y1DJ9/YokartfVoicLNB5A+N/K6ki7jRoyk3dxm2kT09BkonmyDUjdc+
KHL6DbZGbT8qQyjk9IOKH6M5pQPqjHHduyFk126DGllp4EOvmT9TMH731ViLXzOwyN+oHW8Cog/V
h02LuuDMOQKyjyTs6Lyoqd/Fz71it8F9WBcmRD5I/BzHCtJrmecRtKjKbw4ptq8IiupOwvtTmaZv
ISUdxO/ySt3nvtnolHRsHXxgg5Dyo1eio7PBvb1Ojr1lUNGCjyaqjdcoxkuIXPCPxkQTGQkXp38X
O5Xnbw1ZE2G9kPO7NwKgCvukMkZjM8oif0Jtl/69gj4L+rGD+GTWsv7WIEMOokYjDT3YZid+RrgZ
JU/ctvkTZCasu2tPqO1OqTwBUDqBoMgE/Ij6Jyrdd3bfRB+QP6EfhWRe9VroJQad0IG67yh0lfmm
w6DxZ6XnwnORnaCRgeKZ/dwkZkB2QLRFy67Uo18ORxD1X62L6DrpvfnQkwDDUQpa63uKhG2H3hTa
OZuEp6C1QYWJIJAlou9h3Ffw6RzarndTSbrB02sgM0Cbx/xh1kC866iqvK2WeNweuaysR9DnEFxA
IjmfwJQHR60KUeOp0h4qcmQgyL1jPYCEIFjeANgZbGtuswWgLVRZxtk7kRba9xxMQHFyEIxM0Siv
xQ+cPRS5Hf1MQhnNzCY6CNDqT7o9pM3B0byp2yYVvc3diJOOOIC6G59Me2ihrQy+OrhpbBT/JL4f
fvEAMr7qpjMg9DZUHKYfuBmK9ID2U1tvzFT4ArBN274P8YvwjlEVx+EJrAM5NSC75mTruYqIFPDx
T0MW2p9spPXJX7puAPaSdqhMq1P3T5hKsvWpqUHvJTpPTgCRxofJ1i2KmchyQUM0sFqhB9PEwTtF
UY1XxUngAiuxnsxuntS4WxQMTLASaWWCJ6bkNKcB+DvnL0YzERSLAqYd3c66q/dmlxlfWr8woZdr
k/xgTgAKcUzwxS6iTw1SA20Njd6zzuuUMxQY6I1CtHCBI1uQLgv4gRtBQzTcqaNFmUnvkLzd+Cmh
1Q2oge169Jlaog2d+m1nAfp+AgfSoFdGEwhlawEJQgu3jOWUO9H2cfLBR2nEQ+Z6oPkIdtLpdujt
wjvwzHigHefZY3rkQg59l3KInhylBE23K7ROfkP7twqPhQgAYwdWIx9Qs+9itwXBT3TX8YNgsyny
s1r55gePt629k6k6JUCUoLe50gLL4YLaIU2FwZg/DNilfEzBQ3xr80rJaP3Z+mtajx0qGXCvKU/4
hfoZ7fnkb7urRqYPyuvRQYqiwkf5Pk7Gu1KYs4kORfhfGbF1BPGWBzZiil1BzR0JbHw1LHt4Tbt2
+FxOgN0VO4qBINdTd1+FAzVmqYsQLVzw3a8JODztfsCDAF4YOdYsKwDN6oAnU/WsdhobpAdS92Es
ZI5dYc5XAjMEfRmRxh48FdriUDBMkJzKHoARulINJogvyM/52lfDrKmZ91h/PQVE8e+66mvj3owQ
p35UYJdQKx4dOyK8ovBOMTCV9rOeBNAPWggc5W7SAmiVUTDK0fWBYJ64UdoEQdIc5HSt6MbfbWq0
3GQJl1MBh7TdhFqpxOSTZnVndqHjuFEWWCQpKMTInTU03dfJGuVHNRgzza3pyuLR1ZU229rH0M7l
S49UjzNINRLYUXo/GkIKiiyO13wJeujbD+Qr4x38Za3ZV5Kavk9IgGJP+x49cOi8+TPYT56otG6D
1w6vUBDfrS8jl3aQTWHeo+bh8qSKPyvofZRbJCtHa1/Q4/2cBbU5ID6jDHd/lTxMeA3RZbISg1tG
5Ah1dFWJiPlfZeD0fZklONHYMhUPFT4i36QaRFSBU0HvpPPgJiDNXcrvfgPpFBoa8DV0Cnr/78Kg
o4OrS0S5L0vRaKAMIxqALi26gF8pjbf2c1kFWftIK1sjh88r3/ugtoOYXC2c9BNcozCFaVMG2eYv
p5dyzMjtXLA10T19BQfdcLZ6vP9LLahYFBQI3cDyzB/06prXTEbhnEABwxIwkz/9NU2QGUUnYf+a
teaR1grAigroVmohRWru/4I82TjC8pJdbmqB3AouzzsRY8JzjMAwjzdsoVb8jLTZV42/YgmEKmbP
oT+csVThI+4ii2YLJmlEacoA5LIf+maQx6H1k4cJjN3X0YvHk03hwP2v//yf//c/34f/9n/mz//f
W/c/WZs+5yGVr//7X2sWQzq9b5J5XReOuvA67MlpLGIdTx/YHUCXkKSlnOfcXx9lzTYJqTwdUCMI
E8deWAD60VhhGcTrSdForqLC+Etpm+qJd8Zwd32k2UPrzEGYOAHqXBeSt4/BBz3/mH0U+DmaWljK
Vkp430+tduAy7be6gi+Ekcp/KrNH4ByDjfvaaL9fH3yexmLweQ1VS8fq1aQrfT54GXR+DA8f74is
ik6FCPGrRKpjX/sNDEG9C9DgiZPd9UEvvi1dPzp/DCcA1GnOYgWnseibwAD1NtVt8VFIhLGzolTe
IYcfvtVTkYk5hi5tib4P/mWLZaRZNjT4G0AwK4p6n1lO5kJVbdzBw1XprbPSVWoqqmHpKBOaYmHy
pXtaV6CBj9ikZb5UTpQ8DrL8padd+vT2gXhL6rjQq3xGsTBlS1TTANiEWgA6ufVmoCLwTiOq7umB
w868PtaFARyT0W1MIB189myouuf7A4Ythiupo28t1EbRkh61TSxzGhaghDcYYnRvPdzzeM68XMQV
Da7c+XhR0fgInTFeBRr/gOajstPbKX3/5lnh66k5NCkEpQ19sVRp6U/c5jYJJ3ZkWy+PnD2EUZRx
G4H4iezNl+vjXW54pLUtuL2OZtERWh5xVYEHmwoweIlo661mmDRzS+SJ9N6ePl4famXBYFdqBvvd
4hvqiwXr5tJAGmI3MWWJ+RoVLQ0Hq9B/NQgUHsCrBm+Nk5aO8zlYPsoDHDBtnvofV4GCHwAXJCg6
BTHe4+TnZORAqLbc3rf8GFe+ItsCCzskmnTYMYtVQ+OgmYkLCM6gA3rE0IUTQHVmC3etfasNIbMC
BEac4p/Dzj+flebBTIFDNJ9lvdwoWihOHgDCSon0GwFqbb2IGcRCoLZE/8V6FRogwyFgKhU4Bhi6
PLB7f4gOgdGjuDaV0f76/lj9iHRNddM0HD7lIvbi9dEnncNWzHBBPgy99F0dz7BDU0e//sVImiOR
GrGFxYV9/g0h+eOdY0EMjyva8lPre7sqx6A+Gvzq30xKQqcUfELTkIuhfFJ6XQ0HolSvoZOHUsDJ
8KBdIPxg3XCNvLyt2RnIetJXA6CIp+35rICSA7rxkBRGCycDzNyjmrP3ycdpyGMX+quvKuB6jabQ
BZnAJd+NjuTB+y8+rS1sR1dtW9pLg/acx3tWDeg8aJ5S4oEE25xiZXUUdh/dCMi//9Z5hgB/WWBi
YQq6v5q6SE+EnzY5DTG5zaYs+KxUdHA2zYC1UQHK7J0Ikvg5rCr9nuZY/YAZnnjHlTvtaLXbJ6A4
1s8xLrqfwLIzm/c92Cy6+/ExClWKuwr0lxsX1nwyr/3cxfooCjDV2LTlNqZf4WcBHVhvwPoAo4sd
cu1im45NiNYwQiHX1+R33nltZO18Z6CMAsWlZ+Qa8UYADyjLpfY7k8LZtlTN7t6ZIQEUCX55lawe
RJgGx7L1bvyKteNN8Ge9zDlw2YtwDHlIjyToHph+aEt6IRrjNXD/EyLh5Y2h5kN1MV8EFDjhwIBN
c3HoKLlELdQ9fes1Xw0wmgeaMhltXXRkC0SErn/dtcHkbCwK0gP6g7bIeZwibvRZ/5a2Y+ar21zV
iwfFiqqD0Q8JtXgd1tmN+alr39KmUkBGopmWtnQzduBYk0XgwYmAS422L14EILC94mSRrp9G3L4A
o2jmHrnA/rngpqDDhSfAjtJI9Kpojnk/gvouXfgzYl9SLD9c/ybz1bBYAEjFKvIpNrU+rpDzDZfN
nz9HQgtUHMRKuwRvr9N6210fZeUrcC05JLRcUJoQi23tTQPdV2QPtvUokNTVEUixDG0D937cXx9p
JbQSvlUudo0vLs3F3k162YG2I/ejO1SdpiDzTgXdnS1llLkFYWaHrlYDtCAd5QHnkOrtQZWEmlhn
UvMmqi62WDrA/Az7wNg6Sq68b0wBt0KMRf4A5Tr5fH2qK9vZwOJY56XAxlKXD2gQknCAS8YCKDy7
AEh8aqnTgaaeSohlWJ/d+LYrq2hyM7KEGHQbdPPO9womOoh5GpT0Aa3Vd2Ufo/1XNPZDpdnOjaHm
P7XYlgzlqBppDS/npYUzLj01xkAel3Fi0QJK6rBFojQMEAHHVG3X60J7xBlLuREhVmdoa7ZpgLkx
DHU+LX8kooA4qwh1JhTRIF3sqXOCIinQRIfVkR/fvHp0JtAj5wzbFnKj50OZClry0EtJcidPvOhl
EdE3AHd8hFUZO+DwulK7EYxWZ+eYvCq581XLXszOkI1KDGTDCN9vyp2CqNgjyiZG5IZQy9/+XOEr
soSmbWqSDPh8fg0PJ9Tg+JQoq5ggjchzLPy6d1UBvPP6p1ybF5HLdjQdO1hLLuYVI6Odgz82thDO
DAyGUB9WEjxqW8CHNzbI2gU9nwAeD5R04HoupgVXX5hty7QwebL8bWHnnQFMwMqPCOsraBgHSA4n
vZP1vNPG/mdVld0JL5/qbmpVkvO3z9zkLqN5TlA1jEW4qRNcoawenUxMd61jCwNqPzj1a9tDiv0X
IzkOeljge7gt5mD0x8ng9YZBKb+AbFHDUAB6GFJHGrhXHPFufOO1s2/N7zNc1ej72ovLoh4qIFo1
cIoCuO8JPUa6bLhXuRU9nDuEo5UT1ET7XxxH3hfwb4nc1Cjk+fx8C53HEeFsEMWJD9MWGEYamOqX
UU+PxeR4N168q3OkfWTppFjoWS4WLofjYGsjuk1emLfvrVCPtnjwTEcUNeIHWIJYTqBV+PZnIrFb
ztAqlbTOXMxxQoIOfB3S7QlYVXU3k0bBCTaW9uQw9jcjDMIv13fN2jRty2ZvskNNot35V0UJTfcG
dDy25mjUr8OE0HiVA2eNcCT92Ad28tD2yvjj+qBr4YC6MoqiDs853ViEA1FlVqn3KCVAhRncfFTG
rZkoEAToFh/ePBR1T2oyVAXnItDii+KyPTPN6B1A/1XdgGrlA2XleJ+UXnfjRlyZFWVyaE7C4s1I
jnP+KVvoS5CyapRiHSH2MchKeiGJify1/ev6pOa/tLh7ofmxKcmfqMaIxaINwvPquFDrrQRW8lRh
Wj3A9czw6Lw+zrzHL8aRPIKhylEmMRah1LbKLI6QtgXvUjlHzkp+MIfaxHdcIjg1mdar7MAsFFyH
mCBY8bfrw88Razm8JUyAJTTKTCo15x/UrrLW8C3JiRdG/2J5YvobVDeSpXaX7csxU25UXFfOgoXX
KRVyalzSXkbQFmyiFcS0FO3Jh3mU5tbPXNT+NqS9j4DJbE8JBPLvN0+SmI38i5RSCB4S55NE+hjR
frDa285BnC5HJeKdSXd6jx4kmia8KG+s6e+vtviqXIrsT1sanEFrEbydpB9pk9YIq7Vx/M0IUuv7
HOK/CQtKJ9ypCn12NRgCKEwTpA/QXP6HlAqk6V6f+OXXNizTIaOQZFk4iy+OC2QO5JtCCqXCVLT3
mCYmv2hJ4IAKAeEeqQTD2owQbPTN9WEvN5VhcUyZP7QQRBvmU/zHNWmiLxzamCrhX4jjWJzNUibY
TJ7gs/xkE4Y3Zrk6nGrPPSZHdbg0z4dDslCFugTIadYA/ACORz9VCbz4QRkgZQc5MnNvnt/8RfH5
ggSvMsfzAW1zViXO+xr6j0JbMpJp8zK1unmKDK/HQDNvbsxwZR0xdGNMi3uEtHVxUcqyC1NclqB+
Oml9DGWBej3WDq7iefExCBTvNCmK9u76LOfIc76JqekTz3ni8IrjeXU+Swq0OW0kjiqeHqCbqgGT
wZiMx1KL4ocZlOWPqKnxD4BkdOP8XEb5eWSTzID3uAn86nxkHWWhsSoNLkz0S3e0nq1TJW3tAZ2f
/EbLcGXvUMFVJVU5SrkEwfOhFE+LikDXgTgUaDZWwzjt4FYDdp6Kl9zDyfv6N12dGStIXQl0nW4s
bpU4tQJlCoGeQHHO9jkZJDB/T9kjnZPc+Ihry6dS4HFMh7aTsBabNNIGOB7prB8zQQDsKsXf6eju
oPAtP9L41Q4IGs02CYNyI6ubg8r5viG/YkjbIY3kiy42a9yPOBOlVQMFhPqSgkvRPqTwceNIXC4c
7w/Kx+xLQs3FGexUNEkgfjfbuo6Q1IEU4CJCU+xR6kRxCGeYG59TnXfCclrW/Dij86SRHS+OQyUK
RJIb2dB0KvWnKOEFGUQZpma6LENcW7zqIIoasoAp0mNZpkiVhk6zazpfIuvRl48CUbXX69vpco1N
9Ps0Snl0nrlBFtsJ5LUPBY81rtMEdYiOIPvZj5vhgE6Q+alpYGIeowF2oQuOG5Dl9dFXlsDhnUnW
x3/wNhZh3rHMAV5uSWO/nr76yB/TeMFkeoTSRAjcXx/sMk8iCqm0aTk3htSW7efZFBdBRNwpBNDu
I4ZciOxYU3/0UixzKaxZp9xPEZNsmybaGUAR3l4PtjhEjM+vMBFkX5ynhBKpQOCp3dpx9IMHUf2I
Q7uHkGysv78+1csDxEgkZFBIubuZ73lMakus+WIDvI02ZDCOy6A5hLQ7b2zolVHIwHhgzqkBPYnF
6pWKg4y28PigkwPtF/OfO0VDKvX6XC4DnjWXIOfZQG9hu5zPJUezFiXpAXnWWc5rDGR3MtXos+yn
6fAvRjLJ8CQvO6pmi0y2Q7QM9kqPsStgZPxMfesuRXwYvQ+ZnK4PtbIXqZ3zCFFRqaazvlygwMaW
xpy1Y/B9rGFJtMZeH7T+UdWo129SWccf0hHeXm115ae6N99eSUZ9DsiQBkDBpNO5OPcI9FLfSYFR
YV6YPdAOn3Z5jy5lLAZ9d32uawv4G7Tg/F6+ZUMQDZiutVqtR46nhCYVQyaD+x49o3Z4qzMxf7bz
CIs7LjOagSwCQenFjrQ9TKrUEbZlKSf5gt5d8alQTO2TpoDv3XSN7bhpnuVvvq4YFeQaD0qV2tly
MZHrGYbE17vtAJTyHmOlwlV7x/gX5wCDO+qAM56ARu75OehHjKGFjkQ7jEN0QSeJVqucqi1efm8v
UjEV3pPEDxqrVATPh1I1GMuArIE9WViWWIi07nDCMza+RI7l7ZtjrqXMIAI64MbizGlVjSlQJ7tt
6dXjYXJQxg5oFO+Tbvh2faS1aEUjjmtmhlfRnD6flNnI1JkS3DbKqmhPTcULObNB+l8fZW2zc6FK
A24tqpjGIloV0qP0F8G9LG1sQ1DlRwq6Msrj1OTdjcvzYigmQVbNSxiTLxAmiyxpQmepNlu8XYXR
WQfsUcZj2bfUGGAh7a7P6uJczUPx5UyKpGS6+uLmUjDyhleE3FGcpf4R+LOPBFETPOPJVn9xOh1K
aoRjR35jhivDmmS52AvRReCaWUZJWtnsgwIvTK4AsurmM7aJ6iFJY+0nkqt2jgiUUb71nPFg+HPQ
xeY3kMJJ/WCY0LLLIadpGOygytHsx7Dvjtc/68oK0slzmKEEQiMuoEghTyANzYRtgfDmHYhllDkt
/NwAgOs3ztlFnjfPCugk7Vq+JYCJ893vAS4J5RDPxpzJgDUb0q66RIAH+IJyKDrN/EoeFr8MVn3j
2F3cdIuBF1sHTRdg9XowbZtG7fe8A1EvCg2omuoUFXeorQcuSl4w8DEffqCxnN44kKt7iMuAg08H
hcr0+cQR2ZuaysHqRASYUG1Cgayl6wdJ9uAhERBB0ShRBhmRuLhxxa8PLA10p+iikXGeD1xZKhKs
OG3R5Yu7j6h+lP9o2BAdoMJYbims6RBjAvn2gzr3yKkGcv0BBFt87b5QHDXz8nm2gPi3lKzq9KFt
sqz/PnWZ8twFdaRQwc2r79e38kV0BVbEK5jqLQUUCbzufLZmPunliALOFvkFZYJN0oKKx7HY+vD2
cUg6JemmA5h02XvjutBKu4I/bVKGmh11xsq7DwJ4KzeWb21ChFYqFxw5DBgXEwqbydITLxazJjLm
rTn+C1Pd3erPrkQA689RFscyiNFoR/hDbJEDaQ6W6aHiHjizCpH15pIIK0SyTo8EciYNmsV1gY5U
mXaBBujGzLUvgTKq77XWotsFnsi9vkgrW98iqcW13px7z0scHUY5tpMlntii+IbaHpqVqIL346nq
hH30cdbddIiz31iwlQhHvmKatA9UxDfNRSYhrMBSMNlSkZhLq+9UXv5BEXF66okJ91DwM9eYZm85
x0JU/vp01xbRnCtcVBOo9y+3CmZ3fpPG7JI2NccDtHSMGCNYfhpaOzcup7VdSdY+AyJJ3y/Asg69
nso3kAihAJ4fcpGXrkVR4UbMnKPEWRrNVqFYCITPgr1oLzuHlo7kZznh4ga8ekQ90ipPs9/tvpzt
Lvty1G401NY+4FwRmcGdFq/jRYx2BizjsPnStpWRpbs8aMc9zl/jAV7jrTro6lAWAUSQrhs8J8/j
lChhQtFs0rYlpMQd0RJhQgzK0J20bkFkV78itx91RUqDtCrOh4pD0PqplWjbGk/MEyQG/VTgnnI3
wFx81xvSP1zfhmunjiUjMmpkarS3zsfDOSFqGpOpSVn9jKErHsMG1lyMQ67bYBiBefWU3xhzbY48
eX6XzampLCEDBYB3PxsI+6PTiO2klnHkjmWfZnDo8WFEhDp7uD7Ly84Im9PhagM9Q3CBL3s+TSM3
MQQYHQJz5LThJgl/S14PjrqPkU9GuA7VMOKcvQ8DAzU6+Ibq3ssFNLPrP2Qt3jBvnvDAvmjSLOJp
bKn4RAUh+LfI1p4VDFkEGA2zP1BO679neWNAXUKWvqsreQsOdzk2558Ai5Ef5XxqSeffoFB8c+hG
D7uuPCrdVteHGJ28jebs4SbVbqkH/a5Ja2V3fcqX0YdhDZW9rM+YrOVDF8I+da35YsdbXd9ZY+Q9
xmjfHa+PcnlE5wFAe/OS5qYQy8nF9jRiJDeApfUMAo+PmRZyL/uhKD+9eSRLJwrMb2pytGUygS86
RbrB0mAnSm3nxFNw6G2nPKhTb96Y1OXhpJE+A3dtEzDGBcjMN0NDyeoQaL6DrLrMctTDhYIsVWZ7
ewCxClID9S2g0uXppO8MKJT3Lo9R2iDn26S1IHO3BiA+uJvhUS/xtq2wmTsODczbOgRH/NbvOZeT
eM7zTqTXtPyeWRfHNf5TyGQFUwvXd6iIDDkPj4cUfM2NzXh5Bs4Hm7fRHy3CovWCvp8RRFbVIERt
12hF+K10xWT0WPXC27dyQnyKq/eNes9KCNKAfSGmAPZ8TnQWkTYXRmP49D7puEfWIzaG3VYJ9M+Z
YuBWVCB7ijAp9rEDEqZlheOxkWrdjTB4ubQmFyaEqpldQgCY99sfs89Dxw4aoY7uWCnOndKP/mFM
LO8Yp+WEwtB4K6W7PJSMRx8aGgsDUoE5Hy9BwhEJIGfESUdzHqk4D5ihBdL19fZWseFyYS1BkNFU
zeRZDBHjfCjUZIYJrYzeNYqqQ9Wwq5vX0EGzXW2buIUyPBhfMV6p7n3c2G9sqsvPytgsKshmncrK
kmKVjCp6qkPeuzZW4Y89DJpjRkEW3SutPgRCbW9kypefdc4baQST/thgGOX5XHHMGRQztHoMEUuC
txMNG+Q0MDoV1efrZ/N3y/M8qbNmgCtXJ621ued1PlQSVA4Ve390sY5FprFPwRNtKh2rVKB+sv3Y
oZn1bKK08w5U7ojWf0RzZDMLRONRgMHupk9S80bv9PJCsTQCsCBpnq+yJQoQ8ahWACNGRcUTmA4i
5xNsZZ+Nv67Pfb6KF1OHx2XMiQolgIs4CE8c1y1VR13Br1EQguoutoB+yvCg4jsKNk0CcIApZbvI
dTZyk47o5l3/CSsLTdFlHp1iHWIQ86b/47zqjod2bGyzqQ0RP5AiNEdRGeIOwLy88RBaHYp+GhQc
Yj7I3/Oh6kiShdRq72qT0uCFlgWqvg3qGsVnS/btjcfPSjCkWMyDS4KEm997i5kFHSshkCxBCalX
sm2rqfCl0dS5k1BWt12jwluXY3iAJWw/1VPlP/uTeovvubbC0FjpENnAuGEELeeMhqCm5gP+Qqr6
MGoSn5iQyl2WTugV4gaL0qWmuEkCv58spv1wfXVXh+dcETwM9vPywasntRfEBA5XVWMDDUqVhnLc
QYu2I2NALxF8PCDrFpWHAptYxXoz3tpmDWgsz6Sg+XW4WIPGBNrRDtXg+l1afCtwLDxIrzU2fVu2
N47sSoTk4mEvwwmlKrIktfhqazfa1A/IpMRIaeCgfOwHQN5I3YSo3mjN4fqnXdvNAI/o3NLJVEme
zlc2whQz1i22V9k5wweTAVwYjs19VIS3kBxr0WgujszpEliv5U5uWoFxZAjWMZaFlp+CzEZuCSM0
jAeuz2kOtYt4RI2CexvOKwzbJeXVSsau8HNuuLyU9j3mqMbOy5EhyttmemkMRK+R23J21wdd+ZBc
3HM9ZkZWaL/RCX9EIHROrd6PEdQz/aLHRAyvILeQs0lQVSP+dSMs/EbELedIjx24ESySmX9wvm4j
wOM0EyOWzaCPexW988zB8G/KhLWfyk6ddr0XNjm6y+n4DVEGA2155FYR/C1nOZqeCmm/aUSEHGiM
q8UT+OxmPNATVf193yIlP6G18bUVFgazSLexRtjGmNN7RfUVb2NUfmfvUGofmrtIC/NHJu4nKDNr
b+aMslck+Q7pkQPTQVuUnbIgrxLLaBHlQxXzReT9nd8jt4iHlnWX6FgpvHkVocPx2gQka1AwmVf5
j1VE2K+rkyTReeK2zme7sfyHHIGCL1Lrphtp7sqGgUFvwxgFTAB9ZDFU3ZfoLAWt7pYytV+QiUnv
G2FkR3NA6PD6rFYOxNzIoipjkpxcZLNtHcAnaxmKRvhwT3Jtu2ozBXdRQoMO3qX2oGF+dGN+K5GM
5JI+J1+SFpq+WDk5aZXlIUnmppmZvQ+t8ISNBUlY1YOMb5pbGMO1Of453OJAZMn8pKau4U74XTnH
xvYRXBMTZokbp+aq6uiQ4kSjF2J3/eOurSMSmWgG8PqkRLrIMUOkU5EbpMjbj4P4ElOt+VwKv3xN
4nR6vj7UfM8sDj0dFl4IOrAqUD2LOdYqqic+LTq3HCexo4iImXcrf2Gyg4nXoGjbHAOYX2VNg+L6
wCsfl4EtoJsspgop5/xYGBE6Wp1Xq27cWOjw9JryAdTUr7wV3dPQgKs0RzW78V1X9o9D4YeKL313
Ytxisr1dIJ1sMWbnVTYXBQIljykgwGhTa7g0ZaNt7a/PcmUloYmLGTBCt4UC7fksa2TBnHZCwLRH
C+mLKpr6adQjLHxp5d14X6590JnEzWoSxClznQ+lJNDDUiQfkB1tBOqgTdXbzXurySz6II2mbbXK
tp/7ArbQ2+cItVFKNJjIpIz5q/8R4MKS0o8kiXQrz8NCqEEl9UOZKBXyak5a3Uhm1j4om5WC4pwt
EwnOB6ssrYlDmutulnn2J5mPOcYSIaYRph2ON3LEtbNhzNchCH3AIkvETYx9X4MFjOpajlfV+MCp
3X2X2AZqXTxEKcfMkYCml7ZDFaC9AZpfSVAdAD/kGlSHGX2RIBJbp6isdKwNjELpTqOV+EfLQ2t+
W44+OLEm0fS/U0+aH9LOaH9lNfWp6+u6Nn0qlTOKns4kP+T8U+MLahl9XUrXjFNk2pPaiIaDnifG
P0lciZOB6fguAPnn1iOPtBuDr02feg1op5lReoFfkNrQDrnZS8TCgizZjZb0S8QutfIldoDS6rkX
32MYYLo8V7sdVPhbeK+1jcbzFgWGWVWIy/R89jFd90pBdQhEp8wQwm3EJiwc/aggz/EvggQM4Rk9
T35wkaAHahwFFnrlbtoH6DkGdntI8Xg9pQVOJ9fXdC0CMgSgJx7wZJaL46P5mYrMWSRd/Oqlv+0p
n/zMeiDJG7xd+vsOu+a3D4nUAueHGiO4ZLRpzj+kb+QFWmHVRFzqu+cWzuQO307Ma/i/wz+Fh27Z
9TleBkIbXSvUJWadpFni53xABMYrE6HAyU1ULfoMXgOVK09RN7HAzinFL3GDDPNwI/r+vjvOL1LI
xpIuziz2QGlkcVoGTeABHXcjCqC+yN2hG9T7Xje8f3pY5S+JNwYPjV+jiD0WmXls0qh/jHE8Poyd
I35c/wCXW5cskLSBnj50t4u+aofKKSIRCpU/zAA+CGjE3zLwgo9FVmafrg91eUzJAmcwE1cqr6Jl
+qBJesNRFU1ui9r2bkg1ZxfgV7sr0tr44HhtuhN9WG24Xa1jnQ7e7vrwl9t5TkKJEHRYyZWWsHMf
prRJOQxVDEQUM1QbYiTyIlANJGdaVT50nVPdWOiV3aXKGTlBGQwUur247WxY0h2GhaOrzrSMLjGr
nWwVZ4dNy/QND6TyEGvW++vTvIzEKDhTpbe5Zck0l6VjTMrUoS2RKKzqMHxNUu259uz8byKhclT7
AM1RHv+uTTJ8I1ys7SSCH1hhUNi8QReT9VNMO50gFlivon/UDJp/ryRg++Mm9m9c7JdYe9smcwFa
gd8PO2lZWK2btkp6A4MLCSgUQG0foTAfYyRoV17+xObpNwkWs26k9cPJUv3x75C86wNyq3ihNkn8
qJWWf7z+4dcWm6Yl1XpgWGQAi0ONu1iEmQGhJJwgG2AKagNGx7jJ33rYW2CuhNDwKXMMdN+uD7y2
4qRSVGvgy4Gg1s5jWJRj5hUN/eTWRdE/YBikfcStNTnZtUx/jEMl9jmCB3s11vsb+3vtSBG+QIhr
vI8pcZ+PrOboY3klusnU+5unoVZz5qoqn9DFau6qwPduRJC1LcYh5kwZYHHpfJ2PlwLU7a0Qe0ro
o+1+QJV6S+qHUcRg5zcuhnm1FiGaWMXXpONOvFpWdPMUI97ZIROJ3KF5T4NCR3C+6V/fvHTUa+Y3
FXUp8uHFmSkRARztOhpx70yHcotfoXUqMwRzVCUu9khuUkWqwwZ3UVgeyo19s7JhydRg/5Ij87Ra
4oAp55ZdTbXKnfypwD2rLE9G0WtPLdZk95TL282gDvnbozDpBHf7DFZi7yyW0KDlb4RhNiuo1ni6
6jqWG/hC70VnvNpxqB2uf+DfeIHlOoLWJX9B9sDg1j3fMhI1Wy3G3NGlURpvEX+Od1hVjvupN8z3
hWzzryrKz+6IZ8puELgi7qpKmAc8NOMPYVugW4+ipL51Sh5FN37aym6m3U60pYqPG/uyIEkqRx+z
bkbXzC3tOXaU6WR1bfkC9C375uMKtxMjcqpxXwWfC16N3yMsfwSikXq+x/Ey3E34Bzw0xKKjiKP+
xu5YqfxTPKFvNb+Cdar/i3gGIbyYLNkNbm/kNdI6Rd8nbojMzpdaSMXaWwo+qXcmKhnfe7D//jb3
M/GANjNKBDe+1Eqc4QSqgsYdTVlAROeLmEYUh4Oc+r/R4VKJu17s71sUnu/nTvu0Q81F3o3Yrf0v
Z+exXLeSrelXqThzVMObiFt3AGAbWpESKYqaICQdHniXmbBP3x9U1R2XmzvIPj1RSKLBBpC5cpnf
HF08khE8D5pfw7J0+a5FqyzuPa25ARdrH3Kvq69LMWHCN5Sa88HSPpPfEAVJpNCk3IYF29f/Z207
9h58L32Oi6SdadGvdn5lLm19xVkZfEfaHXndFrV3HmWzdKGuluTr+w/qzI7eyAMMC0DbW0Tk15/A
QawPx0idzZU7WPul2GVf4mswPrqVz/BmVAhv73Dr8//+OQDjiktutEWAKyfnQKF6c2Rij1efNnTY
jQpsol8yYWlQqE3gDxi9e7V58bdvlvm4YUO3AsVmnRa9TmJgjpVPeozjkOi+p9qSHQumnv3Bxysg
D1OJW9QlTjfL3+4s0k0kbNM5IYix3V4/ZUCINrZIDZ0hUXY9PjgBTi1W2VewmBNtPeJYb7UfBYst
Lp7EMVBmm5IrM3rSnpNDHvqnCWW6RL++dVG9M5KpxGJw6K6CcflpgUHaF/pwNwfleJjRWYkYAA9f
3n/gb+MV7QkIdpzzoE6Qw3t937ZVrFNGpzYGaWY+0SxyYNM5CDjJBi3v9691JvqAa9FJYzcUBsPd
ky2fBdQ7+spmWc1Jtlc1AaqJrSrznu1BSHFTr8vi7wNbLDa+8JAcI5mgwY1nTd1+ROd+mwsABvF+
E7rIb9HFfH3jU24hbQIZA2t2wkooeyM7rFjmfLB730a515fZvv4/4oeaOrglvjXEwNv8FGdSf7iS
Hc4GeHrIH0Ex2vv3H/K5C7Jh6RyBG2AgdrKmVOEOzlyXI150UCb9FscgrEwhUeGAGCbAbT7IkM89
RxDz2+ukoYCa3esbxGTTAJAgx9gaRXrTrrJ5MJ35oyP/bRimVYFahoV0E1micfIYwcwFU1MPI1YC
vdxDxizdMMCC5o5JlbhbnSC560vNumm7tI7dUbfv3n+qZ7YJ1ya7IUF1NrzJ67uktZHZU8H1s1o2
Md5bOI0rKW+Wdel371/qbeZP18sC8kEgInM6ZT8gZj2YKySaGFunEouUrtCeitr0LlPDwNqbcTxO
II2ZvFAZlB913d6K9m09N1pD6A8xr3ozDug1rAZSU3GjOeYWEY4gyZU3yfKq0ZXbI3yEYu1vS8Vv
GV7JUWJ3w1fVD7/qTFkPMl+rXdllMwKDo3fNjEh9fv/hnFsHkHGBzG78Utjmr99Dm802lkL1yCh7
6OhoIzL0WXPb7LBonWXhG+176N2NExJGhaV/QdTd+SD5PLfeyQNQSSWIUSadfILEb+xEBHyCycGB
NcySGsBu4csPur/ntjEcT6D/8E3h05+EpxJrvdHEZS7WNH187Fu9xGkSE9blEKxrvx8ZG1+8/2jP
3hiNM/c3R+Pt1D6XNk4CDRuZg/lJn83k1nIpUt6/yrmNhEAIGkwEDRg+J+ECOnfTthnxsKmUvlNa
4sV5PWIO1mp/H79D0wJUPB0TtOYo31+vlSTPiLaZh2DG6BeHdpqC2M30bJekQfdBrnTurhAOokdC
K4qLniyKoTXaKreCIQZRitLrMKidmZkYm2fZRx2ZcwvDI65vIosmDajTB6iU8DuH+L5gcHZl6qqI
Mf5uMHsu3M3lYvrbQH+yArBeG04F8P3pOclgo+kG/IjiBBIRWt+1OIi5T2MDG7f9+2vjTOQzdZJs
MBYUKCSBr18YACiroJ82xsrzkZxN1iBKG60APDLKo5kGFAmaDVxzKpMPNvWZihJlIkIeWKSt/3Qq
WJ2Z4JsYAw2xrWXysSkXL48x5fRCIweYd+y7wHhGZhoHbB0PtSXKJtqpVKF2sxmsY0rFah5wK+ME
O6YdZMT4/UdzZoFt+FU6nHR1N92S14+mXfxOMkybYhung8PaV88d9kDohbsfBNgzUeDVhU7ijkwo
4acMNOUKbmCOURHBssRSjvyg2/e2qqEEhdtI2gAOionE6xsaMOCeBo1lbK6rfgjGUVD5GtpO2CgJ
+nqj32roCX5w0XOnG1xKl8kA9RSUu5MVZjIWGCyJUelQuFkbrdqCEbCFZmjkT435U+tqHR0LXVlx
QaU5YfVi2feN1XWfu35BkZrIMZRkUUl6VVB2Htgx89P7b/rcgwFFv03diCj2qQBPiR2ha3copxSG
5j5UmLLurHzQdmkZ0FopZi/GTNv9ICqfu+iGA2SqSv/mjSInqvr4r3rJGPss5mORtd8rYE47hT3p
BeZh+L0m0D/fv9EtJr4ufphMcAo4hBeDEH2y0pJCrrBtNDKNIG2e3Xb8ViKQecg71VxrakwucsND
KmsR7VWZlC/vX/zMtIbsmO0I/nHzQTkl13b+lCjD3c5XKAUyrqVob/PFS4NwaRfnkLeqiupEn/Zz
bnTTUVTAhSbZAHZliP4Rw+lMTN9qMOY1QF43TObrzYDPZZWOlcE7r2V1QYidb6fU/KE8sVy6cy8P
79/8uTiLNgfWL1uGBwTq5HIlzolaj/fEujrqL5x+4C+runN2ztTjy46DaX6VIhF3uzpd8MFxcu5W
ffo+jLQZGJGlvL72aulFi6W2io1+CQ5BpuMU7aBzEgaBqHeinz6YnGz3crrK0ALmMNmOFpg/r69X
1l1mBAPXIzWdd1WN57HminZfOt7wQY1w7rFCpqXtCwyev5zkG0WzLmWNmWqce+aU76Tv4ENHMxT7
LimPFCrqBdVnPEyBaZtP77/SMxt44zFuoF5Aim99Wsy0LeuUaw+N5u4HTW0OZNgH3/j8bx/ZTaEu
Z7f3d+9f9sweBrzD0JPgsXUQTt5m5vQVW1vAgE1ztzmWuj5hWabRQ8gTbf48e9bUH0ZTs74sYNnR
VZD2RxXLmacOGoQmsLsN5ZDxfv2CXcz8/FVLZKz5qtwHS/XF60bsrVdz2Otd0F0gvp/FksP7g110
ZmWBi9ggrkR5NIJOmt5J7olgUpWKtSL3v+NNax+qxewYUjUfSRmaZ28SmiwpAIrC0J5e32Sjr36y
6vjuTLPn/BQYGF8ymTIPYqzGi1UNWZylbhZ5Rt58HbBEdCFDANNYdRsPpNJPxjSEnjBdjPNsxU0K
HJHA2qDuDPJcfus7K8MzqXE/TcmaWwiur+P3Gjb3xPNcp8uhyvuIMOH4IU0pXPcKtz9mS/6Rt8bZ
u0Q3cWv+wWI9xWX6foalrZwUflRa+6DN02WFKtsCxdQUIbP1RcO3cl5v6Ln2HxQ/Z8IS6CVKH0IT
0OXThWzibpgJT6pYYVf1TOT80lttKgG/gk5wMvPx/X1zJsuiA7ZxO7Z4/0ZyZOgLPyOPVLErO6po
+IqDGdbNR/op55YoACLuCx4bamknS9TrZTI2maZivR8w2GjKOsdArpPLZefj7vn+PZ2LBUBqt1MM
hU+m1K/XKK6vhVONK5WdZi+PwrdFc7+qBEr5MEnrZqIftWB5pEa8Lamud1OJRd/7H+EMYQbcBUIK
TC4RGKep+fozaHgtjKNlwK80nH5G2B/lWPQiOplcu2sD3kWklviKSohd33jZYm6W4GOKYogyfpXd
Ur4YeT39ev9DnQnN5LiMg0jcwTqeBqhMBlVfWbgYA7WcrusC++pROWpfp82yy4U0sxA1nY+Ey85c
FT7xhl4KyK2YR71+EplZBnhPan08dtJ9CuCY4TnYJ/YXvTPtJWRoElyV2dD+/ZtlbgxklQaWxZl7
ctwKX4zgVtHFHgtfl1EJW+i6bBngRAFOKDu0pYFqcFJ9sH3P3e0mBwjsmfYgR9Lru7X03MjcZMWv
vHGCJ6c3ZwoJOymgBYi02+uqGfbunM4fXPZ32/EkuwB1Qg61zVqxaTypYvTGEKVvaqDyS/bWjWVI
POlHK6h+LvTQPxeBsMqwguZ9HBa7cUOjZKIQJ1PRmyDdM4xmfaRxYwPVb1QZoS2gYaawJgvXVktf
3l+HZ4LB79pxG37zak4zIcMps6kLJoSuRGPiQGxXQb7cuRbKHDW2jYP4KCCcuyBhnDEjhTWh9eRk
BsHW0VRHWUv3OrD+pNHVlai6/LJWCCJE79/dmRXA5qJPsS0BlvzJChhmX/oZx32cJIXzJIX72HZr
fePjKBzP/djt8z79KAM4c2igc0em97v7zYJ/veoWBpV22Xl9vLQa9jBFJT38xPUK/Vm3n576YPr/
aINDSYZGvhUKWyvg9RVxR7ZXpWpBIyubSvgTxaqOmT8zxC3zAL201dCyGy+1p/pyWntbK8JGmOaP
95/1mRcLyxuBbObcW0598qxzpg9JLfo+NmoAxosnrFBLPeJYhqHd/v1rnXvGyPEwBEf/hBTvZBEF
FQ0BtnMfZ4UYP6dGtTyW+liHXNo/NGuXfdDJO7OOoE7iE4HiEmnAqQqtZ9PqAINCRVgZ/T1yfziF
znqRzchbquJT3yVkeP44fkS+OZMRbIo1EA1JpNEhOzk9rcooHFMyGstB3+wyNCFiw6c4fv9pnnlz
SEvSvma2YCFnehKecz3IvaDsZFyVQwvF3F4uC1zfoywo+7//IJl8MUQgp9queXJDa7uoerQGFQeN
0/dhWgLsKtvU/8wTeIFT5O1hOKS7v31/AdaO0LSYL6J6dnJ/AKb11vRRYk4asd6NCy63SIVqYAGN
4oPYf2ZhIhGyKWX9+2g/uZRflsj59x0p3KCyv6a6Fjuj0PVrKEDe56Y1PyIDn7se0wbKuy2LoHP+
eusPVSMEktcq7mfbUzsO1mI98oyDK1Iq88ssB+ej+PaWEMbwAfIZxGPYUoxIT+4RYmRejctIk86s
kDuYPEQe9hN98LoI89Foi7iXuvVo5N5aXhgjTd19uvTqkI46iabd64mFWFfrmD+FM3vikOpO8eIn
jlj2NRqW5AOTKOr7lf24CUZYyV0qm/TPTHUKOzgtaMFvrv5T1fp1HQVJY6YHv2IQ+EHa+GbPsxM4
wUESgTOn+3wSVSnd5sHJBbcJ7uW+4IiKZ0voYdXZ67Fwxl88h8f3F+rbS0LIpy2xqbvBRTlVRMlW
EJBl0zpxX0h/vAKURPlmV3jXh/QIxLrXStKcywEoz0eZ4ZtIw/SU2QulKycIg7ST6C0LXO6WJXVi
WaAxsUs3p/s8YQH83b24XYdASj3AoB0PjNcLVvoJHgo9NjQom0xLuCAlHk1aZV0vs1//fP9xvtkc
XAvGC4jEjcwbnIqroNPReAP67HFhJcnBtzrvmxDW3aBlya6tB47Bv329LdMEA0y9qNOqfX1vplcL
TC15hjSUam0IezcJ/sqyfMR8u2IJfwmsBt2D9y/6pjzeMLiM9pk+g5B90+nAqFoYmENxUT1FG10v
ZLx2RR0LkQ/xAlwncvAa+mSm1kcOMduSeJXmcmWYKBsfjQWHcvDr221xGB5kXrixzHrtcUwBqh0L
pDMiM+0+NKP8naqdXo13iZwpqRXr8+ThSnOodPzgoZ0E6LKGUmX2dY9B+RSSdRT3ug/JMUzM1KQ8
701krp2s0D4ZreN/xkym/svsa6QPuGJtxXBk1g3k2QzZRVkI0t4A67AbvcwMZCqSbL4cCkhToal0
4JJeotoi1DWE+CLeX/Hdbcvl+f23+LbzzMBDd4H70DfboGUnNaqdOSRseKTFXZrr11AFzCkMZqdu
+ZiiEOE0+4Ozo7TrrgZHoJXpLY4oQm3OPYUvieXVx/c/0dvu0vaJNio83SxK1dOhui7tTNCebJEN
s/Npx0st5T630lXbocJoMvBYV2qSRoJMCPGHr15s6h3kIVPs86K10F0ZCbzaRaiDgW9CF1HuNl5n
3db3OTSEMsplUdw1vV6hmW65yzP9bqcLFWr15a7F5ORhMT1UsKrSxh0Dg2Z1ka9TkGMz4BiQeyDq
/3r/nt+uaIQ7kFCHv4okC53o1yt6qXoYV0vTxbD/3GhpzeooagXeYZ0+mnS9jU0wkBjnUAoxyn/D
We0FvJAURZLY9MXwnI22C4HLNTDmQdsv1CkGP4gTZ1cYUy5qhC1VQJDl9c3hSZfWGwo2NlUx7Tjh
wchWotyRGMHpHBsRa72vh1mxOrsVAMexWZIkyrw2/zfg63+98pqXv73nf7XdInL03k/++d+fupfm
ixIvL+rmR/df24/+3299/YP/fZP/Eq1s/1Kn3/Xqh/j9/7l+/EP9ePWPXaNytdwPL2L5/ILhtPp9
gfSl3b7z//WL/3j5/Vselu7lX3/8aodGbb8tzdvmj/986eLPf/3Bi/wfC277/f/54u2Pmp+7UD+q
5c33v/yQih/1/0m3gDSVcoZsA+WLP/4xvWxfcf/pMhCBEYsEPDUUbdA//tG0QmX/+sP2/kkkZERN
G4mRGT2HP/4h0RbgS5bzT0gCHOSbLi2tD2bD/+e+7/4dVv/9SngO//n3P5qhvmsh8ct//fE6MQEw
Tm6wRXp8nUhs34iMtw5iRApUGYqvamLIqf+gDWxElTKt42oWOEs5RvZB/mWgufjqhGED/vb3Zty5
7cqNUPR6yZp2XQrbgGLXJUquj93kF81FrcHXhaSPaFw8juAbrpGI7LrbAhlh79M6JYYTlrbd9Ffb
YSQuafZVYg8Ozbd2ifSMOQJtmK8gCSax63i2fxqpaSTAt1JRUf1kQbsvKm/Rn9G81K1jF4i+u9Rl
TvRyrKJrdl4PVLosy8S66spagq/ozO4pTYflT20srD5apZ7HaakHfYga4fhthMk37sFxr4CTgmwS
d8Wid1/coiiTeERKxL2kV6JqBG2qxLqo1sD+5mjDmh40HyEfPto8IfvHIexZ5PgW99Dg9WuGfemO
RcSEAC5QGCzlVERzueSwkFaRe1fZOLqiipXHPg9NRJinC5XUc/1ZBnliMp4Zg0NtDMN9kRkGKUIK
+5lDSn+ua/0Ts8CM+cmaTjddLpt9JtzRDV1r8r7VDYj+EKy43d4lE/7n+6rCYueLtKwFpi+03+pa
x8XRpDwusN02AMA/T0bjPs26luwaU7h25HR19+x3vvikN/70c5DoRYUOc5skTnLg6MjY50EXGd5i
1j/1VtbTzu7RbaBzlmWYwmpA7SOl1aYBJl7j/wXSv/GgMbIM4auXXrguaEVEiWl9GZPSc/ZWU1ld
lLip2qWdrXbrMFUWRuRl0A93uE6N4xdZ+1wzcev+WXfaLIJOgFeqhU9SGaazB8gYqYvbUoI/vfTb
On/w7NbI90Uqp2a3yKT4pdeq98M57518V2qV6R5mS3XoT6+rrXfhUjelOKyjWWG/uvqrlXwShTZO
f/qWmA3rMgh6RoYh7qx6d7noQ93ulS2HOhr6vJB3td52z/pY8NdSs3n3iMHacq9yMMNpOHpwkz9x
6QWHc2jXMCC0jaR8VwKiKe96Cu8SWdN67prNUCIrDkpZrC/DQWzwfu4xhkG7ZMGQhrE2loDTHSMC
bHfrzsyqa4dlzyp0y+27Q6y6BigK//lPfzXy8TgHSKjFmR7wm7G49bwyphPqSiuq8PNa19CYEgez
6jxo0uHCKZEi+26nGlJWS1q7ct95bqY94XLBU1uzkdWMpWn3POaja+001ChFuEwDd91Yki+mXeff
N12zWX2MspfPizPbTZy4eRuzU6ijJt9T825Y0qCJmnFz99MGofRD681G+ThWgq2idzN+Y/bQVsVX
T+E1ejcBtagfVN7WcifqnLihJOIhuyII8jwu3EI+5Hav5Rf9UkDo6RckEH8x/KVn69Ik0g/47TUv
Smr5XxDkgs/KxPviGRWaNUTfBKFShA8uwZaLvZau/lcLsZRgPznSfoA57t22g6Hf9Et1zNI6hDdE
pwlGStaLIjbHxQ4Lwzvk0rsoGJt8H7xFHAx32K+p82jhwXJ0Ul6VasbQwhImUlg23AVo1Nz1DkPm
ofZzPUQKbL6ySiP5SiE9CFzItNy7d83mobFQdWiTSYVtPjsHvVLGxYDgNGMivIHDJbduM4JxFfWB
PX1pDAJhlZvtn2adwKSddfe+autjOedi76XO01iQrjVNZsfDanzFG/Sl5j3feL2idWcbR6Z58oDn
c3LhNcPPRtWfqHT8nammLNYT7YtWIMIwSQ/t2u3FBAu4e83vLwXQ5V6bH6dcHTqlZ3uZ5VmECYB3
M8pEsRzGwyCSUFtyYxdIdHjcob31mobASmMaD6shzW+DIvvq19Yut9c1qlJT7byWwros8u6bkRq4
nZdfG3u52lqDTOPSy2H1D66e9ZfKFbFwS/tiCfp9JZLrFRx3aNucBdawXqWtrPa1sxbhkAT5Xu9R
9eyROrJURRAbis+cYCjFtWzZ1K4vcQq5S4rV3xOqnKfVWx6syvVDhezOMZOImqO8Li4gnV+kCqm3
vF2vk2T83uHyGonGScO+t1WIzHDLKGHyI0ATgJIG6zDkbrgGILXaIU5N608gVxeaUR0bEExhJ+sF
kVUSjWiD8TTZpOvhqDf7ztCuzSJ9sIJiz8m/hiJAW2idhVrCxK97G5BhAZUWxXeG6aPl3/d6oDmh
pfobO3UvU8iht0Pi3OvdiC1JzWJKguFpHL17WqZaSNF4rQLnOPoYpgRlemvmCYEbP7MotYtD2i3F
zirN5WJZqjtHy+rYkAxG0ENJLwPccHqOSQ4qrWzyC60LfhajhARqq7zA1Xp09TXUiY80n9fpPvBn
IzSIPaBYqntaKAAHU6VDjVVS4fPhL82PSa2EJq3zai3u5rHa5auTVGHRj/2uc6vpMBqNc5wat3hc
SMxrPmrq86jFlOeh7abfGIenbI1VDqGGXHoHqn8oLwUyQg+N8owfAQ5Q3wOto6ZwPQAPO2NBV6jA
UUzIromRTvC/gW00Lu21bH5kiUQHus4W2NN1UardQpMNTTDE7j2nPEK6SmqcLq2u2A296T9IgJhI
8RdTRu262tpOTkG7SzgvbrK0rIiN6ZrG+ozBw5wp4yj0zPveuWa/a4Gn3pdkjxwT5TgyC1vcT4MR
/NBBcOz8VLOtsM/bqjwYRtq6P50yUMZ1oPgxPNnTVA9rkgU99PyxO3TuOISTGtyICjH71Bvp/FeA
FHQctG0JG2rR8ifHxwKiNJOCYkfAZd0GslKHP9ub+c5GtGKMpZsgtglrnuEgr9F/0otK3TKhnoao
MTPd3zd6qd+ntZoxNdYbbtqcEi1OC6nd1mvmknJ1wjsMY2OFchTZp1oz5CExJ+9noI/lcdUn/ZI+
rRcFXmrthFTokKUZnmvuXC8ci8XcoUUMw6fXgcZErNR7r3OgHuOLRPdBamWPuU+QR1U2en3YlrLb
4zXRf+nRyjma/O8c0eUyLvR8NuPOwDo0XNJ0/EXzZjkAyEW1pzOsipBY4RjR2DNM7aYasiOFs/1N
Du64K+tB0TUdtQ3d2uf6V28KDn3g0GCte3VMbFFf6LWOBYPQiDmtTJzIwf/rxih6KAFm3X7xZ+8p
r4QeoxdoVKEOWLYcuuY2p4G1yRsfJHHxgPppaaJZqRkPQuKexRELXz5pumjt5+lAb826zysbzVkC
6JFuUnGR44K6T2gOEw5zJ+w4Dq+8XhOHZrACkh2wJ0qgAWnhEHg/kmvfD2KYwibtXQShnL9mfa4u
umoLwj1SP0NYDaLdFbXXBmHQpsZNUQ76pSuH9TYzMZONtaDI9V2a1PWv3pey3hVybC78YGxu1znY
D61IDl4pmjJCrFaytdGI9D4rTZBhpW6RHAwNTIXfFtrPpZLZNx1SEQVL0FXwxTEHO3qjEcRzV/lh
oNVVtAq3vZJejep9N2UvnKnSCH2lpoM3zeJyySgqwDoEkTVNNhKTznRP6EHBmkPIQVu0W8h7MzEc
V2OsDqO2DujIylzEygJbU8qc8UNVavvCXNWjsixtBDujLUecA4orlRaAAMzJeg4odNoXFE1cPTKV
GwxXo7uqTwzPp68dvWN7T+/PFSEOYd0YLnSpvvhj799YwjNIZ6rxMxWlzvBP86aDjvhqRIcpbUNZ
DQTrxV6xp6p0OT9MujGObGg/+8utdZY0YATze4r4ScTENC0jfQHj3duim8CQVUYejZMeHLomhTfs
zr4fj31dRr0FPQ1ScVfsgzJDqFG45vwJKUnfuixTPxdHF9PqKZyLtPWu5OrcVyiDOeFcBi3o8VF4
l5lh1Q8bzjnK8Lu4HEprvmzqCkBS6xc7bNd+db0Cx7EiuXPttIGmIfic9ffavEyXhdMkWFNa1c7M
VYOsR5lqIaZ4xn61ZVJG1khQb7XeQEkzX4olGgBA2buRdCf9lPH603DqXD9aCsr00DHpOVk4LeQH
c/DMOGFlHpnA/pBji8SAi7LAfpoK+q6kYiqyVVfdTEmjXSgi9fWQYaQzjPnXxM3yK6K6ceXXq3M7
5sIIBVHzEPi9uR8HJ7mxieKfnKnxdqafa+QAaf4I5LKJPJT7d+1iZjcjJTaNecv+5aMa9YTaiLye
RTXea4leHprWfyysqr/QF6u8dlDrexTAQ/drN+c7pafyoNlNe0xMU6R7YlAXlw3GcmGtu12IexiK
IwpTrwwp9s2HJyfRX1nNgzcRnPr58zrO7sFpdBKNvKWfF2dVIocr4Fdil+F3EzNxo2+ac+QfZhN3
d70ZLXWtZ5hZbt2OS79xVYlfjasd+3pq95ZoGJwy1e24aE6GyIS+zSN6U85XV/o2vpTU3UXKrh0c
ZXKIr3KrKg16jhU3XCojvUtm193XtOJvqr7xvqbJsv5VBJonQqXr66daF58oIGUQ9XzaXVCNdqRv
aNqwBLkczUobgqukIFfUXNXqV77fFBw4vs3b6vJI5GL9rEThxKohsz9Uk1beuV47BqFmo8EQ6aoj
gKVOkFohLJMMONzUzpHw5nVn9oUCk1blf/btuuzqwe72S5bbYs9YIFP7pnfxyWIAti1IysyryZs8
LewoLcE4N97FIuuE6UE1Rl3LlrdhEPx0l8H5wqRtvaxwiypD0NkJ7huDvez0pTDNMKXAyMNM+GO6
K2AGgQi30icrLftnp0oVI3/b+mxYQ79zljS5AK6TXzYdQ0VkI6v6ATiWEWDxMdsLCKk2+MshFD3g
dfRSpzOnLipsbpSZEqAWbz5w0LlKzKcl9UUemkVn/RK68uAEcMCRBlTUn3M2U5+qsrvKVrO8kCIf
98D3e9hrlZ/uerTrIi0vANSnUkEfnu0sKnOjpkGZMCcUSIDjrSufONzqCzkJ63ZYZ3UUWt8u4Qbi
NKN5aqovQZGWN5VV5Q/AAstbe5lB23Rq5en7Vx6v5TIpRLnvrWU2dsCfBkkBRGc6FHDp/6xkJfdj
NeTWr2Wwyh9VrdW82MX7SVdxvuycrjsUTdNe6CLI6cAHojBCWZY5cKk6ne6VSHDThK1azxfDaDhf
Vm8yx2NnquZJjbz0qCWOXU+lruUh1XROEUgydVUuNL73awUZLR7KvDyYfdbnkOjK/L4wqYl2SYmZ
U2Vsql70bOoMUkQnU9wfClUdPbNcjX2lpPdzArbeX5fOtHqRv6yzdZHJrPlRNUv/Q9fq9XHWh7UM
51YLBNuIvJSnl2niZrKbJY3Qeq/tqxIPo30NAPEpczuSH85QfT0KMs6/SM4w6Gm9zGxDLdfyG1Pq
6YDCMltsRk0SJcJJT7F1ntIrL7eSp772Hji/dU4OCL1/ToOnZ1HXBOjJr+Uif5TovVxOWUM5nvzu
b4EQ5O+13jW/OBfG7GLSNO+eIenYxURL8ZgzdqGDlVkFFFlaLsc163HMU4hoXmr+2u8yQ58ecqV5
O9yRERaCKZg9DZ1foTxp1FjJJE76AysSGguOlhhUSsmo0WuYYeJWF4PlN0+ja9bOnhks3TVNeXQG
yiWb053hSanCQMFIjufc58+eoE6bIkN7CIS8kX+HfsgBI4aWTgQ6R/Si/BrUC9J6jtFdJjJQXdRO
mfjFT5P0O6jFUalV3bPCr/mqkV0yUToUZVfuqN34JZ3DEYWJba+P+6rzbDL7RVY7W9b2o2/INeJk
4tvYkxaLNxjR904tQITbicX/F7/7Ts7WOzHz2rqAY3yZpk2KaU7hmtUFg129rsJyEpzWoLzqQe+i
mr7DeqykOZc5Ag9j136q04KHAUpi1ZcwW921vqqCcfLMEBA5bSfL67R179VtqYXtXKfyzl0D2jNL
MHfPjY2UM8K0Ab9i8hP+NCCs1lf0rPX20TIbafqUv1b1KIyF1y9U56ujygZOIa1gTleF89Rb5Y1E
D7z/WTfQY3bANrb2z+9WDv0rHtI2zSjoa4i8umbilztx06MGugtqayqO+qTpc+Q6QzHfz0nfPWuO
xS8wnYLH9O/ejtWRL19pWoZw7SR13gFqs9yca818T9BOfbmTTmq4h8VZe1peEy5k63Eo0T6KlLT4
/Yr3ROe165r2E3KLvH8abais9qKv5XPFhI3w3CVr+6gzxpzvCZdpcZBA8sobzRYsyoxyvbypl9ku
MF3wi6G8NQg99fU4lMMTib9UXxt3TsT/pu68luRGkjX9QosxaHELkZmlWGRT8wbGbpLQQECLp98P
xT57KpFpCePc7VjbWNv0NCMjEBHu4f6Lj0pLT/IwYom5BrQo7I49AnI1BBTBn1a0Cz+0GSsjf0MP
lV+F2HRv3lEGlGpEtLvZI6S35Zu0ablRBn7D9GCjuOFQ19Io26H8F+oewrdlHyRmxRSnHGaDq6r9
OJEgNdExQQmAmKEXj5I5Y5TdTPqnBG1SXql2eioMFLMRlyw+6OEwmu7/kdW4pNymG27VhYbloiUc
4mxANVM862OpVGDxW2Onn3reXlsbl2BiIIVz0GlRQ+Y57xykEGUcOdHYtapWP5eTlijUUwZzcmn8
NclBU9At8l41c640STbAGAbl33VUwNuQwunKbOmCJNP0ZkieUPCRxFeqd4PsYRGk/mx43vlqvxj3
+gxK3bXhu0a8e0pJOsyUWtxuzOp3+VikwnMG2QhStezdcpKLw6zVxrcayU4E5+Nx9aFYBMF+7rSy
5OHS2R91UxreW2AqD45SK/ddJSmN75hp82fCjy/TW6l5IDcRMAKVtlnTRVKFQviYXd7ACXu7au6i
OEMVA+Pwt82oj0+aNZZeWkX1h9sre/E1oflDrEbziiLX2oo6/5o1Rw3hl3lxh1Qlscxy846qcfwz
NgQPCIcO1J6w90Z2bJ0sSSu6H6seImCcrUlrUyZtPxSUkZoiD98s+gCE18CgY6I9Ktw6dOzHIqut
Z8kYxH2JkR0kiKmNPLm3W+mAXD9K2XGsqf3OJjtvUa+/CyQzIvHstFXGYSsjVdaNmtUEdDcP1ekt
CKjpbRo3pIsgP8gNbq/7+kX/F3PxezB9xYvjfIWu8paO6cyhWVWt0ruDU/C4ArWr9XgqR/rd7XG2
k1KgfSGjALiDnQWxmDbmazkMREbSlDNVcThbqu14ayd50FTxgO91AfFtZ1pr2/D1tBhuFRdSNTqk
9AG2FijlDCGG+6hyxUvgSaaE3gPgp/X6CzMu/byd1yIUgYHK8kKO5d+eL7Ct7U9gT9HUhXZKS9X8
/c9fCYAkODRPGX0hl/y+7j/HeIdKQarrnbla/ETP5Bzol0ptJOgWxG32NURXTqLGU/cU9KxGpjgo
R1RMOpqKb9oorkI3LC1bBB0aWJGr2WmSemGn6RXuPeFAka3j/vDqaEx4Yyzqcpq0dLR4EMczUm5c
0bk7gzqRTyISUuwbfcfd/7stYwwdgZZGwpqD6hotJpXadENLQG9Sr5Cm9psdzUgglSSy6hs6Eabw
EQScZxiSndy9zcfVh9tp0Rv/yNuCgErnhu5gnU4E3W6Q+YPtUmbl2z4siwMyP2voRVc+dqtBqrIg
q0LjoYZK8S5y0HF0a1TyDLcZNat3dW485TgCkSISpzHZgDoU/Hh66Mmx0zo+Jfda9D0SkwgPSarY
90XTUgjWO6t/TO3M+SVrMaGSNU7IAULaDPd9Z4bh59IJczKTOI4/LU23vLOgBhNMVZ2fYOQhXSmV
+nv+iCoRAT1Hey9/7GxpQhnImOf+p5HrZNGVE/fS+wkUWnc3VwPhHlimQ3FCaKniVwtw9ANoKv4c
LaGSFKhLXc6u7pBSeXMTk0VlmKi1B+o0yVGacMxxQ7o5yylsI6m764qJAF0AxKCf95KPGHXmJPdT
hds6iJ2OUmpbTpN8wrhVLh4mayxMt0tqyte9M4s6GF7+hD7RGQTrwzb1q3asLXeKksQ50dt7WQSL
SVu0wRs2TcWPXcjxU9SHsCJ9202O+NouaUfzRkwhlebROSTAij6rWsOuSWX6HLM01m/CrgPiGYoM
8/BQsr+H2fTUIpVFWCnT+Q0aTDwg8zadpfvfWdo0pkPFhx10V6qHwtepbP5Sqkx9NyOSpLsRSs2G
H+LAk9/zbCr3wt4G+wDem6uCFMrh2oXSuMV+O2aWCU0pVWiKCTl9RE/xHXPknrL1UJI9pY7fpHbP
J7h9SWwv3xW7SJhFdUpbbYy22YQ68j4M7ZF+NxT/0I0kSst+xet2h6C6Xq5ntyHCoWuwWx3oQJ1u
7YSoq+pDB+jT1ZF6+xQ7SvEzlbUGLl/qGAWuM6i/ufkiy/ZDuCjVl45D8ev2VC+WGKoM2GxI1zCP
Lx0tFmdWpbIwadyM9vS2mknjKTVZ79CHBBShGfOPIppZg9ujbrOKFdYGEpX/BhluIQx8HnXowcUQ
/6gAlbqdPmgK7xturbXdDar66xCBZd659y/iHPMEP+G8cFGAJ2yQ0yNnFxEm2sBYXjjPE75/wo8m
7Sfet1wlt2e33T4Qm4kxQNFB66Akts2ZSkArTod7KeoEPEVcXvWZ9K7qxFL+fXugax8P7RbkOYCx
QSDfADPjHjZzo1uLOy1V9rdhhEnt6jGQPwhsFehJkMQ/fgM6bo/Lyd/sXBh9vyXhkMBjTbXNByTo
lWYbKiO5T5c/y3Lb3s+63FRuNiNPEqjop/1IrGz6ZSSV8sNAPiD3VER5vrexlnSBZM/1DzSkGjUA
q2I8ZHQQZ1+ETv7OgqTwUZRW8ehMVDddDJDSTw7N6O9FgriKX4XQUpFVAWHiUvamkJkkAp+maBi+
55BGgewkznSPoIkB3m505u9QENEElGDYp4/czrSYarP6e0RFrj4i4zrdgc0o7beTYhGu5qSJki+V
Yxdd58XY/Tmaa0pWoR2tl/d1T2IgeYJGWkFjp7BCDC8qwo0DYxEB+tBexP2IkbNFO60cpBOAG27t
WE+73m16KQFU+lIncBrB/16+FJckjXfFU8Fb336rDzN/QgTkvXwjd1X4V2ZFCm3cZezk4r43w9QO
WrsToIf6ouDNq7YvQNW4UgmczgJgX1uAldg6YJVFEDdy+otP9dAUuHkiYxX7uNhIzy34gPfTSyEo
jprFzenZ/ki7cq2wJY783BqIy44VMB1qzjNJgpPa09HIcr32tBJcj1IOv/IchT5QKUNE4J9t+IUt
flrIUxopFWsj0ztfNKLXTxVajFQ4JSP8nMRAww9z0TunaYm0Ly2yHp8Mm8zCtyXTEPdSpRkPZRPp
ERaIqZ0EpWO3xyZdb6YONN6JdrVtekmFHSsdA73TPfhWQ/PQZgvgNDEaD79jgkF1EAQsLcrs8XdR
KNWTsv0q4nH9VAD5uzsgv+Rjv///dILs6EFOMCB4TBD10R8tSpZfJqPSfGjgkzh18+Lg+pO30leJ
/swHZEMAlaNJHy7fgMWgyaVIiP4PQqqpmpPmHo3ZMQ7jDC8dY7opLDx56fvwKUUuDAXHomvrABRI
UTwlYzsPXj4hueYbAHwkD9ghm/k3/GVpZn5yWXZQ5szCpmKdz4ROyt8ilnFb0IeCDtz6cVPE8fEs
R1HBeajmaTq+nPw/ApB+qAr+2mJCz3Ck/z8hR4E3vrr9LpCj78efP36eQU1f/oXf0FFV/8/KSUOi
DTgx4OVVjvs3dFSR//MSTtfQjo7li1D1v9BR0/nPqumyugsQJYCbEqv+hY4axn94aq8+hrimgylE
suIPoKPnL51VAALlILjzCn+YhdLGBsPZg9YrnZGWngTOKuhEb73LM6uF/7Gop6JRwl9qWplBCwlo
L8Cfh9vfQ1MHQnHX1vkNW96XilStQ/d9NRa1FaRkdfGUDG3i20IpdzSErg+F4zVq5bTfXiSGXr3n
CFSxoi54mNqjXq9C0ouX1CiGSoO0p9Z7HvV+z4oaKSdrrRtC2DtPW+gHZI3WMislifX7sTdmHwzg
vKM0d+2zgfzAKMFQVwGgTWztiyhKQ1EZnlhMPI60OTwMYFbv+76s70LVHip3ahstKKmsKjuJ2XlG
8e8M0ehbmeIrr3VdgVeLST/UzNOUbkEtdeAuejQD7jC5rA5DoUkU0hPLC0f7zyor/47K1yMtY1xn
S2tz8lGMdIUML+ny2YvkefLqPilPosnanXrHecr9MtSanpmrxqu6lrbOJ2h3SjIrdIG9Wp1jwDy9
ph1MMwaC12Bap6sJ8kd2HgaO3UxPoWj/LDf8PT6Qau4DtCShYW4+LoBJHsE5H3eYmvRBrRzKDnzM
bk8m+TzD/p9xCFUAFGn0GptxBpkoGaVUtLUlX+5ER/EcQHP7KEq6yNR3/piRRJmKlBBfEZR9uL62
6ypNGfHY0j0MxLWTGY3gImZz/mh0QPFe3b9Xir1XDjwlMYqgFspM5oV9SU5PVhM2XuT0KP7JG2Ed
Izvv3sVGtvcOvLZZ1morpCBZhcK+eTSE5EhtYyQsInJvgUXJIPHMApwMYoDthwI4je2NFEI/yVmo
PNYUU/zbU71yHJFKpP62CpjDoN18RSS1lVRSY8OLBW5cuHcknoVMxl1N4eEjwFvbt8mZT7cHvXL/
sEN5lyGsiqz5hbTdNIuJvgzcm0Qx3ToCi10gG3aIplG6zxCfBt9JViP6pNl5jF77sghbcwWgqwPh
bHO/FkMyIZYDCkEtVVJSpTeOSw5h0a6dPbfPq5OEzoa0GsVV+BXn94DSVtyhCv0W4D2Vr9RLejdh
yve3aAfzqejn5O2QS6tAktD1vTByZZrcPlAxUZRFUHQr5J1AiotkYegebbT81KpJihQJ2MREqeKd
b6mc8zhe7gHK9rBaKMrBFtzedy0l2Ix6KPLN+Kv5Tp2Tr5ZLfyCU8uaf88c8xA4AUykTd8JKhjJt
/ZDkuNq5dq8oTYPUZZ1XHRiMh7ZSktQCYA7H/I5Ym9jOYfxxsEo8WuIochdRy34aG7jMOum3dCzq
g9TLP2/v6isX4ioLgVMFghTc/etHeRXZur5cIjnWdepxIKAnyciAYffxwdSn8oAqSfxH3YLfC49K
PZC+NUHUthRNUfJc1JHM9rpqqg9yInBVN6IkiGTJ3rklrlxTFBpWnhLMdxK+zdSWQWpkg1qSl+Mc
6GFDAltIV+bxvTn2zV1YGOaptgbx00Lw47kZCuPPL2QdHV+kNPnENOI21yS6uHJbSvkqEb6yJXTJ
PM3cUp4kz/Xx9le8MlV6YOTFPCPXOv7mhhCiG0rooLqHu5X8jOl04qOSKFwguO0hj3RIPoYcBbw8
bVeATwtuD38lAXw9/Fa/Cc8sKQJOqxGy1y0byWBb2nnPFeV8q75k6sg1KeRCGn5GF9rWsjmPIp41
EZQg/lxNLczPFoBZv0IXEGiKme3IwF8dD2wfEQYSJqoe50dD5GVHb9wRgVk2re80LQB5UfI5x+S7
E9vRH23Xl+mBMOPFTN1vFXjdBDVZjUI5tVDklQUI5HS1mVgW9Xsm9PDQDrLyoINJ882+j9C8jvWd
G/E8pP47OtFNAZTPQ2sriCTB8GiB1XZBaChUeGBNuYB9QDzKRoNl1KgEjdFqO4Xea4Ouj0R27mpS
tfIIX18+So9vAliOJhgBYtzl5ZgHcqungSMv2S/LTrN31tKPO5/1PMS9zBTWIsrhRFKYiPqmOhim
OQ2WTDTQd4zFxTvROCVihk5RLxalFKuiIx8hyocvjbazyFd2FFoj0GtRNgEQsGUP9rgSQ3VCQrbo
ohimmBQ9UrJyQE1YChi9Rd4JL9emisrFmg8yYXrV5+trxV0KDg9SoSL3wpuSyLq3AHJ6AqTiY17l
dep1mtT8JYBb7tzzV6dK94v3GvkollznQ+exRBEQLZxgtsb0wSprw427bvrU8yOCdJ72lval6fGq
abC+49lJmEJTQ1jJqZsrUKaJVZaRDoFSaM6B2r0BVQLsFIjIRXysLBPkvKDrC1lbd2jUl7bzNg2J
6FqozYEChmgvYdwkGb93GlURqgw2gRWBs/M1yJBLTZalbQKrGD9yvrCMiKgzRKnRAeKHrz4BtHnE
JITGjdygzj6O2sHW437nZlnH2S6NRvpPRRyDNLLX899hAbjSh1xvg6nHhqiDHHKfjasPsvk/TOoz
IvVrWu55JPg9ZYRjqOwAjCCp2Hx2CUu9eBzSLigiy3nSR7U6DqHovtyON9c2FxqT2mo6rq7PkPMJ
oR2lx7NZdYHTrODMxMkPuTwrH+Uen4xJLnf9iK6tIGUsiOpgeAyqAOcDdmFcW4lcdwEY5/LQL/J0
TwN3vBuB/x3/fG4wpPmPzduRzXw+VK0ht5f2fKw8r2H7YEJ+womE5mvUO36EfMbh9njXpmZScEOs
kzIRevfn47XNDABaM9ugbgbQ9JbRnYS5Mk4xodq5E65dR2R9CO+96INvjfN0qLZdG8dd0FWm6rfG
Un6oWjt7zvVIdTPydS9VIL643RTu2dS9FPW2Z8AkO+Ldz1/2VgtsEWgBzmbSBnZh2nctChLBlICF
mUEsHVRJ6j8kkGX/od7enmLozrSmoyRbYTMWCMowD5+7mEJ+MUWW/WDmgEBcJNjDO13pGiQSrNne
CVPrd97+YOIUbaxV75Oi6Pl3CdUWDpLTt8FYZsoTrLHHSZOVtw7cxWcUAvtnOZG07wnyqLCIJ+d0
e1dcuU6xSaHgBadCI3/dbovcSGcKmSF3VwyUMo/70AyGmv6Fn0gVqhDx0uJgiZ6t8100Eoorfd+1
rq2n9tGhWfkxNRbt0+3fdLkiBE/e3WtGT7rwct2+eqroQtRDZ2XAkGlRHKy4t+GYWd39Yozqtxqq
wcdMze13ICnmd6iim19vD3+5e9fYDakPeXtIOFsd3UEXGjS2loKHAbhxBTR4rJB2VNteuq+ryj4t
eRu5ytyUO0d080pcb1XgZtzeQAehk5Ohne8FFHVDS+8lhnYs8wT1azkSsGTtWAON+WVJi3nXmmCd
JycUcaCBG35WEnnPL/DypkC9aCXbI9NpaJRgz39FbIUKDJ25CjSYiT7+JgAYJyV9tlAiv7u91teH
4gp1VncgjDzOh+IUV0AzGSpb9O7vRmoMhBKaFuyNFZs7B+3ad8VFhLSbhoBiWZuDNmYZGgraIAJD
Vlug8CEIfk/rTMvFenj5ZykWy63ryZrI0BxUC27P9NqmJlxyA4PTRBd6E1mAzrRz5sQiaLJYfYCc
Y3uJHIHS1AoEjNVQOvGKlU6ZLcUPeqnsiN+tG+f8kgHbxmODestLMN1kBmlo1Fan5iJIe7t8E8GO
JT2KTfVhMeTqpOTZn6eF+FeYNHNYaXoT24cqIm2dZmOqHKRmE52SGqZZ3k6G4nXQVB6SCM/HnQVe
d+VmimQ+MkgZblIwK5vPG6KxNcLmLYKB4pLfE7CfZqh91Ona8AHYMwxjJ8v+ixMLboUwh6qYw5tu
3eCv7ipgBqmtDlkVWF0XHrXcyJ4mrY0Ok+E07+CQWPe1A/fHHyNE/dOqy96YXTz+uL23rpwiIp0N
xGO1TbvQGm1ttXTaqKvQmB2Uv2dlKI6aNRUH1Wiaj7eHurKRiM90gOitUTrc6sQtsrJu0wbgVtZH
P1vVKe9L4KCQNuTGN9p0qXc+67U7cc0xedesNR4U4s5XuM3VKprtEqKFUAcDpSB0RCj7Zh9C6BSw
cXJ9+IZvpimChBrQsTXMEPPDKLTy4PbUr6yytlaZ7LUwjKzN5gzxTwYpN5I64O52Ji93GnpgE/1q
LaypLd4e7MpuXt2c2FUWJTRC0fmsF1uDHdhDA8/mzngC6qC9XczROGWO847LPwoGKZFPt8dcT8jm
BGkWbfUVb0YdbYtKMgxJGZOZCULcUt6OgxH63NzFP7dHuXINU9ZhjPVZTo17MzPcFmBKzIYIehiT
kI607B7ka+stFukYxFb+mZtOfS6Oix2n/8X2Jf3lhqD7BLR4E9pKzWxiY7LIt7WwfSxEMng4V4aI
2uiTcsSCZfkzJ5OXkE4WsXYyqbWzg7fT7QararRQBLZV9K7oytrDA2r8movwh9wOqw7DIKl/vlU5
mhgpoj24aidtgk0O9VkuZsp/wkqmuyJz7DfduJR/CcyGvtz+nFcuBHYn7rRAmmklbMFemmgVIWUW
+SMKg56oM8Utw0J6wKeocCOzKncyhitxFEAk5qeKTrYE8uv8YPCtrNS28zZQ01h4qc7B4DE6W16i
xabfmdX42ChNRaDpwinAv9HaqWVd/wE2zWFKhuyjdUFe3fjGYMUEMn5Av4TltybM+0d0zDPXRuTq
UTg69iETxop9aVVfAHh9/vPlxp6G4gdNVBKVzehpn6fy2LdtQIax4ARq1yCXBW3pYVAnYKtNcbw9
4OUDYe1rYry6Ahn4my1CHjI6GvJG7vj2klmnBPs/L5omxUek9EOZltrdEPfAtRcJXWKpSD/NoLy8
FFAuMin28Hz711xcUfwYerrQWlcgo70tQMvZWPeO3jl+Uo/dUzPBkp3tcM+y8tooPBO5BjW803gz
n3/i0MlKBK1M1EusfDmkXbq4AMj2elMX8QRTAOIovVIaB8AIN6NUzFFdIlX1kUMqPEDUxZ3SGKOL
G92ea/zlUNoqlakTSMDcoPZ2PiERoW5UmTJyC6u1EdC/6aM9Iw4+1om58/a/MhTZnk6vlkwbfcHN
1eNMRUfJbVb9OoyW2RVS0neuhuBg54EKR1/l9oa4uH5WK71VpA2VMgT3rU0f02hse0xGXfOb2fxb
KsIBtZVZHJrBogFSjNLp9nAXh5+R6J6tr3VKKNxA5wupZHOkLRbiGtQ8Yz8pzRrxt7J7lkdjeEIp
rL0H+ANaMGzj5TQ0DR4st3/AZa1xnSufcQVwGmS56959df2gXC+MRO9Vf+CCbb1ICTEkscJJ/xwP
NojAQm+0z3q6AB+sinpA6rJOZ5LiabVb1bJm+kNKC080fhBPKjR1gYBRfjz/QaOolwwfUM2HfaR/
swX+Fk0X1W/VKP9rltrlPSiS7mc8KXsK+1c+PakotlEO0vMUCddv9WolihYyWFfTh8KHeb5HT830
4XV3D7AJUbhYWnPn7rm29FQlKE3QN8GabJuJOoiw9FMPVJsyGgWTRgEt4xVLw+nN8x7uQGsInpdT
CAvbn+nxtC5tpFyC3B82vwZZpbp3ezdcOWz8IpAg4PRXQs/mXM9Kr0JOLWRfnef0rqot4QkkMwJO
ebcz1GUeTrxhEDpXdK0ojWy+s6riLRHJ9uxrdOcC6NpDMFbZ8DAPenkoHMp5A9ZlwbKMs58A6/fg
Dbc7l8uVT052itckbqvUubdfYEB1x0JdZ/Z7S6nvqlDJfTXEo17UPKzHPt+Tb79y3Kkk0rLXcI1Y
c/HzLQb5fEwQnZN9TY871zJi9HekWrpv7VL6qaA5WAe65NTvAIpMo7eQ2uo7y35lxoAW1nSHijTl
Oe38F6RhQjV1YZNTE8vuVblT3Slsl4/lpC4/cSdCvOL2llrz0bNHABV9nhzUKKjHQADZnKoR2/vZ
CUPFzyR5jJFP0eJ7rUD7ygOdXDcejSAb0aCqyKDw6CHyOrfHv7LkPD2IIAgAr+Lym3w5Tg1QAnYs
Y5+1pAc5X7oFqe7cROWpR14RGm/zPgd/fqzVAem0Of4vYuXKXGDBbRVYwXYB9DxtQCY22MKMveqm
PdIfFYpSga3Fo397rldyK3RwKAaBGSOdvGCXTpjsAci3dX/qQXz7mViwIWLvPyLiA+8mzayvbak1
vh1L9inLnVwnx1KMN3NjNfj9dnvCp5cfn5CmUXfECopsYVv6nCnzKdBNDd/QI/GEhdqEBikOaf0A
w6lELcDr42Y4UpveW4rLlIvKFOVeYgldNJif5/s808ipJ1Sn/QkxzpOFw+q9xJHcwcpeniZSoBV2
vO4udMs3d1gy09oWcM2Q+dTV93ZUq8e0RiIQ5VQdWVUukJ3dfHlBMxwpKw54q+nEtjGLdytoZy0y
/WHJCr/ELCxANyHBRBsm/e3NdHUoGmUU+nC9ItM7X8Ex723JzkvTJxgrHppKnJs2RpdjsvauxavL
SPbBheSglbPVc16iJpGUODT8CnkRhDkjqH65Fgz4unmw65OdHO/ariS3AwpMs2ytGpzPTFalcTHx
UyLK1eIDgOD8wNEVXqe26V9IEcZuoWjhsYLFt3MZXp0odrCEPurTQALPR4Z7nZcaUgK+kiiNNwgN
+Z4xlp9QMkYjM5P2ujFXx6Mfg3ET9tAXzXTFRk84og6GR0k6nixzLD44kcG7Lg/LOzMRzY/be+by
sqWwth52UD0qbaDNZZsWUZIrGeONaC8cEepHxQdx98dxKfQD7C0T0VKkA+GYZ3edYuy9s65Nl8Yn
ZS7ue2okm+PYTaLQspzlVcXsnMLQ0I5AmiKK8o5+v0wovdye7vq5zmMbHDjEEdBJWAFb2w4AyiEZ
XuwNFBZkeZ5yetjvpdbUyB270NfazjpEZrSXH18dlKccPAf89ShZnO8hbXGoCtuV6YO41O8Rbaq8
GE3mQNhzeJqloT6OAsW92zO99mFRkFtBGbz8sBY+H1SB8evUY4mnBnqAjdcrqKK2YFJ0V4kH81eG
99ngyUqC/GKdlDKSR1b84fZPuPZxAQBSKiWKEss3iUQXz+PSxaqBmmpn3FeTNgSYQYU+ui2Ia/Xd
3svo2njUoXiVvbgHOJtbwpnsHAElRFgkVZvRQk6VA2jP6qsCsh49xgyG4O0JXrlwKXuBE1hrBBiX
rD/o1fsjwxQCKw9N81efcALjnBwMUt4gsvp/bo90ZWqUCpBU55xoBJI1eL4aKe0yzJ8q2F0CmHXa
lt+rBYlnCNuFl9bmXvf+ymhgrkFck5UAtXnRp3g1WpXlsMgT2fLlXqOOpVGSsHpN8etswjOwi4cd
tfXL8biBoMiA01/rBs4mxW3qMC5MKYmCaVbyA5SuxIOhJ3lFmo4eAgLDThLwggc9vwZM0Dp0eMnt
ecrImwFFPiB+jSta0JSz+s+kJ/Y/yLwV74pxkN/Ii6Z/K3IxvEXqO7pLRF8jXG058UEukvGRVoRM
o6FsvdwO7c8ksLx3b3/t9Wtufx6vG9QZkLu3+RLnX9vRJHriZRz66CWZJ06mgFyYj3e3R7m26pwU
nbufQE6+fz5KWw1oDKVz6CfpWB1FWyV3FuJZheW0d53U7ezgy0uQlhwBBvcttDZoo5yPptH7I3Ns
Qz+b2sFTgZZjn1RprhyV0yE2rCKAq7WHI708oJSEyBv4ygQ4Ts/5oLqWtmlsLlGgyzlk+aWIPZT2
9QNpxh+3a1apH7Iu2hq0qEidz4dCnG9RbNHyLs6xcOkiy3J1s66CJRcZYldy/bBUzl5kuTI/g7ch
1w/kiBUQfD5oisodXTczAWaHfacqFz2QVat/D3W32+kfXxuK3qKF5x0Hx94+Q+vCRm8nVGMK6or2
S4Qm9pAmXAGOgj5lx9tb89oBxVKCqIHz+Po3mxPAy88cx7FMAqucqp/I+zbP47j0uTfQozrKhSYI
1PocI6KsNv/IfVkFeBxVpT9WM1iFjlDjjHr/ERH++AnP2T0Y9EvGuTmiBsUQQLSrLQWlzvOVryD+
htEkxcE0zDmKVIqW3CeqkJ7TxJBTrx2xCUqmQn27jKp4EyLX/NTqZXKs61Z9wsh3fobRHYGvAJM6
yU3YumnZ9M+qFJdfVUPSVLSzNXqZtTTtXC5bdSHKddx7ZCJkBYSuCxUfoYPqKcIuDnq5fF8JOb9T
6ixeaVKxV1pAgOKi7Y5ZL1R3tLLuKBFUISf09pscu7MAzIgIbn/ui5uIu241/wPwAtwbJZ7zxVwx
YuUIe9dLRyu+i8qsHdxRp4KYOa32lyGHxeHPB+S4EABoXK2FnfMBw66spH6SdI8SvH5S41a7F706
+VaO1qIY4r39fHF44LoxDPhcimf4K6///FVARUy119EmMDzMjMZDDV0FeAJ4hAXJCf/21C6eSmvD
bx0FOgLGJfJmLUl6pXQwwK4PY200bkuV6JeiwCykMNrTs8/kE+K+o1/ia70z9JVZOrrFK4IHL3jQ
bf4FET9tC1Hr3iT1dgBNK/c1+taervd79uMX2S0jcP4oA6L1jFTJGm1eLajWpQ2lKAgXZjIuAVan
FhWKcPJFgfTDaI/YSRZz9Ves4ldpR8UesPyyEMz41oo1Iam36BNtNhDKiTW4oZTxofT4bSijWeug
KHASlpliGUP/PPE5RyGuVcqofMBDfH7KLFGfoiwcvduffB3s7C5afwygHiiVFDZoa58vhlhFJa0I
9kukImNfC8Xyy7Zs//yQkiywrWzsHmk9bm48uY4HNVyF/8DyD4feKYUrAVp0bTE42Ghqe0/Dq7Pi
rQarko7LhZExhtyqNQFj9jQ6CndjGZWPfY2Ixu21u0hL1rXj0bCC3LgRt6mnMhbARMYWRxhJC39o
FUmXlpjl3xlNE8kDLK+/nUEc7RCcr1x4wG954VNZgKO+dSJFa4sOz2xpXqJ05pdWLVF9RbdKRi26
VtKg05q92tD1ETks1PYoZm9hdo1aD5g7wdupV73OQkfWSo5WHWZtAaGOFPHOul5+PZyPV2s+isiA
9betzUK1skUtGU/tVelopDbqUy02OH/69RiFHiNIFawrkdE53/m6E0Yx5WnIUEuUPasNQt0ahhFv
RtHnADdn1NtXrxhjB0d4uZgkXRgb6ZwELiBzcxR4BXGme46CDp3w1IdNetJRDwoSO5QfDDufdqZ5
eacz3ip9iE4dgdvYhA+67njCYb3kpZ1eBro1lXc96kFY4SGyTeePMpxh44pToHN5e4GvXHQMDakE
50PbAq+3uVvmSJdGcNSr7jJ2UVE3WshXG2rQoFGPFUc7u5EyNIeixxHBKNTpIJmS9pdsgN29/Usu
g4smcyhIdSF+kGVvbtxuAPNkplxykjJkQVjXuEUpnXVvGvNeVn3t87KvKMuT3SHgsBmqxe9BUkNU
IyIUNX1LaEhrK7N0wpV2cJUWLf7bU7s6nsHarozj9WF6vovbXEMajU4IYnmNEkRSwQL2Zv6IJLkN
Q7add56/15YS4Agn0wCTRAp0Pl5vjibPBUQcMhstRwWTC3+O7SHoFXWvOX/tGlh525S+YYKCdTgf
KsGwwtRKhmqsqA8cEjtfK+09hNW1BQS7QAGRlJbq8OZ8RCPyiWHdGN4Ix9cN49xEb2gOEV5O/7YG
HAluf6/LmEF+RQ+G88+xULf4n5CmpyosBWJr29ZkWKlyzLNSgu3ZtPctzG6vxW5sZ5NcZjyU8Zgb
pwCqCF2p85VUxEzz10LqJ4wU0NGYE/Vvp3nqT7I18gApq6l5a0t18UnPJHE/ZfL05fas1091nmXw
AyAncARRAX1xAnydcqHmMjsZGDAPi7cYw1dMBgp8XjC4cJwPvHcFj5nS8SVTjO9uj3zt81KrJcEh
XFpM/3zqGpLBlTmy3nYu6kOrd7WbJFVydKIOt6VW27Mkf2HZb6dKyxcZByTMqBZv3vJlbsiZKUcc
SPwu0OKM8BAIwqi3f6Albda+WuQqTiUSVm2+qUWGjLPaqlY1DdUXJSzTydULIXRXm0olCqpJIFeE
eWGL/0RfYXfhxPk4emjgT5/bxFR+5RSdO6+s1aI9gfjPWk+uS0GVxDTTnxouYt8zc0Lzkh4AEA4j
XXA4EcsgduANV7bYyg0C08a9QNq1fodXSXVXxfSvFwji9QQ/KM5M09WcvAsSPDa9GPl4tLXN2lOp
1rk5Li47x+ryTU1CtErUGWj1cLi2x9jRWkcYoa0h+yInX2dN7+jrmI38z5grqNv2adO/x3zDCF3d
yFiOItHUD7Uym627dIn+pbL1iDZ53NQGNg19+NZI+jrEcKOUJzcZexJv0FwYhUe0XuAe4Q61l5Bc
uVppDYN5ehE34GlwvoTpvBRG3JDYWZI++Yoz5+/HSYpcHuRzcPtUXBvKoGO8+i6uiO/NhaDlvRAK
B5J98+I+U9GqQZ2dqJF3O/XZKxfeyg36f0NtAmKpr7ddwqwMo1ceBlXkX5b1aeTyCoxzF0TrdEIk
bDncnuHVYTEdhYRCnYL87nwxdT1CTiVhhnZtDiWyca2+MidRusdDoBdfcMSTAuyI7J1xr6ws3VMK
XVSfyDa2nejYRrA05vd4cqPhJ1ehKSg6u34MVfmf2zO8OtLKNiSvW1GNm4smL6q2m+aMF3NslQCC
J+vg6Kgsu4Vl1t9uj3UlFBMZ/3esTZYxldWA8SG5Mnq/8vsBLZxvKMGb/5e0M2l221iy8C9CBOZh
C4LkHTRZsp5sbxDy8DDPQKGAX99fadEtgggirjvCXimkZKGqsnI4eU702MruiuCHoqZC0OhsR65t
vfHn0mxh9jASxHxkF3yeGrN+gazuaFZqz5TBJpkkpGr6YnMqswZ21BhE4clqbQa0esYdgOoUT+ZU
pQel8p2TSFxBI4QWHmniFnQKy6GczTQmm1l6QE9wWVw0f6au24rkWuSd8XmRlfP740+5t2Fg29TB
oKlFDnx7/DN/CtB8YcOUbPhJzwRjvCao+cdW9r4i6TUBBaNebNrGjVA+ndylY2lD35u/J339T1ub
3me3K/7FWWcpBCmQT1Hh2myX5QkAqkJaJ6i1s/eN0/GKoPraRusaawf7tbcowmlG6fDF5C8bW61i
jCiD2UIzZh4jRwd2N04UNZtlORri3dslgmloXSzmvunX3O5Suhiz0834RmPI5WVtkvTqITVwerxL
OyEQcSY4NFVzYoJsE0e3tePPLowYJ2/s/yTq685VYa4XkwWdhCvip8fmdhelaqPE7Srt3CzK1YLF
bv2J+gSl0nc1wmboNJZerEeP7ezdKyb4/9eO2sefIg714piWhh1rZk4LIlkE9exuAv0TrFBiBOVL
yd3+/Njo7rek7Ithnk26GbdGmWpJ3LJeMTowaBrG8ZB9E9kyXrrU896Xow9x7GOLe5+T/IRqj6MU
sy31i35aZm4UQz7pHP3eaevncW2/14luHmR1+0Y4JGq6heH/zWu5+KKaTRe5264S40vQ5UD1zUIe
HMS9HVMDZlDlAwXlPN4upTHyuspG0zoBZMqgB6UgN5bIy9VoTDEj7L/OhwTN9wuj0mJS3AH/CIHS
dvwgN0azNWbOfkl+EAVO6342hOX/+niP7tMbVc8xQOGrzjBTr7cLGyphpqiQcuSB/F8RV1tfzTzz
P9RdjDzNTAygyNNPdZNP58eW7z8pliHJpKCMs2Jy7NYybBHtDKycjfPr6pOlWdk3QM3TazN2/bNl
x/XZkYCaHxu9vwQUklTlUWFoGcRSH/2nI0l1cyhTLh/jV8hmdJrjM0fnaZHtjL/VvKKXf2MOOCcT
Qj/qZrfmjAzlULdQ5hq3P1lBFpygF0cmLB//WrT4CC+2tzq8pVKpcCk+bqmnRienK7pyxQsxMW0F
LC9y0yJFjDUrvhZTpR3Uc/eOqPImai6SQGSLjM4Mj5mchMyF3Co50dGcn/QU+tzHH3HvoIDHoDD1
o3CzLYHlPWR4jCCCNAmG7AOJ73zVZtRH9HUe4YDu/IjRuTp6bHRnaXSRIBRRA48gJTanExhlMDKQ
zc5pyfxawgN/DgRe5rGV+wcb7BepJyhnBxvbQNjuPLcaS6xMyBAxKFen0F67w0cIv4o3JzPEOaqE
wt+lmrrtxc0UogRSk8RyuR5HmoWOqZ/6axSsbXMy7Ho6SQelysfr2zmQLm161a3iiNw1AOtuzWxU
jQhI7Ol3A0XKF5pa9TdNm7XQj6viIP5Rm3JbwFDzsiAt6FHR49yieD2nomm7LnCB+cv8yc5neWbo
2DvBDJOcyq6dTxpKcy8ySavPfmoekTbe7ybDEcQOOj0aRlidTbSCCm2pB4sHNB+Ruj98N9a7qGY4
7rw2SzIdfNpdY6powYa6jF9v8ppqXiUSczUTwUj1XLtssd/16+JeyVKN6+NdvJ+AgIFG6bYwQk/5
FJqGWzdWa55ZNtNSRelcCoZ/hDzrXIlzkE/LazJKFDBRjHiVqcNgsCbf2cLvPz3+Dff3Ebt0q9Qr
BXfMFngAikZzrRUuHLh4JTK/RntOsjU98Ne7VtRbS8BJ+LdVICIb54yWfhXN5jQ+ZUS5ICuo/T1e
y/2tUIEKozSquMeqzNvPaY29REibIpo1UO62slU8m6NIXjJ3XqrQaMbhYAP3loUPs+j8O8xObtHf
KKtBlAycIEJLrf88GoX7XrT+cBA97y3LAxMCfsVU/JbqxP70tla5B7/tmtbg5Qr7KZVQAJRrI+E6
k1WIfOiRvft3gS/4kz31e36ytzT0lJlMqSNv0d6X4KG+Qcy6PGVOkzOy6f8xBmlwcOnulshIMb0v
BaCjXHc3IqHH9dRWCWyv0uxtlLGm4DTbXv9kK+S5kTVHsP27S449RgKoQiECplL+2yV6ab0OqLBw
UrQ0u6R9S+PHAt7Arxyjx4fyR3vnxnkqW5ZqI3BImJ3eRIIS99hA5FtFQy/g7LdnmfzGWZIfvXUS
UNdlVU3TbSlPisL/3LWB9V3PchMq5ULP3yErbH5dTQte0SWHErcoobzvpaCvbNfVd1g/+P3oFnwj
qR+eDLdffqGCjRp8ZnUy1Jr+INDb/XL4LBowvLB0S2+/XN1C8yy5TlFWSffdrHvT2REkO4hZaweH
4u4cqg+HGQAZimV0i0OYpGfJmdQ7Qn3pD2f2UbePq+Va52MKar4bcnGyy+yI+W7PqkKIAUrj/7sh
wDpAQ8q1ZBWhxLScg1W2zD84GipFbXKpRk0Hpm8a58eHZO+rUixhABn2RsB+G8+1FvkUd65WRqUD
D1mPZmo0QMBJnbA+AnLvmqLhA9YMLkHyu9sNnNdh8RIQAtEIIix0UqdDqHaOo5TK91v9MRsIox4E
72AEVOHp1hREl7M9+3YZjXPlXz26apFwRqTAijS9WAgB/efxV7x/T5VBYIs2IwhQQmzRF5qk1GYC
XYkMmeR9aNhNcAHoXL5Mvda8m5N1eEW2ZoCTt2j+zgLEUjw9bw5e1J0DhBWgH8yt0XjYErgEFejB
pvaLCC4GL0I9oolWabehAxXGhyAOutCt7PrA6M6u4jqJCSmr8/BtaeaHamRY0beLCA7D7IwW9Pzr
angDrReQEo+/8q4p6lOQDjPfQVx2u6tdTXKJYmoRJb2eXIehTC7CN6cPg9OXb3c2IHYUq6gad7pr
0sM+KGyr1jAluiBs4tW/aBAqnZq6Pyp33IW4RD+Kyw5YL+TOpHC3q0qqXMGU4gIimCqI9KRwri1c
5SdHBMFfrtPJszCgTu0VYgFSqaO0aO+jAsxWVF2kEhQmbs13RESuHidl1KdGGYpJg7m11c2T0cbT
QWFn560FZgrwQXUIcAIbD756ObLVzlRGqyV0Jsj69ksZw1TVxH39ZFRWeX18XvbuA4VToj8XaAul
l9ulWRNFEreQZVQkZvtSeU53blqzvsD7s56Qc6rCPM27A9ejFrF5dCEE/z+jm0c3W6pV9LBoRjK2
kHKZqnL5wlC3e23qwnsuLAuF0cIzEH6wzeL3xwvetU05C+wFOGpgk7cL9g25jMJcSVfkaL2utT4i
kOyCmBys9NTX0/cCWeWXSbpHwL29Q0TlWNHhKnXRLXVBsNS1r2VZGenjmjwt5L5fc50CAu7qCBa6
a4po7cczqWibbtdIZQtVKr0uGSkwflkr3fvSCI+B5UmPD6oUe5YsVM0g7/tB2795r/ho0mZar4jA
1mWndUBbcpZ1ec6l11/evnHkYoy9E+yBSNzcjJq6YO7quBsoQuvnpcr7LgzK6nPX9drVaplY5pHU
aAL08utjy3svF7VI+i2YR6NUV+7pp5gb2CkEhbODp1s1IzKD3Lp0vT48+4ubnqZeLsgVZv430aWI
26GK6TIb7/gHoereTaVZzoQVboFXe7P+Jc4KVTcpotHOg+fJTOHqs2tUysv6u+HDl00r54jW7S6F
wu8qpIkiBiQP3Xal2sysRNIu2ETIO5L2MP0C749/UFDbu5IMpUBdpOoYzHzeft4RyT2ZDkGBe53k
RzTetKu/yPjCa/mHFzvteupGr/2wuNBZHHzUvYdFyT4wNwdY0tuimOdaQGOE8G5kC7NvT/aYzWc5
FMmT4xT9t3xs/e9+kEgUvP1qOQ2rrx8pM+w5fDWBDw4Deg+iks3ip6JD+90rIpdH7kT6DDYknfJo
1qne5LV9NPC/d2PVC0r0DqCayv6tvax0jQT1+iJCtKw8+UuwRkbn5pc06MuDG7u3NMZ/SPqpDnFt
N6byXiLi2ViEPUFmom/uu4zyx8NT6dbLeR5W++Ac3S8N/6pIPOmaUV3ctvJduzfWOEmKSMj5c9IP
08uoE2iintq9OaADgkFJRvkieiPbeKRUJF+BPRQROtqTEoT1I6Dy4lL1wj44ofekAQruwX90o9WL
ufV7wVDbFIMrIlYtk7+bQyFQPURBNQthrl+/LDT1/p5lKU9DMGU0xZ3pF4FcYWjC1nGp5rk58Ib3
fogfo3hScYlMX24BhaWuefa4FvhhtJN/bWpnLk6lM9hP7ky5KoyrdviaTG2dHAQNu3apsMA07IM1
2LZ5JzOp+lHkRQQP6l9S07Iz0APv3eRQCifbXqJqcqwvjz3/3olimgNRAkUCeAe2D+h92VXXFJE9
GyWzgnNx8fJZf79Y6Gn8C1O8anDl4QXIk27v5TpPCf8o29yDbrw4foaqZdO5CJn0R/pT9/fSBKvB
AUZoR4H7Ny5nGNLRmWxMzbbZhKJg1n0kxo26JNGfwJuZz29fmnq1QNgACwW6ebu0PnMnsy47bkvt
fEz9vjnxltcXf0zXA0t7KyNR4HQosObde7XUmeVrMysr3UxxEzG2sHZVEsosG76M5VwfgOju30cF
ESFqZiCDrHK7aba5JJrXeHnkGl13EZ42fOz83jyARO6dQmAviu5fzbJvG/SG2VDjr9o8gtpUIIls
uGenoNU14XPOj7dqb0E/m1I/5adIB53tsU5HTPlNYXwsxji/QuAt/sVVJo+iEQmen4n1TQwueQqN
BPEbSMMK+RrUo/8+7qEWdYSM//ToSJ7a8bAvv3M2lMyIYl/Bb3Gdb5eWDHWl89xnEV20v+OY0k21
Wh4aGMyfLcz0vP1L/uDYBlJK0g+9zK25GFYqv4HcBB6AbrgMqSs/MSP1Nt0z6CYBk/0ohBHt06zY
HsA+MCs77bAyVa3oAQrHzanr2/wPmWryA/DSo47EzllkLoG6ApEoN21bC4OBz8eipc6i7E+MgDkn
N03hVM4PaUf2TPHgUVignsnrt3FT06S3kvZHFulW1oZJjDKLSIwRX0zh6PGx33tkVR2TiSpiFaLd
TcZkpQXT3jjdqJxjPUS6xPjLiDW7DuNMsauU6KH5iBNEqQz0awJr0gkGlPJaT3WNLrk7fX/8e/aW
rmAJOseU1GrberKZNZ8drc8gZdeyj8Zaxu9xenAU6ckR/nHnWfVokdKtpFXJiOjmWgyIX7kVyrkR
WillaHldfynaCax1mvUCiiIjPjdFsD69dYG8PoADgBvBPACj2e3tSE3aeL5eMHTVZ8HZlFMfFhKH
4ORZfpCi3t97i9Fi4GHMvtMJ3mo8AOn3Wr3IsqiSc4m0eifOANbQammY6g8MuHUfL+3ehYLeU5VV
in0scpunMSkMSmyEUH+FKu4btd7qzNygdn1s5f6EKBo+ciUuBy3mLaRjKqRbMteeRnKcrajq8g6u
rAGJHcRfwsem9hbELCuJGZxV96Ttcw3ZHEq/SUTErgF6Y1J5pswfPbaibvNtTQgLVIXR/+AUcppv
TwSco7QFRSqjGkqqX/Q+yC+uA+9UT254LfhroZdo9S9Dt/hvPyA84lQXiYZUy2mTpjB57skA5diI
FxgplzGYLoM1LP/Ua45aRF0sB2d/50ASDanpBtVBYejgdqWILsWDM2Iv7qsFCFVTnip9Sp4Ds1uu
bqnkjh9/2vsrTvJApEf/FeZG9vDWYNmO8AtVRMhD3sXXlqFdSE5X8xRnvfNCs8p+sbIpPwha9owy
o4oPI7OHZEwd4J8iCVFYROZSyojJ+fpsFpN39gY0rgx30t65ZtL8kqFtdhBY7NwKwMH/Z1R9+p+M
6mYPRgIABJ1QNz413eq/0oSaT/1YJp/f/lEpCFPHA6uJ9MnGg41F2c+i5bwijrv8aRgzshl+ptWX
zFy0aKg4SnXjvXl6jDyQQUSuPLVoKF43W2lDKtTItJRR4TClQtdtiSSc5C/EoAH1Pcd/u5vBHiEa
YgIqkd/sYjutAaJZtYxyb+lOhDrj2YaB8jR7uXfwBu84AFK7H0SA9L14i273Lo61QTRTK6OB3s3r
Ct/CuY8thozyPDeMJ7hwtGts6PX7xprjA9s7Lo72nuqGUYahKLI5N4Up86kL1pn3bv4yoKT0UXZ2
/uvjE7NzONFRZvIYfiZijW05hKjJqNFwnaMptRS94pRded7bqMiW7iAv2bl8DPvRs1SODRqCTTgT
ZEWxNAHe06/pzveFWKlI6vVL5dDvK9t8+I9WifLA6M76ID2ghKf8qMGDe7uBi66tlGayOXIDGYRp
XeoRXOvDU+7NQ/j4U6r9uH0smORmTJwBdcovMC3cmnKdITaCmXF/TmT2hwYQ7mQzIvWZKl4V5RT+
DypLu/ZAbYLEAXxE9ePW3gLiop174iF7cfyXqpTZ+7RMWuaNZVL92QVTdWDw/kCyQHqziqeNpHnb
cRr8tJulsYrI6NFISToxvmaDHA9eoh0rMM8pgJGiBIIi43ZZaboWltlpU8SBZbQZGMQL+kT1gVPe
+XgUbRhlBIrDqdwWjFZhDZPBqxqJ1JotIupZXOM5Kb5p/ZS9rkYfH1QBdpalxqQUUwT1Kd7Z22U1
ztxkNHWnKGhs/dp6Qjunx0P293eMsJVGBLTkys4Wqbz6ZtEF7jpFozNkn5J+jF+0fsnwzLNBOXny
PkFt0h/s2N63hIGCMAUyJ5Va3i4ty7SJeMWZwDRV/p/w/panJJfyKV2g3c6FPKK+ub/TZGDUHRVJ
J+MBW6jmEHTMfLWVQAeqQignzbqX3ubAUL09gvHu7Br9FZBN1NsYxdyifpYpD9ZhrDnyteheutwy
rkVKSvLYc+wsiFsMHIxLTA1x+6CtTq71vsGCZFyWn8y8H8+53aAumB6Rq95bAi8C3pqBemAy9tZn
0KxKvTFviEV8vf9oD7rza1BVq8lwYhekB8v6MTZ+6xGx9mOXIErGBW9eT+i2RIZonoymLG0EXOC1
guivme+F8FqQXq10WZ6mpFrE1SGmgf1nyRwYpOpcJ4VtdacMY5SJ/xpXzRlORTA2X+d5Wf7S/CH7
dUlt8RdxawBQr4MJ7WmhxGyF5Wxaa/R4g+6vFTOAFBigylCcGVuUiGCwobCSbIyyhHpNmMqq+VrQ
NkoYk/OtEJJ1hrCC+eBe3VMfEJJTHWKoAIJWjvzm8QrwuEOVtmMkGPD6JuNVg/VYOKtxbqdpGa/Z
NLsXW2nsXvqZ4XN3ia3/al7fuuFapHZw4MLu7zm02+SOCsIBx/pWr1umSTnMdBjgHh+y14FM+bwk
JfpVohhfi8xLDt6bPXv0pEGN0BrnzKrL+VPgbCP1Xhj5SPBVOeapghv3HHTM3qZgJ8MJ/ayDN+H+
slPmRo+crAQHc/egDoK2StkQV2Ze1oF16LmBdXEULe9ZUa6Sji09d1z17aoQAAWmDRgzEnUeXBsk
cC+0pPqDE3t/0RUtkSI15MEmHtkEB2LtjSZBXjZKTD87U3frf7Hjrgh17uCb0SHKFDEqw+A0grcY
gnwBzF4GHeE/8mKhs1bzH5WHGCshuXxy4yb5z+PLuLc0aCqgX4LvUjGj337AFu41JpmIi1tb+qce
UvI8NOsG/jLLLf96uy0ViHD8KN5Tsrm1NWjtxIGBrGoZ7PSV1y8+U3wq3gttqY9UpnacDAeCWFVp
NxEobNbVS1njCRKSN33SnzQZeCFsd03YAkJ67hZHnkzS9PPjBaoF3LpoyEyIjaGj5l0AWH67wNjo
ZDDqykXLbgKsmKVfqmKelJiA/2WBMey5jYV3GRZh/PbYsvqXt5ZhbgZXBNCPpu/mhMogCda1ZBun
jqIqbGtQj+D/Z//Px3b2jgvRMVxdaiQNsrzbFfql501QdJF2rFSIK/qIYdn6LXqxrTz4mHsOC6Ih
7PC2kptuTNFAWGZtiaE24/KFOaxylzaHviD3+1e3mMXvj1e2s3eEkvDEqGjPAj94u7JVFhlasSo5
rR0DnVAQmlMWtF0o1tV4Wkb0iNN0CkJhrUdEaztnVQVepB1ce1a8CflAZxhm1RfEEclaMCdplUgT
ZGAFLHPUfqNFWIfSa+X18YJ3tvLG6ub7WmWyrOtMocGC/AeZwnJ5NZJEntpgOiJ02V+gKj8rylCO
ze23ZdFapy84Nakn2UXa7gKUpaGmMfEGo5k+v/qFcaRvof7RzZVQTQXIihXxtrPFSXpxIyHiMGAB
LHQIopM++RDP69vx2DypdCJVREWGsKUkLeWsQyCb8cwFyW9jmXufy9WLL701mUdjpz8mB7cror5H
sZsACkFE9Zl/esIhLojXsQEh4w5+9dFJy+lZJLENdDhrPhhSan+PSz9G5uANL/BBN5+tuRjXE86h
+Lw6Dp59LF0HgQ337yS14xORxvBfeq1UX0tnQRoumY66jXu3ikk6UjQa34h8bSqhcTKvTdnycprp
qgimoAYve8CVDSCjCB7n5pxM9Xqmr68dPKT3Z44SMy5Rxx3T+dieudkdnbHwPGis9DZbws4v2l/0
Wu/mkIJ99slYF994nhj3SQ4M398ryjE62RslUZQgtigGISwgIwvF33Fx3cs6dsEr2X0ZriKO3+wi
MaXm+CB1pou0Jax2Rz12pcRn5YtWM8PriTbS+tn96GhNN4TFYB3RFu0uTuWJgEMAx2xpyHWt66Fs
mXhWR2eOsixwLxUyGmFm9sbTY/90f3RYHH1VmHuAlHN4Nqc9nszchgcpqkbPvozmWvxTaLX/EcHe
4dwKhv2ckUFQXS+OIPr3Lw+W8VQ05yieUDu5tWwlVte5AXd6aVd5CgoZv2sqXro0niE5qIu2//J4
qbsGEVuidU3FC8jqrUFC124JMhUr+1736jHCF5ZN3pyqXpqXNAMc/NieestuHYkPlygdLJoUKoPd
fNrENhB6afHHFTLoL1lvzS+BAQPPgvJTBD9T+aUBzHFtRLuG9tp/f7N121P1dIsfQIdkk8gmZtlN
9ATJ/1ybvnKSUbQNrcrHhwX9eCqY77gwYla/z7NpPBtmd4Ra2znENz9g+97OnWZUszdGY0cTj/YI
GJKxEu8GRx4NOt0/QgQVtK74vQBa6T7f7qw0Ci+ognqK0LseIugg7ZPuQ9z6+IvuLQhvx4WkkghX
7PbAzrPjtqKbos6lZR8vOJolnlCCz4M3C2hQhKCKTmuCcEWRrd8uKOMPW8OepkgvkEyNDbsI6xme
wnap9FOqHbJI7S2NUUICB1ZGzLcJy0Tdy9Zp9SlyiqR+8jUcaTo26/sWpObp8Vc0dq6hqrnBs0sf
EFGq7bmwVBe0Nycwf4wsE33Rww6LRfP+pKUVrCFawM4F1eWlvi4mY/7nFO6dj/6UOhWdtgmGIdAS
xnSmwtx8KZbYfec1WZ5CQeAsR7TPu99FKThCwmdRI1d//lMsQN+NalA5TpGZjf3TJKCnkn36a5aU
wYFz2imcECciFQbBAJhAStW3pqTwk6Az+Cx60w6XfmgQqdMo6bZ93p67Pv2SMy91RTZHcnd1/+QH
6/jCyFZ/sD8728PvIIig3kZCsH17uoUx3AmiuqiZygCV1Wx1Qojb3BOprcW8YuK9OdnhnXP5wGQD
hK7brmqKGlxb5ckcyTSbnj1fUK8UgqKbE2sHa9vxyAwOgD/HXZA3btsdetUAyltmEdWuhRIBM2LP
a17lEVIjY8RoIRCZURdP3ZqukVVlR8jLndNEnZtqHLZVVrc5+ZPLKG3W+HRbskR/8Uvrzwrxnf+I
/vCS7ThE0jlAkNwyKsFbOHYHRUutZzE0znVrnaexaH9d4y47IAXYXQ9Ac4rM6CfREb49sk5X2im5
qYhgkVpf8nWez2mZGRRNtfZg53bCFGo1UGEw7wLIexuDdV5QV3RgROS4afV1Wof6pYwD67NhFmYo
WqSp6syQYTXab69KAfKmlEJdygBqF2xcgKdxokCci6gqOyNi5IZYt2vy85KO1kHAsOsDFJsfvTjg
PHj+2w8KuTF8Sw6dv34MuotuVMm1qvPmLIv0y9g4xSfhmOM7fFEVCXctwinwm+tEbnTwtfd8AGE1
A+bMKoOV3PgiY/L9zm/KOWoW2PHCch3oN+lGKb+ltQ1gOl2gSn/8LOwkEqChmR9mipLerrW5G/Zi
uuWa09QNujGj4y8shKlc79VfkNmRKJCdtBi+qMdG966J2lga4dCtkjjffu+FUcLJdCa+N/lTWLpS
+2wtTf7psZW9a0JkrQ4QoRiT5LdWvNzKHLtHBc8aE+ccx6IJ16XoPkizOZow3/2KnBueEQpHABtu
TQXJkk8oe4kIhWMIFI2YEdtsEs0ZLsh/RlmJr6VuH5UA9tbHewWSghPj83bdGrUrw5ncppkjiDkk
h3IamkifXPPDVDpHD/LeAil065xO1WXY9u3Kfo3NOV1wOYZI/WfXGbPscweDtPPVkuqVShrYch1z
Lo86Q3t3AvQpZQFcGq/HJsac18W2R4gWolaHnz4hiI9aMUyXKTPmM5jCI4aOI3ub+D02Ymm1Ofay
dswjvRPpuez65qIvgX9JhHXEKra3iw7K8qpTDrJ3S16h+ITEtDQi0sCwfUNyD4XsKbanM6rg2UGX
5MjW5phakvH/wgQGAATFPM+LE7zUC/WwZkmPMPq7pigW01qGpIoW4u3hTEargyESAIDVVs7XcRqz
Uyoq/Qwi9u0zfHR4QWzQdlM59bYkUYhAmxuTs9lofXCF3c6/mj0ogIDrcXnsUvYcF3w4CCQq7BuN
hdtV8QD5tWMKETFIZRvnmu8p1BTCkVfeO4RkA5x26JkAX29cV1pklNptn6DUdrNfbK106So4+Uvr
2ckAi/B6dL/3tksJtzILSe7KwNPtwnxE4iGsSQDMEqFddHeyL12NHlssJ/Og8rFrSuEbEGzdGRSh
s5vU5hoT6OpLfS4QDf2VgzFRE3DyA1N72wU6lxYJRVIyx81n7GPfRAM4E1EQi+G5Jrf7ommHagW7
CwJL7vKM0vXdgpVg6Fr9FBqhqGGK4pq7FQJYrpiaMGva4uBN2/PDoMz+19Zmn0arsfzcA8AA20B5
ZZTJf/U06X8fSwY7NT31opzRsn9x6unXwbIAvJx6pwoSf8rGyrwduynHRVHaaP6pjJ4JrmT044Oo
YPc7/hjDVYPNwG1uzThlmU/1zKFnwjnPn40ysV/SZBj6q16AMX18k3eNMYelsBoKg7x5VnogXk2y
tOQEYrDj0Gqd9GUZe41Uz8DLh//CGoAA+CnhKEKS+3ZpBgRWuijyHzCU5oMbz6iDSOslKQ+5u/bW
xbdDVgfMkxoJuLUUG7lnaMzYgR0qk0hf4/4ZSZCvqWi0A9jxXmpA7kEKSZaOiM8m/HDXrnfrjC/Y
InX1TZMwC3iNWSjm6+wsxlEPa6mVp1WW3x5/zL1KBjKNsFDD36KURzeXIHEDrahmsix4tNdXd0bk
u3GW5ppPAob3SXOuZWXLT10rst/gT4pfe8gR1xNs3cW5SZvh6uaJ9YceT5X7rnTT+p/JEst/H//I
3X1QvQF8OFQh28MM/3ibGwHvX6DPzpc8nUHXllrydyDyI/WSvceCHg0oCwCTqhdxu+VOzWBq5/Eo
1XEAQS3+4eIOCwz/JtgHVL2Ohqr3lqagLUS6IBOAnN7aG2sj4ymRPO3FAptY7ebfbMWB3oz+v0kC
mSikhaZyTygvb01xdVNalSzN7XIkGZCB6r9BqS3cU9YiJ/IvfIJ6KnzogBjv2qZfjRIYZAqD0M/I
4ydICMan2sysE8KG6fnx8djbM1BwKu8CtQLe9HZhQnhpYs9UiYVq4CcmGtaytqmjVUmBsHYgyj8e
G9zbNCqbVA2Aa5EwbPydsLvRt7J8gr3M1p6T0oQQuhbpyiUd44NHau/ZhXoOlgMKByo1uV0cybzX
LDa2GmGLz0XhjlpEOii8g/3asaM6royOMcJIT2rzLnnmsNQVZLWRM1vps1Mt3bmMu+r3x19u1wqY
AGA45Fl3nVYmeiqB8DC1yGoYmotoUvM5ycw5uP7/7GzOOhUckIk8gRHQLBkuvmyBbqXZQf/uXi4C
BAA0aD/OOA3dbb7h2EEmDIRgo9a00uXFLRtphE1b4pZEVxa/6WPWfJ+Xpp+erKY0SEamlGl7G1TJ
d3StTOusL87wbOiJlkYVPecprLPSw72Z3vhHXxuGFupWmn0Zs7o0o7itKS70BoSmH0Rf1MoNLpYI
RVxb62lijragzJDbz/5AKnHum2L9tV/K/ogkeufCqXE/WGJISKiabUo8szsDHbOR8k18H9qAKlu+
WG4jnuwmr6HpX47mm/ZODeEg5+YHnHzbSSji2g5a+CAiyHHzKpxnvQ+9sW2P0uOdgJDSHJO1hNIU
xLaVB3Poqly0Ot2evmcQzQT1T7SmR01bGde1r+HwIy06OKo7zkRNVdCApgBJfrd5AVY6i6s18jF1
OD2e5lwWnwfshcwH2G8P4SmHB6rxAyMCUeitL5lKqiqoYI8c18KhAFYV3yz6wgexzN5uqRaA4uVU
03zq9PwU4baaKUwtqWnadbr2G8jSOQ9nquPR4yu+V2hUYQute8XnzSN6a8cJxsIeTH+EgTqb9Mj1
ZfJJlKian+o6c//qhplZmK4fkvn93NfjF8Tblz9z19WMs20U6Jw8/j17+0j4RlkHtSPmEDaXAsRi
mwMbxeVY1K7WxDCfQMT+tzbGI3D0niX44ABvqdkKZuRuF97NutTjFYV0n4rY78Kg2wXFbCHDGKHR
g2B770qovSSHoDTGdPGtrUImRTlY2hAZg+YZ783E8wAzilxrTjbUtsXnINf8MoT8T/75+HvuORlK
qHgZOio8FpvAdBnKfjBQuY1SR0dqZBlLJHfQ5/loBIl7YjJ9+RcbSEOUIVuP5ijj8rdLTR3NtzVN
EEaUZhFqnuZBrQyzf+ua7cHZ3V0bAaYa4KcatyVdKNG8tovZGaNmtMdnZJzcU+yk4ircdnp2FAfy
42+5e2IA8sIEB3KAVsft0nqqwkS2+Bh7EPFr2mgWEjqB8WKlxlGTY29pNJiVODpFJOA0t6YEXEWj
gDmAEeLBuU5iyU9p62UXb4jH/2jYP4hbftyrDUKBiV5qBapkQESpftBP7obob4bllCmIiibPqRKT
H4SjlK+trNcknKtBfq1Xe/nL0joeVhq36WfXKuqji7L3iX/+GZtLSX1usBPq8JHgs8CMz+AmfMEO
bChp8i9eDNwdSJcftAlbDEiaWgJZHGZoIGybTpldG6A48+HS9dI+Pz44e74cKmB1/5Tw1/alN/Q5
hyONDDhdtOJUmOb8jtKr/ttjKz881nYPEQGmKkJBRSGiNnvo2/0gNTkxBdt47jmfjeViZX4Xgfpn
1Nj153eOlTfv0hp8XlNJ+9kqkvHKoGlfhZS/5Hjpi8ljpoGiyxXsd/NrHTvO80j+fBCP/0C/3/1W
R9HLw/7JQd+81yYsijV0YxOjZf34T5F44jqstaHT7xltBmoHNJOrwhvE1TSL/lfw+cFvqW0VF7R5
8+9ZaxkV+pT+0EZ9O9cH+7V3Cmlikk4abBdJ5e2HrFt4gwxq4EBTey87dXPsP4HZdP4YGLc9cCo7
NQsMAEKiowD9w5ZOvaGmOSTxwsXzLBJkWSXnAq2S05oBzYEw6e+R+eynVmZH3nNnkYw7ASuGoIDB
uLsb3zfrSgBHQVf0SXMeO8lFd3KCusiwpF8ceJiddcIczbg3Hoa27XYW1YbvdRY+s0h57NuhO0Gu
XtuzF85dW78H9mteskL/3ZTzcJBe7K5TUbxRh+e132J1vKFhfrRkPIky5QzSxKnOHdSWV134RxQM
e16UKrzCUJOcQXCufstPXrRmcmmxjI6LXlvZU7dMZlh77RQGOVLH2uh7JyMe5l8SDRejzRnSA9by
ZlknLNPCZOoX8jcSiK0nj0FApSOtL8To2tfVH7t3Jp3rsJ4O23376yVlA7GhZCm2Oryen3eg8inD
itXQPjp14nxmBsx/CWbUU/S0L8J1Xbyogkr+fzg7rx25jbVdXxEB5nBKdpgsjTQaST4hZEsqspiK
oZiu/n/og73dPY1paAFexgIkT02x0hfeEAfOEuxDmV57Mi7EVkRV/+93OEe8hhA4SEeQk1d2332b
TZrSPp4jn9E7qO+mOY+ee1kVf54DEJvSnObckOecn9o+jTKjqoCPjP04xShu2PcpYeuVUS5EARu1
gZYVxYTNw+V0OwlEWgEQM4qFq8OLyGQjk9Ydgqd1Wsx9mlGpuXIbXXip4P5ubVVqW1u//3RE08x7
nfYmH9PNljWuos5sYjuL3F/vv1WXDuV/xzmLb6AMZhgqU4ukA6IO01yl+1aBvJmqqb2iAnZxSjYo
H8xMSA7PA9LSEqswPc15QBVxJ7FQSOBcX6tAXtqF6K+iLsNWxGTkrMDkO6hXKslSaZcwX9jpFvu6
814vXbvLuGtvqsW/Rsa6+BVR8tk0zvj3eZsn9BvUOvW/Fd2mvjMXBK0HDysyTBSyK9f3xa24FQ7A
PSNeeZ5fWyuwiWGgb+U3aKHXuClb8Rpyv0G4K3ei7vvP/8MO2SSKHPgoAP7PduIUoiMtZmImp3Uq
lGVHN5HVPHxysM+8/V+GIj4jYQGCfE7JspY1NJatJ2f12N9ly9Ls2lCG+6BxrhG3L60YBlYorfM/
StXbK/mfB8LtUJK3jO2yapv2Vber+AtLD+9hqq305f1ZXdr3WyS/ccQRKDl/cMnjh0BPWzvJlOEL
FOry1UC74Mq+uDghymBktYjDkbefTmgwDagmAy8eVTzjgLtHG09Fp26m2kyv3E2XtiDsElDMaD2g
33i2IwQuJbMV8pCrUosDWuvGTdnJ4mV1dHdApiu9cnFcOtLABJjUpmHDZzydWgcVXeBWQILgzu1O
aTP6kIl5jkOqHvs8czK8etf07/dX7dL3ZL2ohoJCImI5i4t9aSg145GyE1URvkDznzAI1+o+nVBU
f3+oSxHZf4Y6z0rInYu2UJRazDCr5kOe5cZT2QSGiv0pi5Jg8KrHOaiBR3LdRbv3B7+0mLybSJkS
O1AyP9s3q5K5qwxw2pt30CPZ5ofS68ydaS/rY25n13zYLx0GQF2wDLZKD/j207W0cUtEFXYCFu6a
kIVcbz4Yvfnnsk6YrJHebdwybsrz8G9IR0L3yRh2WmTWrRUqTG2Kq7JOl/Yl+3GTpqMMAZTsdC5Z
ioYT3l/sy1UvYHSWZS9LSsZD59kHp3Bw9ciQpn5/vS5+QIBrdEqAPQGaPR20sCtbip4yIdC94qgG
bCighFxrrl0ahSuYbU9JEtTH2a5IEQBx/LyksTFXChgB/jLLkFb79+dy6YwRrqJZAvqcVHnbm/+5
hOcVDq43svElGp1fc1nPMaSeRcRB4f8vAdVGU4MpystivQHGIr5fap+CRqBC7yC9poJZE15jfV06
TcSi3IwONGYCkNMZba7uMtMmBCFjGFBad7dAwKuOqiqq2yBoxJXTe6lqTBQAYmYDKzDm2TtGO88E
eAGDcm18MJr5Gh1LI/cfXGPN9lMKjN9ZlXdoV2nEQ+HXuNW56XG1l2te8pdmTqd5s/dAIo4W0unM
h2mc7DKYph1tJf3TcUuZVEBdcD/DhsIS0v3+53sHPbPNSQSHY/gAp+PNARYbemC82h6am8DNmr3v
qu7r6CzTFUz1pcNAZ3SDTqCg8NZFPU+XMJrgtWVzFx1E1BdfJkxUj38+IUSoiLIQDiSQPJuQVZaZ
Y81QoVRqG3FtSbFbjJDo1Yj+By4b1By4bOycTfzk7A5puikDeYe+l/SHNJZe2sStlY4v5TItV7on
F+5IWgj0zYHtION5XnDvi57yWLRJiWWef3BkX8dLqaYDKmkddIYgTGjLXpMpvPCgbtaepE94V2y2
BKd7Y0x1XobWMCG+YMi/bBk6N0036sTpu+L34nQrTNH8OUq1c2WnXLjQaOuBNKS7Tep/3klXwB/o
5sEPHI3cPtC5/9mPnXdjSnElOnmzJSkWbeTHja3jblS90xn6I6bpeZ5RdMvKPll6gAINTddP72/J
N2d6G4XXjYUDmkQz6HSUrGhrqvclo4x6uvNB1jzVWIUcCA4/ZaPxxxrn23AIMsBBZ7+Qvp0OJ0pn
6kZFfa3JwvBomLrbGaMrMWe1nD89bDQOCQ0QoeIC4U04D0MWOphpM6hdG836zo2qddcvsrpHbeta
YL79qJMCK0MR+9OoRJh385I5nZU5iCqohGqBOUybl4Ty4qDzi8NSG9FNCsI3Rr2lvVUUv+Mpmv9Y
y28bnpwQEVTIZBQYT4evkPdq8h7wT4Xg0Z5KWftJVRu3lFBs19Utja9uuRakvDkH26A0Szf8Pk/B
+ZyV2WErVol2t/kdJT2M9ENj4O3p5Kk4vL9HLw5Fzg2gjUI42+d0fv7Kk9t7jtoFa7Aee2lzt/gE
66oLliuP7Zu7jFkRPKA1Sal8M+U5HWrzr/IBd6idGYmtZe+k/Xc7q/UcC+Uaz40zeM/QMrIv78/w
wlkHdLThBbYsEmTs6bAtv0o3CUvtZqtBrmAZiS5EM/wP33GbFskOzzdw6dNRJqx5SX3ZJ/U41EfH
M+xdmIdWPEwi2v8PE9owAlxhlEjPTW3FEhiRmzIh2wzUJ6fikFJN85Eben+cS1uDehMYTh47dNPP
pzRQ6s5KVyHwlVf7sJW/Zx0BTBmja32lSyNt5DxE+5gQtfzTj4fOcGRQJml2vrWGNyGglbiVkfkw
Sk/96RPDJqR/xRqBe9hAo6dDCTaJMQVURjyVT1g5T+YxXGfe0t4tb9//fheufxoiEN7ZFHBkzpmW
bIF8RMS83onG123cL6UpH21ivNuCFmaeqCBU3/98SJoDIL42CeA3/XkM4pycCeKB2k/5HvqoG8t+
XmML7+xjHYbXmuSXjvR/xzuLFOYyZTFH7EE9bblJowYjkbO93IY6ddBryLKjaotrSkfbEp2/CJQy
2PwWL94bm5Ka59rrzbbe2UZd76mJm0lJReW+K9cOoVNbPQgUKRJn9u0rJ+/tdOGRbvYhpI+w4IOz
6Qa51/mq4warkRq7LcXq7KYBzscoyuGzWUztbWBzVN5f07eHYyOvUmIgRYZHdy5+F9kAV9oRgQb+
7dCHqI27mTwitlGI+ONLjN3KP5QzEFliuNPDoRsiM/YyjdZy9l77cV7i2Uurz1UXqCuH41+R+9NV
RAgUbgl9O0AWUJFPx5KeXxorMwORuQ45VhN9KOPaaIrv5Vw3MAIxCk7avhJDomerfwRuzmNbQD2z
eatE/t1PC0QVQhdo7JWL7+2LQVJNWMhFAfUlPD+47di0VeH6fAbDkZ8lxbnExGrly/vr+vZ6oNME
NgJha0oEaEqdfgD8IocyCwlspGnDFs8NL6Z7HL3oQn2zpyG80j68NCkGJE+nUgBsettm/ykWrIvf
uS0Vzl3oD+6hgwLefsCb3L+mbXhpWhuBFq4nIiZvqpvUt+uVjdNCPm4RHhuysojBmYq4jnrx1Gvj
WkX/rb4hLB6SeDS6wQaxdc92LbJOJiU3dm0oM3E7i7l5cpulufHZXvvF9YwitmfbeIQ94r4ESwqL
EDGt/jHVkf5e+FG/S4uo+Srr0L/vBxHeD730f7tV431RbebipivFp1JZOe2r9ioY5+1txm+Pge5W
nEXm4ZwBEqSkzI6bd/BwhzqIjagwn9vVLu8czDefomAwH2pvcb4tlhFdSS4vLRXAhQ2dRvCHzOvp
lljQ35rD0SG0HtzfehbRU7S29T4P3dcO/O+1quKl4YAcQb+l47gBmE+Hc+o8Ss0u73cLTkU/a8Ob
bzQuGGhBOGGsK/dacefCxfmvqFnArUkQc17Sz2vfrYfR6BDqsMenbOismOqpe6vC6Zro8IWHgaG2
LI8MgNzr7HCZbjaYBWY5u97rxvUQtlrta5Mc4U4ADr8rnT7c9SLPr1T2L+wd4DVUMblFqWmed2Gs
iYoD3dp+J0uRfuldmHpHiHr9fO85S6ion/bF97yTw9FSIAQP719g23qd3eBEmNSItwYQ78JZkbPu
0zLsG7vbmZPW36R2EVMPq/mhs6YMxTXtvKJJUOMRYU/5p6Uuro1/afbwFoDmUWalt7btt//caFG/
phCv+37XiaX4pvDbiIMsz27bwBBJmMv1ZVF6ulFNcK3jcGFnba7rpKN8el7ms5QCAqFnDbPudyo0
gl3rT+KjbYrsHshC+fz+R744FNUYmthbhfIcwjPAjKZv0iABU+NgXK3CjTXwvaTKwXi/P9SF80mt
Z9ObCbeS6HlrtNEWHH3UN3baxI7muBrdNPAie0A8rWGp9r2dXUt03x8SANXpEobSwY0JiU+ckwO6
o36Y5mSDnm8k+WosD2PvzX/K00Up7/9PEjTC6Yht4C/SMNIOsPq67oTf0RUalvXBK5xrl8LFyW1n
k67vv8pXp0NNRm/lqVsg1FqMztc80uXDOioDa+olByFVRv7H9xfw0oHAWIRiNkkoN9HZ3FTmK3PN
ETHNbJ3HaVM3t9GY/8rtvPsIBXq5C3ovekIF4Rq750JsQakCJOnmz0F36iwuRuOg752863apLnwo
hVWXIK7151kirDQqMBsaaGuln12yS1tpxyfN3glT/Wjqcn10LCuFrrkM+/c/5IVDh3sfrVIqXMhz
nBdA+141qxhJo/wUh0m0+drdNOEVgeztNdTPhUuU6Idp0cuDknzes3cXy+5BVVa7znF0n8yWbO87
Df0PYSCjvwtR0nrNxqm+q926eJAagN37c32LfdpaVIxPgYuMmMN/uk3XMBiDesMm8MNnLH2nn+NI
Fa81GvfYORRqrMwP94L4J64HPzoSrV8zMrxwUqBTkrIShPA7vJEVk+YyDznW7W41lQdfutOHqY2A
J8/7vIrKm/dnfGG3/lu1hGzOUQEbeTph5ND7OS2YMOIV2X3Z+NmXUff5lVEuHEZG+bfoZHok2mdv
RKmtLCDkYE5YCH8fzcKPI6dqH6NAqfsC44NPxCyKqG+9du9c2lKEdPDNuQyQvjoP6+ZwyabOpAgg
LO8m61S4qyWtJJHL6abPe4OemmXv5tVpDkE4l6/vf95LiwnVmGbW1k+jgHn6eW1ZlKlyqQlIy1m5
coJvLWHFASXb36aR2VdytUtHlXYP9x1gRcLYs8UEyeNmdc6lsLJt5rjp6/7Orov8aaXqf+WovF1S
uu6MQsfFJu46J8c2YdTJsUWOLZrS5TnzvTSpsNKIQe15R6Tb1U7kKQyolF/k/W9qvZ3mllGR1ruI
BYE7PVvTNhW9zoTqd4EnMPorMi/f29rouGjxAS9jc7Hdm2CdvH1gjGG7N4OlOPZjnRaHosnc2Bza
TsaGXzkoBBpwfkZ3Gn5c+SW3b30aEIL7pUCBEToVQ8Kj05UPfSGbfEJItJvFcm+v20ukiybWw1wj
gBUOD6v/iZb+LhLulMXm7Hs3udP9MYSNBAMcDxJHGwedVsjpr4G0hK+E0MhfNY5/Oxjjd9Fj5bWM
bnmwkEHdy3S9Vit9u+mham9skU2fCiLO9uf/iUXFaje5SHtYTjjSyL2xzqMVl+homkfQ6yhCRkO3
yOP7H/ztpiD2dWnTAeuha3aevwEqC5xSk2prHEgSmo8imUc//dDL0rtSPfgXsXC6tgHJqct1yQNM
J+RsbfXCkYgqpKhSY3BxMmrTao371Ins2FLZdDfkqJIf8Ydsm9iZwMIkY+3Pf6+dMTr7yJGIu5ir
Fz6GuuuqxAj0+H2yO5wpjHAJX1HDVcsB82ExxH1t9h+ascTT7/3P9XaNWBuPD4aQxNbZPItSQPY2
aSnZlFqWZuJOfpCAijJ+iyYroUuO1cv7411YHrITQgiKXNRdzrMznJP58UHR7QLpCh89TBU9r0ge
vnTexGe7MtjbywnQGrkgPRwuXv7P6Q5UhZTe0gW4nJdm0z4WtpN636diwr8eCY0qfAL14k2xgR/v
sDNKA+dJr9IyPQT0zeWhnDah6qUr1Veb/mEfN41vZ3FoNtmjqHIq5HrMUsolxvrk6GrEfiFS0ZdW
weKOqaNhwpBOYfBRrnX2supV2bEZIEB/SKWXfQjSUD9MoWGKXdMQD8VtmdFGLkoHuUQQhH2zB2Xk
4V6cgu1LJkN7Hu7l2P7djDC/lmRW05If1qyW2D1CoBV3VVFqJy4axMuTqJxNOGHowUX3+LsIiVl2
LsfDYLShvh+J8LJvHXhPnAvsQdhoD0Zo3zrCTD86c2GpG1TK8MSorbILKIr54V+rQgTpj/MrQBCU
WkBbU62i/3C6QgBM7cz2qVuLII9igS974o2iQj45ivblkgX7K1uCn3d6ZGEgoST8LyBioyycjodh
im/1wLsBDJfZt95t1X5AeOljPaEs//5Qb48WuSk5KjpKJABkxKdD4QMgWkie7c6e2uqYhlZ2Hyz4
cZI7LvfQTq4l4P/2uE7nRiOPXcXFt70057UdZ1gcsE8geJfUw810sbv1qy11ro8F/8FD7Tjp3z1K
vGJHBJuKj+XSuFXSUJhZk8BPo/RLE87TF57qvIkLur/pvdt11s9GtV0b87i0X/Xgyo/53FBHyXKx
hk9IPpPot6OYbitDIh9HtmXPSVf4rRkPdh5lqNpF3mvQO+Kbh8/2S2t1dRp7fuWpfSXKWcSrlt5r
l1W6SQDFqH9qZ6o+m7I2vg8jCDk0JabwNaP+WMVdLvpbOrflustr3T0LaZi/wJoj462iVK5xsNQE
7NtqfLW1q18RfvPvyr6wfy0jliU7313zv4nvOrW3ZjxeYlVi3fthzcKK7ohsg+dsLPtXLIpW6uhG
2leJ6qGW31eFFX5ZIdiJp7rPTC+u2Kfq86qzKfsYpI47IHDQy7Xc2cKsvY9phY54EhF2cfDQC7gr
w2h+dYbMGxLDacdvRlflPcysLl8ODUcADU7kg9BlwKqy2GnAZBVVjbR4LovNdtq1Uv00odNkxrpG
vS62Rmqkh4baxIs2JOlrjW/IkPipu8hYQ/u5X3XUTB/1vBp7IeiCXdnf51f5JpxOJEuXnLMLSeNs
f08cM9DAgL5mv1N31hCVDzBDZJB0C39wZbDtHvjv3t4GC3hqCV6gvgCNPD1MwwBfYtGehQGqWSZz
qYNDmOprIJ830Lets7H59vEybQU8zzkdhva728LmMxNL1pmxr0Mx31NpSvee4N6NOzuaP6fC0/f+
2PaI55ahO8VlaBoysWqrvYZsxdt1G/F04oRtOKXwNTeN8HNsJgqCdj4vAf4TNWHdS6BLYwQv5kUd
OuV+7n2dBB63bu9uVECrRUZBTF693qCkIpE4rdt5AEpgG/i9q6FTrzPW7w54qSkDRCHqKdvZUVcE
ca90J29SbBuobKnBtBMAJUP6rDxZOPumt6ssTuc8tfZF5eO60UO42FtZqj92Yy/422W2XTlR2cfh
FDbiAFBxHRPsJJc61t4Y/J7MvK2PkTPm5V4akfXMTRHU+3KYow+d3c9/Valw17jNUy8/to0Yvnm5
Uh9D3UY/RtfgiGdpz0efhN/PSeY37o9WjYA687bXT2kJoz4WvWPpl24s1pfUVsb3ohH+U4ComAkr
rRNTYnkC0dK2UsWDEUXI0BVljT+429rNvcyyeXxwTR1+a7rWXXCk6arbPlt7kRRr1poHswvn7zT+
htulmyWAkCK1XrQbDl5s6Aapx0I0H2giNXI3ixV7uDYMizTWOmycRNiBfIQKzu6imba8QIYP7rAO
ILxDX5oeStWkOowxTcLRYYDQoo+kVihwFuWy3ouyqoGMY4iSBGju/MV54De0AQPcaVN7Aj5the2Q
Ko1mOrTCXSCmhbP87MOPsXZj4bXkZBm2jXEXdIXapWOVfRQ1UcsnHbbdX5k0UYMWOBJ+ocNXh/Gc
2tP3GqlJAzjkXP80zX71bxqki9ekMKrw25yLziDi6UWRAH/wvlGsXT6P5RA+ZSE+sMliDNE/K7/8
57lTGDigweF/HxpLVolpuNEXc17TbN/7Wap2S71aAbCh1EamN3cUfgaTSIdkCVLxQVt1ZifzAIso
xrlYSDA5zpzHlb9E/WtThf3P0SjNZQ8iXj2BL6Pp4OSW91CtrV3sIt1WTty1kH8BJhqmsYv6Rh66
ykAvqkMLwjnQWwx+1kO5/CKJD/jRra2d4bYMPcjZa2np3yQVdbfPwnn94sFaWb4EjsDCFDN2o0/y
upuMh2npvDYJslDK3ZgH/jP6LflnDRvSu/cKvl5M/rzR5ro+R4a09vPqyDkSnzpnDPETq7t1kLyJ
w/iANnMV3XnCbaZkzGd/3m9cuyyeBlnW+7r1+c2zehmd27qf62/Y4fZz3AaBcczkgIMAOjXZ3/lc
p0/NFLYl1kfK/OYBaw3iynHEs55wW4bsYLs7DgRpoTF5/UfX8Eo78bPF+TV2ZTDEroapE8+otTzZ
WdixRYux/CygIttHhKbK+2JMQ+8hsFKAkWJxlXmLU4brJVIWuSdjUQe1nXhYzD44UYv5kjHbnNe5
kJ/qdCuvzcU6v6Q4qKWAeoWv4iotpjGJZnBXs2OrljjEcjHIaeCUPfkkROImHXP1AVa+/0PVU9DF
w4qdS7K5VXUHtGz0GDsdm+rOlU7xURiuICx3tAq+9oWwj9WUk0R5onKSLPeF/qBTu8yfbQx+26SX
XVMiTUsLNyY1ssKdMYzzp8Cxu3CHAk04IOmq5s8BjYc6GZwsBZQjwrKJfUzNx9iaZV4ejK7OIDSF
abbe9+7UlXfV6sp/jJS09baUoln2GP5k5qEN0S9NADIH0S7lk61xOM8Ct6jFmD7hf7oxd928eEKb
HCSJjaZNewfl1Ff5UaaqyeJGrFH1OApf/KZTEQR7gPyLczBcjbBAUC7mj3miqxujaDJ5u84qnJ9k
3MRCzSKd46opOyabkOFHFEmqNGlVOoDJCaYAiLctSyqNrjeYd4bRRIKjuDpTIldoOo82207xp2H0
SWV28GEMLPcvkUdTfrMqNfkfoQPr8tA2UVYd6rI1n5fCW5dNu7L+EEwZa4I7UIZNSl6ubGu7VLfS
9qof5iYvk+BQqp/dsQqzI2629Xy3jHOtY6OprNe16gauZnvO7kYkPj36FXbzjZqdOyIuVU+vxYK4
eTytwTBgAodR9NQ5HJcGDkp7qNwifB47C/uW2RoCbweQeA33pQaYE5e5NzN4X4e/u1l7HdiDtn7l
WJpjjO+LUd5Odmr+I921VXerrqxnXDUcvZd9498VKOypoyrLPuQjNd2n1PeJHs3O9tfnqZPi3iBE
JbJIWRbRo6V9GwhVvhi5YfY8iH31I5/Hxo5Vq8y/4dfmdpymy/DYpWzz3TSj73WHqFXfgPx3vfzg
ZVF048/jCmEJt9ou7ksTs5xsGsYoUQB/drqGP7IDF9e591HWDUjKSzW3ILzaYiuPRctf7bjhwSNr
GL6CDxg+lJm18FZ2HfqOhU5NdddYihcTp7H8O1Gmi/G8FTVNEoyAle+mfMzyxMUPXBEdWMYdYaoH
jYpdv5ZHLPiaAsJurl30AZcGhXlPKhcL6MF57bqWuzBfdf4T3K6wY6N1S3Hb6nyx48YZy/pj2vbw
AZt1tNtHGSJv8mUl9M4fGjoqWUx3ZY0wvqzlBn7JrA/FalVR7DtVqvcLx3pMxGiVDpnBEMLjLdel
i/1xofmjJ7vZA0Vbe6odfb/cpK5csl0ZNNWrWUqZxkXbqA+9UQQ/tFvx16QvPPSA5m75oCTsiEQI
bqqDyiMZxeAI5NfckOqZjrI77MfCCuYDeqqTjWVNMciExylF9D5QkEUaf7JlQireHUolFooQws7M
eAxndkfXe9Ojstp1BMUzW9ODZc1kihv9xE081aafMO2mbG4JlX4yDEvXiQBR82MWMnJ2Y2um6MAr
k2VazK57strGDI5T3uXdnfIgT3zN85xILpDa+9pL0xgSvC2Db+FK9WNneyXaUYGtU3Ta8lI8ovWe
hjFFZD09epmrg3jlpwIRbKhfRINtlPHc2A6FD5Eb7rLTTTjxrChTkrzj3sk72jHzRFT2/CHQi8T2
KzX9jyRW4W1v68lIakb7iXupQPZYoNDRO6VTHlxpcxLbHAvoYyG0nR9MKudRnKou/QcIAWRfQjgz
+xwUqnf2ynfUV2kFZRVLd7QeIn9cWZbKcl4zCgzImxmFcYMkkRHutD26zpG7vH0INpGEuF0s8xcF
Aw9/ylkTCkxhumvnkrDJdNIsvZnDKTcT2XpZlyhv8uQO7QrrJwwFY1sNYbF1LafYFakT6gOaLvUn
p/EEHqKLvajYifJ2jW0Y63/BiOXdKHoXdLRV4n7AK1E3WdIIGU73DheUvA9HOTec5R6sCRJ6wd1a
gcSOl6nt0gNHsmuTyh/WR7fu7XQXalEucQ5Ijnc1cDsKGwDMpqQctcqOGpqyhofR0iuXvYePsNDh
eJPbhhUcrKa2v3o1ZeAjgj8cgnY2zWfSo7zYB1YdRg9ZgSdjbKbl9Fg6XlHclhaPVaycHPXZlK7J
Z7PvrGGf6dX8gedaZx5SYXfdUZZT+zUwZ1pJ5BDiozeRSCVthhBc7EWTwli1X2gZDCZGS8Kvwzsi
awcyOqXS6kjhyvB3LR1TE7F2h7NbZ7w3B/o1Rhb7m1gbBj94ZpPMNT7eiq3dxy45B9Uq/BA6gjxI
KAnWGv1LGnl8nx6JoW+9QOGHzZktYWLqLCSgrL2/it4e2qTEJYjLiG3NU0755KGbW7TTerMHpGXT
rDKoUgTtEhf20D/Wc1mMcVsFKxg9vy9VEnbs28RfS885uIIKQpx6EYhx1h7iFiOLMVaT0n/3Mvdr
rp4qepW+Di0iyM5N8xjfHF8eU38C8EdnR4WEYfhxxgWw5i8Ezi6BmuuPYdxOwvlH1eiHxTb+Uf0h
NFolX8J6juhooIgWxJ43ziMMPkVpv4qCcq8Dp+j3DdhCLwaIrlRSQePhOosi7Ee61aj6Y5nn7t3q
zJJpoDdlHSuvqNzEaSS2RatTF2sCM3G2EqfW40dvzSZU5sBb/GqF8Esygjx46JoW5xS7DuuAJxBJ
qo8p1/h37Q28IJJ9ucbF6q8P3AyE1U7TEZrg8Gv/qossfe6quv3Wr5VRPTjFuBioy3nzfsocpGs2
xkqayCgovpjjsrTJmE62T1cpjO6lWLxnVsRyko404ADnwg72eT3Or0Iu4FwKEGtW4o6pI5PZE8G9
jeCKz+Ey1aM3LTzuXR7WOVw2OqO7dPLdkmBLGTvZGXpJor7zf/ve6kX3nhqy1wzjEVZfj/M3relO
7YrB6H42bkRZyxrd4NZq3NFOwt5xPs6OtdRU/NryYS7MHjBnkakXtxGEmaOQLPM0YJ6U+C0e9HHn
2NWQ1LNK7+0WIbpkgmDq7PI5q8pkFG32eURHuAXv2gF5yaNcZ/cq01OKb40/NTF1zeFz18zeuh/7
zG3u0Jb3fmVB7ha7fFCk4741ieBmgQjW7PrcH6a4KyLjy1rbXZN4FAybo10pffBtXYWxV/vQaPkb
VMUqk0ygH6tGx2swzpJjF6l8x/Z0/+bpS39khkQ8qpuVxj6c+7zC7D0dfnrtoO3HoFrLfu9Eg/9r
pkuCc+iqSjJpAtO4L2Qud1MkqbgVOAMpnu2Kv7I62JL9tIzV/ke3gm1sSrkJE8AB6OmQ5MuvJc2z
OyEHXyFPggxMMlIT+9oZLvBK3OArDppZG1yMvXa/IBIZ/g6sxcPXwhrCbCfHuQ8epsodnmvtZ98R
a/PLXT6afRFTuO3XuxWvvV94AQy3IRFXhPOoWf5jmYU58f7m1BR0F+rPtppycTOYkO1uwtSZOIDm
XP+uJnuS+4LArKAQWjvf5rocf+hANkaCxYmpKMJUEUWYcurmm43rpmJPrW4be6M7tokOdfBsdB5d
EhSjXYCwKWJ2vNxp81ASV3G5NJ19hMWCG2vdCieI0SDKf5dYCmQxLAF0uWvQ5z8HjI3+1rLPCtKo
oi53gKZ0QTojeYvY/vjPzdOW8WRzNrY7orJSUlfU7dMUpC6rgREeNaFgtGkn8Mmng9mO3jdTjTQJ
/EiOQ+zkTdDEknum3nez6f1ufZ98Ysy3lieaC+TdMgfWzP7i967qfnqFeCLyRBBAfTZmZQwEBrNx
09KgCWM4bx2P86jpzhaIVsROOuFp2xPiv7ZV62DdPo/6p1GL9qlsc/FPVTTp13nJ87800TK1alSg
v7QWcs1JWov1y4KHOfNzDZispRsusYNuiEjsEmxgQG6Wx1Yu7MduIceBbAptc7/MljiOeC5/6pZm
+LSEOeWWXvWyIJlueRY7CtB6Z2S8EAnK3uolDLBYjV3RzP/H2Xk1x62kZ/ivuM491kiN4PLuBTCY
GZJiFpVuUJRIIedG/PV+oF3bIsjiWD53pyipCaD76y+84ZZ4TQ8hnZTxsVbM6mdTj1UNXSmxW39Y
zKz0FqT7bhH0Mu7DPszOqAb6n2KRxl3MCXqe6grgXk7rpKLkV2ndurFhQQ9qVGv0QjR0HU+lBsXX
3pydh4bKcPBi2g2PmtZV8Q5Ui50GTW2RfqN33DFZEUt7Qx9nzsmtZTr4DGXK9lZQgibnhrvADUj1
wvjaxlZ50+v68OhmdTZ8aObcGRlNjrbw1MaK6g9JGztlQPmNHvbkjtUu6Rq3OssYHTwltPovXLwg
y3NEJe1btMpWgTnGjrWP9JfTBeQvxdUy1cNtmA3pd1jm4wXad2HsmzI2HhKZubNXliUN5J5R7qXd
LVWEe5OFdDAArqzzur4Un4ti6kMiqEXIGWdruJ7dnO6/ZipleyQU13tpFrHiWXpIMJ+4zxiRqZWi
+gUx+3bRuLZhNkt6kyDjBJpOqlbRKE2j8k6z2n4+p7th3i9ky0z9BgrnYNJwVvIiWvALHcd8OhsK
eqZ+nqgd26dVaOMXBRZ4XtrOpebHjuLmwSyNqfDbPkf3TAdkd523BopfketmzpXJCPFnjiPuQ9VQ
8HIW10w6njPnLAqLMSVlU5vxltNAcwi7nP6qi9KyRYvaGgs/d9HJ9bOsNR6EWTG9kHhFrPMXpdQ+
NLEhz2MaGaE3ttB1D3MbLU0QJqWdU1JrE0PPcal/jPOUPADKrZodenxRugtjgZNA1/YmiQFz9J/h
OE4f5mZYnvKMmHqpVtrICYX7LQ+kwsO5WCq9O85NrhytWY16BkNWH+6L0XXLQ0f+8uhOE7WsUS/6
vg6NptgVZpPe4iOrXJt2bd53zFITr28s+xbGcvG1SUYlCcrMFrXXKTr/5DTjS+5bYigpDUczpBUw
zVwdLXWj8A0CebaLZbhijTu5ukqWs/xGUpt+jnuHi9EOlTri/DvMsYD+9kd6I0sPx9XggGRZSrVl
z2qNDKNaIpCRNSQKrkh+hMYgOk8OALTQFZuinImM3hUenPVq8oDS6w+kJ9admU925/e5M51HVa25
Xm0L5SwfZmlejFYzng190SfHfNbjh2KhkfQhRuex2UdI9Cbk+gMlimnU4utC4RIHgkY310NKw+oo
bSd0/ZnR/wNyQCLdwz6rxK7P5ybeM8SNbkFM5fiqaDSn6kpzD2Dn+6+imezLdlIyhmyZrp4B7k8r
JkwtByEr3OyDxjxLevqQJTeKrnG3t/3QpUEpy/AxAv9Xe83QEhhxcoYT5uSLWXgq6dR9OA8aaWRe
ZjKwhrD7vOQlGNi2Jmp4SC62DxAXlR8pG+CHBNkQ+8wswi9mpqfXnSSD8JexMZiPI+py6JeWHl+c
1GUfDFbU4Xo4FPl5XvZKtNfUTjl3CHxWgEKKWe66wQ7LY9blS+FbmCcUXp1YXDxdJ7QPpil7O0Cd
gNyLKhgKs24n8d5t9ajy47bRzhYa9cwXqqY/pEzGhNfHE6mrVQyjQ5O9kSX9M8vkoibakm1EoPtc
ws/MsNhNL+22ckmPxKI/FWAyvlcmwq9+puUaOYFE0cKNEoJ2j3K8z/itsz23CtvrsVgSbcfJKGxU
PGas/ky3n82DpeVqRBERL5+lIUbVz2arMnZSoedDNqH1qW9Xk/m5ysF0X8TYL+leC9DkclZmV/Mb
t9Cuh2UtMwk+Ir4Aa1p9DLEGWUElunYnSKQ7j5EaY90iz86HNenxER1T7u0GIRGEslL9OqfaKW9D
vVieCkAPzllllv2DkyTRjdU4+ySq1e44KVrc0m1vdfoC5pyZwA1c91K68/iFkYVTH+FIFRcURM2T
kkdEhnbS+RtZoeg3y7h0LrnlIMGKUg5c11xFOFU5C73bkCSCpo5t5pScmREHa8E97KI6c3YE1sil
eTP2zbEC7EX3qM4Rv5jxhM8/tLkREyzNMb2azXD62nBt3xl8nAQsl9R/Vk5M1ruq5X2QhltNB56x
ujbTtCaNTaeQTrnBz9QE8ywPKWLgX0vu5pSjNtvcw+rChBdbDGAC+bC3xhjS26e1L75Zk00Gobdh
8gNsBHJPEuXP1LOR6HAvGfDS9HNKkwYV/jZC3c3sUEH4zhUITeBM2uu4jArVqyw0w3B+t2QUVGUj
P5ounmEXPYONLphz6HOUwxbs3NpaahxDcMZ+BE2S1ftZocYO1DHlstHbOFoOLk33B+jRxto2FlQu
88DI6TjTteo92WVwyeJWi8AYRXZhelnqOPSAFO4OrgcrKgNzKREVJOnT8n2yZEAhA9XpXbXxjGac
xX4wZKFcFfSeMbats1zWz3XctvHVFDkj3gVdkpHw4GNpzETRRM/0IM8nBQDKEAHpbK/6hPH07Fud
0fQPTd80y4EEpo4ULw0NsE3uBHgTYTo9Vu51OZkOavR6BkTKiwqLOBjYjVamd0ZkNUPoqciL5kiI
zo3x0cR8t7xqSmVSacRw6ZjHTrWgVWGrqZNll6qifFbjYizO0mls7PXvFUl1EaNX0d9b2rCQainO
4lTPGIzqpDaM/VhD1i5MBq+vFDFS5i+jqh3FlOnjZWPSRGdiUA/lT4Ssh6XyGSdTiO3b2orCn6G7
2PhHm2mXX3Ql9rifM5xX5JOjcXdeqU4VWv6E8Pz0iXFLq34sBotcyA9dq9C+VkotVGuf58wIj6E2
DAyVO2NxlidlqlZAD+lc/FgCnc0OLNMyTYxWO+6ZKxFzgi+Gqagcbs2OdPplGZLCCOQ7rdkh9VQB
UKADw0QFlYeMtwN5outtcRzE0iv3hdArMo1+rAXDknBoZyDOUm04UgLchfPdagzL/t5bTmbLQ8Kc
NIo9c7LSuqMDlZjFl9rhlnlyKV3DYHImI7mYkiSX12JuEMf24b0h+R3bU2hfTC2UjUNiDEPxQaVC
Nw8ODhtjkNM6X26tmt+/8lSHUQES/jj4PUVJNOUfrVhVpm/hPHFtMCuZ3WPL/ubRLC1zD7TF++FM
kwNXZqzqjFJor43t+az0iDpbnZ0Nx64Y8RKRZZ6MXJV9l14BiIqbfTXafXXeLuqSBoMojOwbyh5h
Q53bOW1A19NUjy1Qk8VLy3nRdoYyFzazDJot/izM0vmScWLu0ARMpw/dLKhmFpX7NZCTRBYBvef5
ax9N8XM7LVp7ZhEEst1kZuFXJWor1YuUYXxAZTPS95PqZndJVRi9B3s+x2SJ688MUDHLqm9Rl4U2
tZbhTseo5g/53BtzeBZxXJ560aRip4J1ng8AM7UHCEj0mAQ9e9frXfpwHqQa5YZJapTvMiddvs2N
Xd3Bh9Y+zk6k2hRMXRJ0TZyUDBHIEb24gW7rMUKJL0tq7xsH9Q6AzGZXCC+0wvib7KJO8wfRysEr
6nr+UujLPJLIDqq603q9+TEjSv5l7LPpXCHZz4HFVNZZ3yF4T5FmBYrBucDkMjsz0rQBMyCXD4yB
hjyoosG8qDg9o7foPeObeg4x6DWTMfuQ25hkjpQNlJFGXRfeEOs1HgEMxpnM0wT6Xiza9LGuapv2
qZ0P5a7JgbfvlpjJ711KRPyoKm1HTxoNU8whhB3PzDUMQAi5ZgH6iHm7H5NGAJrOqqH9Au7IuQuz
Qsv2URna9l2F8/fnBkNLADvmJJ7cashmmjGim3fhLIrSF+OUBW3kTqu2Q2aj1IxoWO6PEy64Hzqp
jch15E1xNqhjfBwBM1eXAipTQkktuL7dtqSXgZwc8xrEJun9jLoaf4C0LnK/7sM0ovfc4d/LxV8y
+GxC2/QaYbffmoi7KZjmAjxHSunObZy5ON/2SzgfaWtF5q5zuiK+AE2lFDgbJkUeJOHSPyzABLqA
MnL+Xlha/AMhe8fxxlhMFwXCT8N+bprkWytH4MpOHKc3sjYTRpe6U4FbnBfJlEXq7QX1EuUrMvzu
5UpviHytsGLpg/RhDsNwlWmvHEqcD+oC31UPw9GOy2rITcVrwkXexzGVsYcXF+L5NplOuzOnebqR
qTHUvJJJqF5MBFq8qLVzIp7mAriKho5w7rpIqx80WpqfGeyDfBgyRKl9tiWN63RJ6otoIsUKBqg7
A8FtNSUUS9J8zRrD/Ki6U5h7hH32jd7NUv+g1G2beCqToC9R1Fk5NV4HpLvq2tTZE4yceI+Zarzv
1VrpfZvhlbbPNbe7FV20rNg/oV9WUWvdIK2DzGtREcQ9ZcmcOYiTeb5JgObeG0nTFBeta1VxEJpD
GvkNoAMZhCKMHGY9JBl7p2UqvrYQaOsPoo9qepmaaPaaXqTFvq9Nl/4PBSBNWDkNfj9r/beSu9f0
cw0dnM9QLMpl16hg3+i7xXYUqLGboJJuG90Fk5S5+qKli5MEi6k4j3bVOYbfNOU0BBxu1BPSoizw
d5861zxr1EpeDhMuVz5KSHTZnaIoz/VKoYUda1RyexIE/VMjhvaZGMpwK0vUtVlEZ1ul/Jw0x29T
zKAf0rRdjilQipwerMJoFnhQ9tDGrfioTQgTX2jcd7dLoVnkA++DNF/hykCLI6vkoHqkktNtRY/K
XM49SRV92Dpt98UUi7MhPbnKlgqLyC9yRyiAo0znonm0QcJTpDRWsZSOX9f0oO2cry8qDexTBqZj
mo3IT1AjP/For/B566K/4KAwMukorj//DX7fRxo3UYgstYnL8AU6ydV9hcXAoWCE/+dL4ZoMWBf1
KG6VLWELBR4tn7Pa9msNXIHhJPIQWVl/iLWmPKFVskXVrnrJq0v7L1MIlOg2CL14rEuO3eD4YVqX
XhbilpDZRXKY09Ty6n45RWJ4Y4OsgGE8qZE3Axm4+XTZXC8hEBIX/MCsn+XLMJ05BNITL/CtpwLR
DKdVR/701QaBzF7Y2ZS6PhA+DGdHEOBGqGW7fBCMfdNWnIBTvrE3NHzcdRJ52BJM6l/uDR2EeNfB
8Pddq/memGq2i0Yw5klfnZIHeev9IY2IWhWBnd24QYlCkWvqRklcnw5Iew8gwL7MSXtPvL9XhL11
W7jw9NgRFvoKW55uLVpBdchnUiRN/Cqr9UtQG9qudRTjemicwU/zOLxrrEn7xGSxD3QwMvd/HEvg
+ID5NrkzYdSsr+K3A0dpZ0PT4KV2LdB5P3GBqoDSMow/9SrRIHetW9Khc4f7s7FZSE9jmNwYnsLS
tQfTw2IAPNmo1vrnZaxPyXa+3ioGIpDMtIDeEifdzYFTYq1jdEIJr8TZ9J35CcPNGU2ELxDtklMe
01vCxvpkK1fXMlbZeZ7w5StM004LGXPQ8LI157K2y8eGKfWerOYH3a/Ch19h7rJoGE9QeV4HaNZd
FTo4fyukebOuNTmtQkLPeRCD2NfYdflNb9r7wq3rnRJZs69qhbZ/f7+8+bA4FrNnABtDwHn5sIBJ
JrPJmCtJmhlw2YG6g/Gb9xOGg540sybQtQYkKeL+f3z8edzVSGTl19owgF6uXJoNBkHF5PqhsRSf
cqUo72Yjp5U6TmNx/f5Tvg4AUHhRPF7vP+6jrXBMYnRpPTQua5WRc1DHuTloC3OE91d5a5cKKlqo
RZx/bas+QFke0ka1CaCTaGEMV8yt+rK4mMHHn7iB3torQof5BZnUXmdBL1/ekrldY6PA5Lugta4m
OYdXJtifrxp6DGqwlGY4eiQBqQjef8S3XiT6d7ig4agIjXZ9Bb+FFyVV6X/2VLbLqBffcj0SxS53
pTHu3l9nS5VdzyDEShtCp0B7zNjcDZ2i4X0wWy5UAqiCSMBy4lKp7ZhIQJ8EwID5TC+eWkCQV6Ph
/KlV5bo8YVzYTC7RRd1av/eDzniW4bIfIpLtm4i1e6luYzg3pmgbqvKUAt9bOwfNxlWL1aBvv9XX
jBHhSGdorL7Tq8MeD5jbENOgHf5ozolL6tRKmxeLguiSzA0vNrIqEeSFhuFDmoW7oqnNs/e/4ZtL
rR6tOrIVyI1tDjjtrDBqQ9P1TSUxvyNUgRO6kdSf6iQ+5VH+OnVZrbX/d6nNZUSCYfUMmlx/iF3E
qnX8RCP6ZwEe3wJAJt6S7z/aNmrqgsRlVXRQfyk8i816FDeIufVZH4zKqB1gH01As2Z3n63eAYYx
DXs7ooVjzHl3IpJtX+qvlREGglO43rpb7mKq93Aadb0PnC5zfhZV5Z5lTH8RxteqE2fwraVQTFSJ
zagNCnMTYyyE9/NZqj2k2cH5CaTe9KFFfJRDq5wqE7bfb30q6GKrPvDqxrA9b3net3oSgWJVjOmS
iYv2qS3G1mM4Yd3lTn6KFbeNniy3knNRigGziODl5sk02WN84rhDMCkJGEnLOYhfpAk4FAxNq4rf
g+ndiS+3DWnrooQT8jJzLfTcTRKaiKGRdgUy02HIuTrmZMcBKZKHFq7wnoxDBDR5qvO4b5zHeJ7G
+z/esqQ0fEXKI4Nn3hz8IWKI1s6FDIq5lQeZ7avqziii/qaIHREwaq2AjFSnHvqNPQQz30XazEX3
ENbUy/ti6EnmWUQGWZsyp7F0ZfHJUK2fUZuAJXj/Ed/6rCsb33RWAVw208vFmh5gCLmZhChlJL5b
WONV1cbdTajN8V42gM2UulJPfFbtjb0LZQqZVuQHMffYKpXniR2pUVZLkOitfqXTtmXq4ljyey4r
99gM4/jRjpfsPJWdfkuFl3+mKWwEDYzdBv8bRmWhWyR0pqBrBGEVGp6GufipDPrN3xKE2iogCMZ0
u+UninRcpVNAySoEvUY6i8cuEcc2V7pja4n8x/vf4q3dbkN1gZAOdkHdZneQPcvCsMY+MEBFK2AQ
lTwMDBBNgGWm8gIv1WQHeym8yJK8O4ZoXgz793+DX6oPv7PW1gNHbmThdI8oMhCKl9uhpcmprw5G
QVZbxQVtt2Jv439+tKMk29XdvPhVJ8Vlpy51IPIKGDdfOGj6PmOUAsDp/V/nrc2J1YxDno1YhLmV
4gHAH4WVzoh5GePiopjlfDuokCuUWHzP6shmxjQ1J/bmW2si+UDui0gst9XmmhpzVV2UMZIBzKDU
N2d9WEdR0r5NZ2fIPIZ3dBOK0LRP3BxvrotZwKpUCSxh64imMQVfYtpsmJcbFvMDWa7CsT0+pExT
Ymizihrv06wxT3zyN9dF3HCNchC5t1+8kvGU9KKUgarnxtFOM8sCVizTixDW926oZo2hCGSyE3Fn
fY3bjcbR4gpDEBsBx/Us/JYUj8B7e92A6YFg5vCQJFO303tLPLy/gd44URj7QBvnAKMXudURAEua
C+kuXWC1VRq4qA6dQQsARNFFP6EtD36nT7pPamCg598bZ++v/sarha2pYuBpaqD2tnkHecLcZlrM
VspT6yK1QM07eDIdyFC7QJY6+gFNd0ow542gxaJ0U8gKVhb7Zv9yk6E063Jn9T0zZJRTuJ1nmuqZ
HSa+Lcbhz88oUkf6eknjuqxu70inWwWXLUcGZj4rF53VtbcxyN5qr8KNTHw1l9F+du355s/fLZU/
KR0vVseK+eX+kTAmBGh6GSj9Ig9zpRVHKWo1gGXr3Ojg1SEItvPt/2NRk/aGjjTKmju/XLQuukTN
BTezlcXVxWTS924dofyI6no6qKV+hbHunJ04KW+kA6QBbGGd96ijwP9y0TlMbSs3QxlUYdHR5Db6
e4nHZs790EJBff8J30jSMbaATc2uZbFt0T9IEIT9MJJwzXCLDehj52JcjHuFOaYnYW/7Bhrde5kt
7Zf3V35lPsrVwyAUB9lVOGu1vH35nGq5cMXPLngiOgXMJ+bmqmEI+RMCxryPawN7VKNuxQ+nDmu4
62CUAXMounqeY/z9wDQGQKI+lvEOVBN8gfd/u7dOFfcyB4smJUXE5iOIYVQVIjf3ogNYzcErHfJQ
ZF0yGVe9MBr+VNnv18ugd00HlpwMr4yXL2OOHc1uGkqWuKdnLSTqBTrNyUOiS/3PL4BVHxjcqFjV
i7dmOMyKjC6GDxaEYMwPpLyfSk75gQBD7eK24trViyz489eJIS66d0jo47+zOUhQ2ioLEHcfiKKi
V6CV/fWYlHPghgBLTLze7t5f761IjMae4xokcw4uUC9fp1Oq+G7O5RAMZqgep7jX4NB38gH2o4b2
dBFeWVWVneobvLVpEDLFxwXJy1U18eWqQxK7YwSnICh7YfiW24AsyxNlBzBQWSUJjBNf8o1IYYAQ
Ng2+J2Yg2/VqhwjM2HkMxBxll7VI2s+tbs4H+mnZ1/df6BuPRqccKTiej5avtf78t+tbLPQ6lyUd
GUMCv7SdxoZGbEFAVHrA30jFLyfSsjcWNGFZc4kz61u1/V4uWFYmDBTIEkHWROG+tMbnwkz0I1Zp
NepHVX1ig77xKpHTRNeXCS+aEtuyiEF6z9xXHYOOoBWA7MsO4BpM0OXWKfHwX6pum1RozYNwQEPm
i27yJvBZMdAxK5mmQKbxfBQGqgVNovS3aZ9qO2uUHeWnWt4kfaeedzX8GtG5y7U69tG3BCXs77C6
TRQOjPY4rIYstiHC+yhs+yuHou+c/ZAeS0gsxyjK5Cl5srcKBngKFKk0HcVrk6tFM7DQBP8WiLar
gAiFELGEPokLLOrKzxVIDrLYeYq+uNzHZ1WToDsCVEh5lkaVQApBEKDbvb8337jDmAYwJtPIdWwG
WC+3iqpUCKO2bBXNkgpgo8JZ1ZcGVFlAdNWamR0Xxe0gV1bGiQLurZXpzdPIZhaBUtE2zIgeP/g4
moJUtZ8wnDBJ2Bd5BaNcBJrU889WNyTe2Ln9iUzzje3KCIS5EiUb21XXXz5yBPurlLU2BYiix8DL
rMzDI9AIRDOcsuF+I5Sisr2uQy8cfZPNMxoyjwyuwwnNhnAF55tjcQCpMzHDnQA3zkt7tBt9OPGA
bxz/NdJgQUFioOrbHvqsib7NKojt9YzCiQoiFqw2ch3HZZxKIgDSHrX//jZ69U7ZzSSYYp1N0M7b
ViiM/ittcvqZ05d0V50Wlwe9MscDUMo/nQvqLMWGRaGCLMZ55UdXp/lgpTY6GCvo8hzuXeJlgwPO
iI72iUTmradCacrgCzqI1mxv+1Kr59SxlDmACkyHvmjN3heAVmJgSmMevP8K12v8RWRDRJDGJCrp
NFgB3m5OogNNBiQssgkJcOkrENiM+pelQoDl/XXeeChiDwWPzvvjP/fl9tciRA+ixpiDfEAHwYTz
Bf8Fn9/IrZrH95d6tf1XXUSL1JiITenxS9vyt4vPylwkCNaGObTV5ij7rg462JU72Svzntb3/FnV
8nH//qJvPR/tOWOVk6US2JphxWjkQVbVAB0BX0M3Q0/uypmenS0Bx/5/ljKwIFgfjlzp5au04L1p
oBZXfJPEpVZ0oJbQnwMS79r/nMf9+4/pP6Ln6uafG6H7x3/y/z+qekbiK5ab//3HZfKjrbrqp/zP
9a/9zx97+Zf+cV0/l/eyfX6Wl4/19k+++Iv8+/9af/coH1/8DxQIeEG3/XM73z13MHd+LcJvuv7J
/+sP/+3517+C2Prz3//6UfWlXP+1KKnKv/71o7Onv/+15rP//vs//6+fXT0W/LXDc1s8lvP2Lzw/
dvLvf2nib+qqyoUtNtUXPu1EwvF5/Yn4GweWPiQlCDuAPjyLlFUrY37EX1rrfSZhIHkQ2eIAdFW/
/si0/0YvkXKVyQvNe9ogf/33L/biC/3vF/s3tINuqqSU3d//2u5+bFuITyC3GDOSGm2bY4sdFrUh
F2wO5hBlMq+zyjFi5B2qKUBZJriXTCqmH1gXdif25fZqZWXeCiacwBlWc/fNDWePsE2VCMho1xVF
iDa+qn5vcCy0AzCk6Ei7o+XKs96R2XMH4KA6EWFe41RoIyH6SeAEwMFR3BSA0oRCWFspynA4d6re
kuam4TsWoh5VN7kPctbyZ1OfS32nIGfhJ9zG1UF2qnn4bav864v8/gW2oQA0PYgZanNSLjqjW4Hr
Qa3ypgFRiFLPIi5UI4u/mAaGfFBilOTEQ28vXdYi0wbhALQJHNo2q6jHelwGpUv9jH7n8NHB+nIn
sjBVLqWh886HSkx/2Nb59Xg6A0Kd9Jvbd71Rfguv3TROslfTzJdLDnq/7iaBegHCKIUnE2WCn5Ko
9ZW9dOr3P3+vZG7qWgWv8631vf++cAm6Va+1zFfKsLWurCkN03NjUsDf0oA/1dN5vZspZgRjawd8
BWnG+vPfVkPLpOinrIWFlOfiAtOLJ6Q6ZL9fptIzYC3uFfIoDzWGsjxxjl6fYPAj64ieNj8PugXq
1L00aO0YhY9aobhAsiILEFtRd3mUPhWtxmR03Vfvv9ttGsBHBYRHV4k5HiOfV3OURe2tHP6gX3On
fhcafFovJVKdWOb10aD9SOz8dT8LawsIoOCgoYVPtz8CCAeomsWoOZT98oSKa3Fqbvaq8NFUXh8R
WtA4X6VCNwHBVrSsbHS98ofUTD/ZQwGduNDU/qBpVGrBVFvQmNAqXWHcPRAl+MBSOuCjJiUAGwUI
uojLsTlxZF+/g7UEwEdM46W/Nr3KHMYjMpwrv4/Jhy7UsJj9UrrZeIlDqPvHsYgLBzQNsYgaEBGs
l7t4mbGKgVtJTKxHcSEbNTkwRYyR3zDHU2Zwr/fQerkhh4L9xJqXc8P9fmJgpUMBM9HvGZPePRgp
TNOVsxCdyvpfn0ybiTMDdSZOGrfN5pngok7cjTAP27EcLhH0wjtkRIMrXxAP8shzox8QWYqPRQje
+UTF8TreglFgSbqfxHY0M18+oyy7SCLDAOsRhPB3BJUWOpx0PSLf0sFnXPa1ztXzp2fTxucC21+i
AnZG20PTaA4yLqEFQk9fphtlyfNPRF5n9/4qr6IOBc4/O+aEPbD5689/i3eIJyzpwhMjlacpN46Z
hpdh45jnWdKH/gRp7F7j8J5oGf3Cjv1efjDnAIhBwbgeVFZd3/dvq1bIdStwjHsfYGLsXoRG5Bzz
YoJIizakc1QQlkIqIHPykaFbz4aacyt6SsqihImGENEZZXxmHDP6MKfsaV51u9cPbTHjN8Bp0dLa
5jPwl105D8rsL6KuDo6upsMhtQTELE1HLcYu7fQCpfkYPdoIVCVK1GddOkQc4yV7Tmy3GXwxiaYK
HKNPTp3rV4eAeaCjkvHoa4yzzM2LG6YEpUqjWHyppc5nGATFtwUMtBVYM5J7Cwq/6mWCtTgDeOqV
iOE7vNFgRhYUAcPa+IyQUXnUe3uwUccf9HPbho0emG2/8mjydpp3yIgQkjMmHlMAr3toIDmNZkrr
yLSm3VyX2VPVcodSfGR4UMHUkON+LAu99hFmIAE0IYp0nhpN6uUICvR5KJDQOXaI8aTgMBtKsFp3
+HP6zGQ/0NUsP4d01idQtzlbLSRh+CvxxC+Bc/jd1GrJDaJR5V4vkgw1/3HKf9hg4311HNFwcaYi
jnyECfkXE2WYbmABok8ST4ZzoUfmSlSpBzIiuRRO9jW10ukqUdG/Cd4/RtvvQlQnj8crkvHMOsjb
3Dlo5aAoM8DWUa7yYQ9LycgDE12yU02C9bbgbPx2dmgi8+/rUM7pma/Dy00cTKce/yQUIzzdTKz4
UdEVF/LPNKM7pKvJgMpL26FWgsl1sKgp9C0Eb27CpIXRpIYDag+yNT5gcCOuIMyhChpZbnyzdMs+
z+IPBg523tpVZp4+pqbPnRbeLRmqnyhcr0T6uFikv5RFDk6s0JEBCJd2P8rk26IPioL2UFj7mIJa
QVXTtEimWn0cEcKqpib9gm4L3GoHlbf7xBzKyCPhcTxcptUOnQB98LpZW9Kd1TS3a0hMEDsMTdhc
dn2DVZ0zfEgSpJ9rp7LQw5IqODi6TcT+CBvQc+KBvYtLE0VSeGQlfjpJNqrQ3B37Fgi3uMwQhtQp
oq19HyMhA05FaeoDdH7rEINQ2gMaa9GA7rXlsxElZ7VZG8sjHx2do465466Jp7w7KOASwIdz87R7
JS+Gjyq2e3DF+s7vagZzvYTIqg01CHXJbzEHGsqi1tFdHOVcLZZql4L2vg3Vub5rTDu71/W4eDY7
mHueGzcw3DWU8zU/qlP41X103bt1Yxza3GmRrOs692dbawgL1YoivoRDOc1+hZlt5CXGZCOf2dGW
atFcu1GTsLnVxJCfWeyTD2UTinNFGnurdZ19a0zGBS9fvaJZgQIbYNtD4vSd4SuakG2AxLopj3Th
n+Nw/qbQ/KaU7Ef3C1zO9C5WUJGo+r7JPHw4Ki8fNeMrpFbtOLoAcco8/CTKUb9pVa2D5as/oY2E
gWriIDvmLIo2+tU8zMgI5ChvR6atX86FlV4UhRB3tauBlFv6yJII7hgZAkyi/YlaM8OoSiE1PaCC
qWVXeL/8sGPrPkk7TP1aHXLmMBWLgf1BviBpa2if6jErI+TZdDQy0hoZNuwRvFQVE+hzGOtRsvxo
x4F8TMALo/u7wMI2+js7B/yUZ25zAMi0wEKMp+pgVinyYWxE3D50txN+1vMGcfiygk5R5DlEHlkE
2KCEoZ8krf0RUbePsR7K6JyiJT/LWgD/uwJlxIPuov8cLHLOP3eThAxaZSInYkQR1wg6SyhxV8DY
FkVFtW1Ud71mLpdRb03nlNk06drk67Dy9Ku0vUeTQTL7HUGjGPtYXT61yL6nVI4eb1V4rVKezcBF
g5F73BsJXB7eavXOUopsnze9JoJlcMWTnkI+gEIntXzXGeV0XVcddO0ljjBmzQCfRUyagyRH53LJ
aCUPZmTeDmhTXsOVp3KmwRsyIYavGj+U8FXOoPff141sbnENSZ7iwSrOyir/AGbso5uIaGcVaNa2
4rGelsfMBoOBG0c2fCPbeXJhBPqTMnxHLs78ks6LzX42zbNp0dFEHoo7VEOvlbkqL9TGVD7jsXIt
JtT5sij5qi1PbZk8OJH7FI/a5C/OfI5KxCVBKvLsfqAr1x2aBdUkODplMHXm1yhyBz8X+rX2X9yd
x3IcS9qebwW7f1WM8majiNPewoNuU9EAmuW9L4WWuhKt/oV2uoO5MT0FHJxhAxy6bmmOxJk4ESTI
7OysrMzPPq9QeGPqFGZ+3N8pBmDPSGzXjt5uYwexHZpX7xwBgXutC75UnTZJTfmTpaVQRb07C4Lh
SNcTHRROZpK/bHeU7ZNtC9LuAfvuGuGCWxPI1QwkKUg+CalQLU1juscjuqELZ5Oyx2imGYFRvYbL
YI5dLt4NvbIj6CIDU6TVx9TJOBNXly4gNvCEaJsaU86xwfwMRzY9kBMgNvKkSTqoAiX9uhUiVyMq
mhQ+QdRWLX3eE9lslBEkMHXkxsIYwlVyHktQ2I2MCvtSSQ18IWUhxIEwihX/1mn0OaZOj4GgZdOW
96TyyKrD2LyRFd4hWsEvAtrlLaKdWMLenuZVdYn1ppmTPJNVuLuS9hhgeKQjH1Ix4Cyt/EjOPF7Z
vGcbNQFNRunPTEo9pt4K1kJI64ugkIRxLcjtjSrktLdG8Z3Y1WvoFnSNW4OT4XjVWNboV0/7JdbE
ti8oAAOHvC96BMvDBunwEHxGLRUf48BeFXloz2E3QyVQqymCC8mYYA4IDa1VKK323Glam9TyGeEd
5XRUqKiSyIOJjNus74F1FzRUltJM0JyrEPtrRJSiBbzaXIF9eKCVpR5zxjobIdPKaSq4D4XseJNa
5kSMYwPyRQ4nIhYKbWJRy7310/RBdvMVjClzRbdBMmrD+IspVC64xMj7gnsIuwnNa0o9EvextPsY
0WktmlEYGN6ADwbaSiPwFLKDhXUj9FMxBRZbIgVGI08w6wNxjtU8Txu5G7En9qARQT1JBDWqovO2
XhSbyzztrl1JXUhNfRPF6aas0muIkP7Hts2uPMfTaE4yurGcmg9SF8LTcENl2de5TDyr86e6RyMx
bPypHdKH7ZYIYXE6X+dZfS1qYJStpp3r9PioSbtVssxlv6t3SYBzYdJabWbOpY9gdyZoGySMrmRI
8JOqqs9lNTgPjBToCi2rFEWYC9jVX5K+TEbEsTeuI3FuxPGmpnB81DhkNGEzfNELmpN5KLKy9pR4
yHI26yAp9FESydSQhc3GLJx5FiXxCCvDWNpFe6UMfLeZxEKOwuGBR+Ung07nidGqcxCfMOOE2A3O
RQcoI6mNkWzF8Z1VRg94NiAa8gIwWSAn1SQn8Mde7GkfdozuPCu6VZlb/VSpLCSmG22cev1nANtQ
rySHS1whnzRxBWcjebK4VdswHcmhhmZIX101EZuS0EU06iDUA/Gxk1FcI8SV96UwcWESjGPbn9WW
N83EYO5Cn1FUhCuIjF8HsvXEUgV4m0a7RrAMCPsw5j1AcEQDrJmJCpKpDlB8FZBMUSsXMXb0uGns
Wz3ONjqaRSNb1hOqeNOd00jrmh77i8AOqgXUdGlCOjib0DL9oU51bxtGnTGuUmjoSWQD+PDmYRQs
xfDWNuCJNx28lBQNAGntie7WcH3gJzm38aC23dhwWzJwwJMStG4dZo8gjx90w1s6w9q6en+riXmM
0A7kx0bLg3ExcEuziDBcTmfABOAj1M5en6euNxca2HpaLl+iBkPN902mqfaszYq5rgjvbby2xq/G
1IBcYmnMRAsulQqrn4jGoxzWqwJsSS8K81xEhYgeCGtUaMLMCbpZbZiXRJXvxMh+9GN1ppUaUFx1
qlYeGTrjptGii74A7tFTwmGgMpQpDWovHkc3N2yRSFO1VtUZbfvBTDHDS+Kn4ayt6mQKFA5uD5Kk
xMA8AJcVj4OGtkkS+8W57zcY7HoBoJXzHUrfgtb5ZOTFytzV6g5aWn6TZcU0F4R0ZhJPg204GDxC
8p7cqz4yWnEDF+dadgxoaISb9FZYA2Lzp6EYlCudpjS2lAroPASfrXrxPNHgdkmlEEcIt1mfPaI9
UzsAKMBVgHaK1V12nb8GhrAJQGOfI9r4YNADNjYa398kJhY51vQHM8ouDbOJL+gXdhcagBO6Pbi6
ke/KZcFbKAhi33l4JbeOad3rVUq4yIDRkF2T87zVbFAmBQHCVle/eIZZ44YquG6G8Vm0/Hzk6cAo
GoA1o0rpt54px2OKvOCLGvUnwuu7qjSNkZ0b6RTy7a3eDGhCSZ4N6p3ztm/9lQl2InBMCAiCQVgj
uyJ/c2UMGt4UCeXjPuk/q42wystURgejAlytGNctyKAR/d02CgLppUBt97iwW1AFurHESKNBWitm
cCg0kh5aOCFofuFBBQOTq2cz0i1XSebfBzkkhE5wL5I0xN4q27AdmUX2RZXCq6iQOPyJI41EPX1f
QHwaZ136mCjNlZTCA0jNTrkTpBI8WlNq49B2unElFe2qbvoLUOuIDMhOPdMcPwKwScMz9Ihs50fV
Rg7TrccFtgJ6agNWoUSP+8pDQIiDY8u+6+HI1J9gtujjOOo45zBHeo7QjQHzgQYqSY8XVIw8CCWI
kbK0SlQYvIustC+AmawaWiGATPjWPKVMeRJ0hjAVVAiDUp5C8gT9O04C6ktEuUcHT9FtwK+BNLL8
6H3WFwuD/DPSI0EFANGYdpEQb8CY9yPiHpO+iqFrCfsekOKl6BQuqIusWyWULswij8fcJpIwDRFD
3ip1NhMDe+k2g3aCInyqB1ELPRSgN8EDiOEozeNQuPTNeGYW3XunLt8nlleMkbBbGkY+5zSbiCU5
1KJVNklZXCUVRE45zTZKb08trStBiMUalxdGThC515Vl3CZ+SwM57EfqXD92sXVhVcqiikRpmZss
k2Ca7SSsmqnvFHdqL9xJXiauMzO5gth8nUnJdVR1VBH03iexzuZKzHvXa+oGMCaSC4W8yjVr1fft
1MzSbSvmuCV4MFzVM7dsOaMSY6ZW+RzcyZQ4Bu3zpcTFUsTnppbIEqThuNvIuVZD17OWXmRfSWrs
jGujDYiY2EsrjWZK1LyP0GqbOKEEhBGntg1MPGXpS5m2w7ubAnBBw2AKViG1ILeQWAOUBvrpOktq
VNSlUA6SSeY3jT4TmjxH80VrrDscxvLGEm107jJRCKIJGFLQgQL0d2RGqDbsz7UQA/pa93Ku6Q59
o2KhBbW7zeDCX7VOkn0p6NQF5JEXmIyZ4inncFYSolleqQrAd4n5jJ1Ekx+J5GjvhTpqF1TfN+el
ojvIj7dG+z4FY3CReqZo02HsQS/2tEq+tFPB5rKWgEIvEyUMp6UmQ0TjlULlRyxo7Ugr6TapKUDc
VFpp3OqAiS8pBnUmldNd9LJ9a5ndFTWM4n3btuqEvibOOyDM3b2S9xeNAfnLy2R/pTv0yQ3CMH44
E0Wx/NSyQOywQhlZNnBtR3XrK02OqplBPEsocBZ8d2sLzm2rUnYVM++2Da9tnOewry5lx7oiEByP
qQKpxpGlXbRuSOijS/ytDI0QFLxd2Pea6wcXrp9OEx+GpZ+IY7v3zUmXqfdZbg4yFnazDEkSc7bD
e+Qf9dpYFNi7Yy3nlskbB1a170yRU0wukjhfU238IfBopCoysbrNDflTbKbvDQiAIzFEuddNXePe
bzUBn8NGhdLx+7VnlVj6hvvBRR2H6GMu1ouIs2QUFtr7sDPDmyh1PsqAfNlzKRC3gO+kCkD6jLBU
Rlh9cN1RlAbGWvcSjieEZhoA6ryZRE68MIp6idLXtVcpF2WfeLQGyPaa9Pp9EvjJ3PG69sZNhaje
VG0V7/DLnPsszs3LMA2yWeuZ4bWTykR2vXbsdaWgkUtorglQTjrHXLmN3l+2dZGMBaTe50mlc575
Ep6U7/obMXa0G17wHToTlx7W/EWMTmsyMq0kmCKoIdzhCBNxtUns3HRl3i+5FvNRzsV6S3m6swmp
yrw0QPavjN760INRXlFKfOko/gcoutUaTGAydQ2rf49+KhsBo62YFoUp3oUJHn0FkRZ0dxndWT0B
BN2LtBvJcfgKEIV6WJfmEjkfa9JqenOZ9pb7QAme/kDzff2+AqI+Apj6PqOoee3CJbrwHbSdTK31
t6Fp15gSZNFHni+O/AyxCauT12ZeVwgiahrqUwXVpBJJ/KJ98I1iy2Mhg9bkOzLb4STX0qsmSwDz
ukSfeGOAvlgZsTbVXZMegV+cpeCY4rJaIgoeLahBTRdJqtV3SksNPe0A+keZIrxphhE9xpSSZioo
RkoJqLIOLEqcDZQLPUJDIzXr5IUS6+aYKnR9oPEgIoMakk5F7xjZhGDViwU4JeTpRp5mwSBFrHKU
m8XHpmu++Eo860zFhpQouWO6XOSp50KiCpOu8OddnenJjZOLkTABWplvwXsTsVJgZt+BfORekFOP
sjrL/0SQBBUCILztmAS9tEZPTJzTP0T8TIA665bVZadgSYeaHi7rwI4nJdXdEGdzemlrMQXummrG
BBU+CfafHArLpNP98zzS05XnqAJyEC59GokOxgaEmHNjiIG2jf1qI0QycuGKFn4KS8/9BH1Oa0dS
0XSk3Axxh6BNPkPoUdlTJSWRJKB5d1Q5Xr6zLN9VN35hq3SD2qE78Jakh3SINOMvwURAKQtDhXfH
UcegJn02ZKdZJkJaQYe52HYp2nhpX9UEkEyjTEKONFUwrhLRi2NIaNCutEWX50QqBKLWvN+NVo2d
0rd2YEM6Heekdy0sbhOdjZXkwtZc1nbpxkSpie2idgfvbl+WTc3bWwKdRgCoj/PPPmM2H+mo4C6Q
glJx7i059tqN2Je6t2yiqoC4RFrhfRGVT1kJndOOgtwYDqJspuKYS4JcZIfVX2Jri9I8y2xFW3JX
6AkukO54N2Kk6vdO5OiXUBR7h16rIZ2QZ0HhL4eSPBWDIi4Wleil5lVYY+StVKs2lJkNKa9ZJGVU
fkj0kE0VAxFsFm3dKj4aZBBvh0CIIfgrV2470CVdBbtk6G1S21WTgys/VwD8oxtZwUpSKlFZuHVN
P3sOsBb/irgj8eycKuP7KItALUewDveohBTqRVfrajT1NWrqSJVpaJ5mTiO0s7xNwHsSlo/qcevq
ojAleYmKCzfXwNSsUytYKZ5dmlOfqOokF+QJ7jYECeGKyjwismZ2HxnGXJGbOcIS1y3qrh/RLBjR
i/sgNANrq7jIgWbW+SDlUKYcN5aULWpCzFc94daJWbjSmqf9ycWqdetqb5ZiPw2Mpv9UhN6E7j5Q
vIWJImZP7A6Pi3jDtGvwfMq20SedT8BlcOLdmUr9Kq7m59xtcmcM3pi0kVNIM7x4Gzqd0gdjJ3/0
LHNRC81niKP6eaLXUEGtduaA97/gn6g3hMyDW8WqtPeilPqLSmvvzRIMu+/2xiLD2p7iQrnVKMxk
Y5Uw15EfGCaPmDDltMiVmHhdUFtWOFdF2iOumjA0IQha9B86ba5380JFCROljK7lFdGRRttUhhjf
U4HrZAgEIR6+yoomUog1DOnWmYRcTbPwCw+HXtUClLBit8QvSAwF9wS/saqI7oTWPEnMTt14GTiF
aZYiygt2N/XiqdJkurGOPYFmI2gucTRjw5jFDPZjK66NqBC0C2S7DH2BYLRgTFWBEgM77rVgK9WO
qK+bVFSSJY/X6xdSLcv9xG5L5m0YqGGMqBkhC0s1h9PMkqyUgyss5ta5Rc0tVDZBC2JihnII/+04
hQCni4lV0gNUgN/tY3uTA14tZ0B/C3fmamoqcrqYjjlKqBRWNpHUd8pNoDS5tLZKrQgXIpJVzcJE
HyPNAGEPx0Rt+lX0udaROrpUC8WPtkFGWmdCcX2RIuiROkUPEyQSha2lp7K3YGSbAAY4uLVUmhrR
zDy7cNQcD0tGHnalJRFXohoUF+zhvpzltVIKUyiHTvO+smJrquQt5GgL/PwiEnADaeNP7ctATPMF
dWTNkPN5n5WFZILYLaxJ3pC9dLA7z3sn9pbk4r5YRv+BK3VQac21dZYr3QWHd7n2VH0d12a4iFxL
n1OuMFR+NMRyFK2cR5Cjpm4/aEcKuTqWQEPOhVhtlm6BNEs+JN+7lrzWWNMraJSmL8zImdsf7ViG
s0hYzf1I85vbzIqGoiS8/BzRSULQ2JZ1XnabOE9djDqPvaCBil2HhkIgyA116zwC/reQPbPA6bJ8
DTcktunZDjp/wl7Gco+Qub8d0iqziprzjy26FWxzxYwfMiHoplWubdBsCu5bR+quBJgWV3XhNd4c
/Fs+NoQezLwo3lRyTM2PJnozyjPoRMlCwyPmVdjjLrOKmeBU8srjiMhWLQ7ZXK7CPcRjJIEsO7uR
c5rixgTkVL5J1ze4f/lni4d245I++Rx4cTMRQ6sAP6rG45C+cGkElZ417TzU2OOO8Fafi+qiR9xq
FUt2e2ngqV4a7LsxHSQfVLrbPGCnlUyLu2mQODNKeUKGo7sLSLS+dwMluQok46PSENhppMicRkjL
XNl2lbY0nXWXUW6LnAxJODbkON2aeY5ga1KaFwF6NTahPJ6T2IXw1OMiqJe5VYZzk3Ll+4ZS2Hla
N8lGauLiXLFRHDKIUOJ9a/JId4fTLnPfS7C310Za3eeBHNLxYi6h+0OQbzN9wo1RnluloawoL0rJ
MOXpzvACz55ImdzBKYiHGCl8x2RGNlGZhlpme6inKOp9JbhgtQUrzqRpEUSDKmajd7vMCPwGhLAg
4/b73qVF4u6jq3blxyY0uSYU8UpgpK0i9fpFBWa7x8CI+5VI5tiadKTMzhtMkVkhxPWjqmXFVdy7
xaWQVyvkpIgbSXpjLAgoELXScoVAkeRrqjtGYlv55Ga9OaKHMpsqSRefF6oDIdagDgBcOlfzGIR3
AG1PDKc6hToOB0/vfnZt3ZwJbiJSgE1emxRsmnKumhWFXGlLnNiV0X8P5HXvEjOEJigTJonkBkCh
JhLdbxyJV8U0J8DQjBtFhPXYUVE5JyFpkdRzbXnuhjI+u4Ei5thp4n7Wq2K2BS+b3xvI/p37Qb2v
xBiWaJH1S3waB9C4XUKBjARxGUdJu8x0DFFtEHOQPGJZdi9qczVrPIGicVu9alH+/ZQWqYxsYZ11
W5ki9+vYabA88jREqjI2zwngmCNkORawhRf4b96sQHUEeYL2mpoQ4bbT4/IqJyuG+eolM/Y/5RGW
6M+y0FM+FJI2eG62piwdjZ1I+01iXNtw4idm4odLK6+tRepX9qJCPPFe96yJjyz7ild2GcRu/4lq
OqLaDrFH0dfzK0G1i4mL2Y9Hi4THTaU00sdGk51zLfBq7mbA/Emkyxdya70P9CG+KkWRP680yZuI
CbUFlOO5YwsDH9+uoGHM65U5WrnVZZ9WIWZGaLP/XWsPKLx4jIJ4H/oxVHyQBrsaftF5lqhZMUor
KlCNouJzyOmR7G7HCCr0Y7ORXQwbP1x1BpJOoVSPSG7P1ExYtHZcLzXdQdu61VYyYuJjxfDSsZV0
nwrZ96cUktxFUfCglZSZJEDxpS5V0e4RN4lmZSrmAvWCtixgE2V64FMYFJUzIRrsGwRQJ3FH4wtx
lXYT4I2jSN2614TC4zXy8dc1lnNtRp4O6xR3QqhIRyqU3a6SVmSzah0usxMJnbsu8sybWXXtrKnz
KHkQnIlWY3EBI3ONHFl/04uIhQQcotOaTTwOm4JSKtGaOpV6C3P9PqJebKYhiTUhITjF9pLuSilY
EGr3VxFShWkhFVOTtdkjcUvmWmk8dayjxNqbaSONUq+hZBAN3C5CYdR0V0IfWR/syI4IWBqdx78A
eD9Rke3waZ3EMagabrJRpsXCGgQaIW2YMLdtkZYruWq6Nb1vXGluFSwsomkE4dvioshMAkoDbpY0
MezcAFCjS6HmuUlfxVQl7NyppjgnpogTgts1iHJT+WfVg35clN56AIdHAYfqNA4jDeY0BUZqL/vT
ToiMSUrsZetIOrFgEfhv7EnFWCoMa13GObeg5mjXom10m76rsjvNxomNiFR+FHRh2XXCKukqUZ7U
fpJsiGLT3ZR/BskQXVZwi9a6H3krmcbIRZZDvrFNVVrnmWhu6D/JHgkei2tPyJy1JMERthUPiQ3H
Fy+o8BJgOYUZWQfSZCR9HKDGpR8t0o4iQsscbMYEHbS2VQKw9bE1k+HrIB0baOVlpcfCOWICydrB
8b9NhdSECEPIPpSIhclO3/bjuguTa1FOdyadfpsi5DqcFV2dLIw00QG7oBRWtl15b0H1HoUUVY9w
7jieI3mtt7he244w97XTuGSGEXTPIFET6l0JNaHGwWQkA5TQlJxB07RFo50TM5FWRhMiXWzzDeKc
Aiy/IbI5C2BirvS2tdIRSkDmKhm4+SS5k88dJ0274K22kNcKQrRy0gg5aqMoOjKZAqT9FphXBOoc
4UmDKJLRlVNqE3jbPC3PP9g5JiaxDxPV7lqsUbEhcifCQBfUlUNMRR4rVWbcqY4sfnFNoOZljk1W
d64q3qWaXlw1qircxR5KWnls5Ku+7D/4GTqsLS7WleJr+Sqy9eRaiOA9j1InUpb0nVU5YXQZrYyG
5NhEiQFgl2LbbQnth1MNxxDRScL4yTLUY055na4x4tfAu1Rkb518rOsQqMaJlsYPnRK71dSSe/vO
zcrgixLAoTMagbvANMk0lCj5URFl1T5b3ktEuuoSz7+VU8joI6riZOQckgzZEF0q1mVRBHMONGy2
UOupAcNvbCj5NaRZgZgv8YSeQk6dCHPQVckllBbXvIXarpEQojJubAuKeYE8n+FTQCPl0nuVmgqM
J9QOVmYc22M8cl1ZyDGBBhGWYzlqXcD24KNrDZG0mg6osaRWzl5ECIm8qEGZVuoGK1mJpXulaLIV
rA/OB01pyWIo/Sa1yAE6AMS3SSPYH+S+v3dbaL6aRu470DjHGs/bBIHRniutGMyMVGjgpuuDl6wm
j6rZLEsRDYcMFZHEqD55bHKiia0nj73ErSlM0sxpBgsexyZNo2hM1VV8oVEx5UwpQuPUw9peSDbQ
Ik/2iCxVCph0R7aTOaIOqBLpXZTwnXTBoATJVEe1bjwQxvNmOYrrhaY19P/HxTZEcxRVn0AkfUWL
AiXZSFJLVLf4uWbN3A61cxmnYay05oMFgB9RNu70KJPKD74gOUv0TJxigr55viAchW6LTSEEzq4w
6rLWuWS9qSOiHm8Nyral9rRJ6llPI84scFHkFRCqjQW3TCc9WQxhbYl9dFsn+J4TPWpMiR/GWzR1
+kvTSlFTzDpH6Fecq+RoEdVGDnlE0Iv8KNpagObZfOa09Up/iYw9Njo/E6cFhzQJ5CgTiZhRooJD
4ixqXVHyiSY29dShsGRG+A9Kd9yo11B6ghktFOSHDJUirFb7XCsaYo8SVtA4kDVjgYdVfuxjr1lI
ShpiOJgxepSFkH5UKo2Eapqoxsdcg+FP5UQXbUtb89eN2DIPjD6bnBf+slOJ9USoiytXIaRZhB0x
0CpO+qVHAPYHldiv+8CHvn2qsMUB+GDi+5qvyr9BqJVqnSPR+1RO35t5146bSNf9EYF5inpUTATO
rMHrLA172TVmuSNZb5AILoucBhkLL3jRwKVnx7YxBa6chu2lRUYSa8xvYxTMS6WSJ2lYusI+gi5o
ohWcRM1z/fAvNfbdJhH/f92rd9Dj93O9f/N9MrTNFa+HOqLt76sOwTd9f88Nin92BT61wd0mv/eX
XtrshvbCtwP9XCOhSdntQSPh00BPPYzfGyDc0epYPdJrqOrvMEahbMiU3CN65/z55/K7AZdLkydB
7edfTx/01cq8nfLbrsnf+zvfm/lze+XQQykZVJ0f9d01+R1QYIirdLA9/aKc+qsl0FgZuHe8aeTH
hl90J/N5f6clGJrrj14CCfAsVcXP31E+WALJegdsB/QlHaVPv54/72+0BLLEvj1qCVTxHc3udGtJ
f270w10gKO/o4FJ0XZL+tmug8tSOWgNNeYfOLp0mdMJ8400QZNaAdpSB/vP86/kD/0b7YOj3OmoJ
FPXdkBqjo1V+/oq87V8dBoryTgJuqgCKe/7x3+5NAGZy5BKobHUZq0001b++41dLIMnvnr88nT9P
v/5+S2Acexho1jsLTj3H3Z9fku/49RKI7wbbS7eel/pvtP8JPx/59PnqAxrckGEMfeMMkFQ2BxRI
09Cef/z8wv2NluANVOFXbSFNekfy0KIeAbzC8OvQJJK4KKAJDojoX97/P7FMfxmWyOiFj08mpbcv
vsJR/PAvvBiUbwf406IazCZDQWGF//EtsWygH4nSX8CHp384oCueP+rZ1hp+/18OSBZPJtBXP3wx
ib7+539+4bdT+cuAevujQ/vx13/+1beks9M6+mvhjHz1LQ+W4Nnb+Oqnv7gGDI0LcfAVX57ewtvn
u/zB7aZPJJE/v9QzGeSPuORHpfew+xoOAnXw5bfDw3rDHeFe/Nbj+PaffrXhXmZ0MM2f+vlXT0JW
iOz+f/goxrt493jwGBROxH/uiG89heen/r0HPIdhE4e7+PFlqCdaDKbIsQNv9633kLyM8+Q/DUy+
Y4e92cGBObtky+b7M6Z9tvWyas+N+TL08EngZl9++6/2549XhiBouX88uyl35b54Ge5p9KH19Njv
MWaAfBee/RHt81dvl0wkHHP3X34Ck/nL8Pzeox3vcu/+fr87WBp8ioEDR3PtD8b/N77AT9//4Cz4
P35F/ObxONqHXr9/WcvnzfHyu9/feQOxfHd2/WpbDOCHf/nMfnJLTMOzm11Y72hVfxlsmLTxve32
k0PPK96TaBcenFCDeNaxc14k8WOV7w5eQZzn4wc+Z4HznVMdzBiFtuNHvuSojg6HtX447L/vhVMN
Yg1H35hfz//P9/XrP5oOxsWLfXnwcr/85OUPv3emjXZuzg3w8oiGzTvEY47dY+MuzauDHTa498eO
Ot/1O+6P3Etfxnqar/jDrfDjy2mZvzrWpRO8EMsi3+3Dg7meYnGZa3Yw6OA5Hru2qyR/fLUEg6Di
scOuq2bnlS/jPD2ugXd37LCb/f0uPrRRSIkdP+4F2L6XUZ4mO8D1j53sFemB/GWYp1EHv/TYUW92
1aN39ke+u/cOTsYncurRg8NyPBxVPsFL9qcFOMz5bBpRLP7aEBx0GY+d+gdQimejXRy8DDWsOEGx
l9/+vhnxaR/tD3aHrJ/gxTtPzth0/1GcvXYatFOca/OEYc9uqvtHDx6L93DwKqrslRO8NLdVfH+2
LIb5Hxz5Q0QeaMkJ1uiP++psWxUHO/LP0U+wLf/r9fRmev1+OvlvZ8Pm2ecs2Ov9T1DtCcdIOQQp
JWA56g8X7luX9f8dj5102NHWB1fmP9/Ew+jRvyt0Ejq4dgd74ATHxR+Q3l7Z2MefFKOkLBps1peR
ng/9l9/9/gk02seHttogAPDPx/R7EQuwNlX86L0MNMx1oFUeO+zY3T2+jDKMqZ7gHLjeU50ceg9n
yZez0t2fATZxDkIiA3/62IlP9lHywN3Ex/z4806wA8fUPlDzcXCz/Ph0+bFJO06iBPLyy4IMz0D7
XpjiJ/3SvwItX4Y4S/zXGh18zglu2/Eu3Z+93+ePB+EA7QSW08T37qm0Odjxg8z2sRtn6nTpwf2q
n2Cy04w4QMK5F57NKy/eH5wpAwb96FnnHtztg2EHROTRw5aul6SHx/WgsXHsuLe89vNd9MroNU/g
U8x394cv4cCwPHa6c/fVNWCe4JG93QhEIY+f6/gf/6vcnz3+x7JOvPzgrZOkE8x6vY+7g20myScY
dePdv7YKUIE7fjE2+wLixMHlgjDNCcb17l+twqBofuw225LJcHYF8beXsZ5MjlNcI9tdl5Tl4XbQ
TvAibwltNt7BdLUTrC/Dvhr0BG/xlov04VXy5RSe03ZXcfoCiz5YhkH/7fgNMYy8iw8PYPoTTjB0
0g/nL1mil7Ge9tqg8HrsrM89TPyXYZ5GPcWV8TTqq4UwtJeP+X1r/PkYFkZeUeyql+GeZm2dYCNf
/+M/K+rxD8xCShtePuf3p32NZ3KY94TuffywN/vuwd2H4f5gM1NwcoKhsdbcsz+eDM6X0YZ1lgcV
jGP33M0+3ju7gyitPLByjx53SKnuzjb7JD54UZDSPMHgCZmhwy0NfP8E41avgsDyKW7+2+TQS5OV
ExxDN//4H8kZBej/+M+ntPVl/o//GT946eFaKydYa8JbXvFqrQdZlGM3yO0u7l8f0JRvHj/wnfPm
BVdPsKGJE9AFvTub7YoDs4gK7OPnTHWM98qmRyPk+HGnxGFKLz4wCdDiOn7gz298EFk/wWb77EX3
u/vmcBefIglx83SG3rx5v4ca/GN38sjLz24x5g4OUfQNjh/5j/tuf/DsDKQvqOF9ErPXBx2kH/tT
/744LFXpKKG8pGGfirCGa/sbtXnkcmOewpu6vMMobPJA8ckP/s7fosjtzU09RKRfbbM/v/JPRp2+
XTf3VCR43LivT/ZvOKW/NlNoFcnhLYTg0Nvg568Nej6ogH2ztumpOO+4JajIDL2xJqgZenMV/dqc
n0+cb9RjDYIyb86GXxv7YngTDu9kdDZQO5VNlV4PoP7ou7xx/H7tMy5J2zrJ608ZRFtUSiLplUR5
1BC/G5DEFP6pyjL2zO7VRhyEv1Q0CJE5RbthkMT83i37sx802oHzevhGDd4g80Nei9J5vp+sIht1
io/bEkQB3MndfhD4IZmmQaySB0VHA+UDBOdenw7VP2X3fva7bXeOm+/vX0YaHIRvlUq/eld+44P+
qgM8O9+ThcjfJD5NlZJARF/AnLJDMKG/Gy95/n7/vlvq+Xj6mVvqq7X6f+EWCqkROdx4b06dr77R
T76qf8TU+uUH2/kEHu4fwxl8ONdBT2jPiVV2v+/qU04JwT56GejJZ/7eq/aTazBKChb2ye1a7PN+
7yQ1jsHBp3zv9PjZT9mHu1dFZKcIGI+q0KGQ92C6gxbgsWs92cfRLj+oOjlFecgyZxkOq8lPEWmb
FuXrq20Q7Tt2Ecb9/sE9XNtTRNpm3puS+qFR7NjZznZ5sv9W5cp376Of3L4zKgof9i+THF69odX7
2CnPvXtstVf1ZNYJntwc1dy42HcvUxwm/OMa2x9nof+VFO6RJ9vQZnG4uqcIjYJTI1pwcDTgYb4s
ye+fw4sq5sw5WNsnBd9jd8Py4c3hQJPz8fNdlrvwcLZDa+qxs13t81cbTJKVEwxLEQJJqsPSPAkV
5KMnvNmV9avdcIpA2sYr3eq1aSK9dRGrf9rAP3nm3IRJvQteT/kEa7zxONfLfUx13GEBEi3VJ1jn
qt1HlGTkzstYw+kjqSc44rdJ+MiaHIyrvYlF/PpKb5N49zoheIJXhOxleTjZUwQV/4Wb8sTfOPal
JjLR7A7PilNczah9vbJ6UBV7eYq/fxBfEkepXmV7JOsEL8g1CZlXzgYUguMnPLzRFP0d7Al5UCo+
9rndPJ2auRcfxvJP4XXcpK86Sp4QH0dPuN7h0OWPL1/9yZmRT7HEzf7x8PJ4asU/er6NV/bPwYHD
KZ9gt0GMZYkPjEviRC8f8/uvx91zi+Ya+ePH5NBtfBvArX75eno/FFWy78Y4tS+TfXqM342P/OTd
x4nMBbV38sMNfQqv5mafv85NnaJEjpL5/VDJun3Vc6JJp+i8eQ4Zb3cP+8fXnh5o2lPYc+sEEZWD
1bYsaqTexo1/faf8478Px/+3XDNjkK0FckMWyKRD4n9zdy25bSNB9CpcJsAYCeXIcjYD2PIniWxH
E8keYHYtiZHaokWBFDOQV7nGHGHuMLvcZE4yr0m1wWq1JY/5EBveBLYRNMn+VFe9evVqF6207Va6
b98/HbQGS/0iRQy+jkFrREGJ3LgEw3YAizlQ+loOTHAxD1LU7shrlOBdosxoHKtRlE3sHizMGWEi
zpfKwEliWMYLT3J30QigxCEKCGSadpfwruDFD5KRXDNG+NVLdXCG+jDhUzGuNyR4JQrKiI1QrT0O
Ouaf3sGX6nYIGaStj0CzZ5GTegpRvFzbv8TIculCBu/pk5pL0xAy6hI7S/RhunXNGWgG9aehvIU7
icOwD3cJU1wmWD1jE450B6XWU+inOrPNONdnShal4CKvP8/wc1SydkSahFmGX4kKMWcvM6hJiPXR
kFTSJcM9wl2HgdXSPdOMWpSLaC6JkmGLsHRdlcJJjX3OXrhPGR/d5dyNzIDMu5D50nO0yZFraPS4
apvPHkIwNYfZsEMVjkVI2B39idIuttIw2rF1A96+ukZDEHemwddiDK1BWrbjlD4W443BaDRu4do7
MyzS5e0g8kwHA9S80tECgihiPhim7jOS0Mm34COk+fN58CY4RuFZsshXJ7P6OPSNeUtYgNUDO+ih
mKFRGx5pf9S+h7beMdDQ3hzFnfHSZ2/AgWH4Pud6NEJof6yyRXXSSlmY+89Z9kCkYzVrvYmeglsz
w6zd/VhW4VcfChk9UGy2xsjbE3nFraKwQKmO//3+VzZVSxWcpktUHuENPqB47kbZVcOXlNbEHFUw
yfZ2GaVTfY2C1h0UZslqpBbULqH6ah95Hwqw/QtRCTBVU7vdszdHGuLqiJd08BsKpJVEOlrNVoNR
nHKUTEcJJrCvpggjtVQ5et8ydDPC4nVUrlMtyAmhUUxuGcnNuoa/q3ZivTNE3n8ny3I7nln61TMI
tBvA1WPPyAQbdKbQgNdxa8qp2XpxPR2wdKc6V5e2Vf0Ec3LATa7+6dik6WuLTB2k+UCJ1bO/PP6w
ghCsITVWkJAOVToAsd0OWvgH9pc6TxjnOpbaEAwHzLwtBOOEjWTAsaYyGnJeEEoTQzMC5LZaIr3l
uzEZ7kzb2R2MMtCj5AZVH1JlleE82HH9ugeM6A3MFleXlJH5hJzgCLKeuaSmr/Ow8/+d1fkAgS9t
j1tp9QmX8SfsY2f9QoY81LlKTT2QW73KUMYwGajMFP0Jry/cyKR+oMvXBTtrkRgJS+GFNBgSUaUC
bEcvFllhTS+ib1paEIarXz7lLB9KJKVBsXxIY+uRGhWv308GoO1X92ODwQXqI1Ys56eNfZlkPmPY
YPBTy4m60iAPQpjXZMGM0k1pFdagBoZ2wKEpQc8mwZVOx9pr5KF9Zefz8dfpZW/jEwiUBnQoVo5w
RYOhxNpGdQbQRTsFhXvBcP17SnpFjRbBGQdwtAjQlxwqy46uQIPBxC13J1yYxeTH33F0s6zOSpPB
PSw+4FzhCZKUgaI/BoZZfkB5CwSvSpLu6+pH7KJkY2vA4vORN3jORF18I2b9InPKpgLCrUJjEJ2Q
gfmaxFMPnrQHogWku9/v7YG2sL+PSrqt4eTTrXtZNFc33JP1pM+iVjQdG/xBJk4ZINwhkjYOe5dB
qzlM1a0sdGaIGbSRShBQPwMvaydx4gplMWDi4yFiCSl4zuhEcILAZzgxKmeOZBajRP1ExdN7KUUE
gO00B2FDIBDAvuy18ninqQe0FUi/2BohozrFJN0An4jrOzT9KM1hrFNy1o1SCQFuN6rbkdnLNHdf
tsE4IVcgDN6i24VYONRtbpuGp7sGfFXOL/BSKJt4QIdX3SRicRge5mGU3rhwISHA6Rlzm3gDKAaT
pJ2YqPNVJ0KLjNn4tS/+ZESDBWHFSCDDRTaG2PccRgFFO0msTybAhuZW1H27uTjR19oeYROtMVgK
JyCJG8Fy28CmIO7qYbpOn9rYC+aBeM/qLkQVxHKNnsVoqLEav2AQmcU2MMOdxIZhx43EojAuBgCQ
ImO9Ls/wCOgxQkHAaocW33A+PAIIENu/iY9AnbvdFI+/kDtIow0QWtuRCryToTLVnqTgIQC79wQq
IaM++SL6M2ir2MMGZ1DkL7QjB8ggyF+pGcRvpTvBwEguILsoR2WcWTPBf0TgXslqbbDV7WZ5/Lbr
6sUQ2Jb3coE4COEBao5kmvkEj7gsJ0kcuyKJhOOISypD8tZPHmM0Syrhog9RjKTML8FBBlA2gyhj
iTSbE4u0GAgQ7Xw2EX4KNFvqL0o/mcI3FTsV/W0Z44JcZocp4EwGHbWfo0LLeVnCzvwdy6tL5P0k
X4ApJF6ckStcczIbDMpF23ADTdbGHtrqezcBMrZaEIlBK1bQMN41GTWTq+qtXtFgD338ZkkafM5B
dYK/6HXjWoZe8hZ9LfaBgpkW2c858PEIL9UNfKphnLHNm8kP1f99XOVFENFdn+rTz/3K0rs2eNRd
B1v7Apv6iJ1GCbJH4mwyuLtf8swhMjcYTK/+j3+gZbmMqkcSml721/vuad8O+Dmov0+eyy5LsVar
7bsB311TbKp+zfPY/T5dsJf3lT51sGf2ldWt4TF1Kzs5jBF+/fofAAAA//8=</cx:binary>
              </cx:geoCache>
            </cx:geography>
          </cx:layoutPr>
        </cx:series>
      </cx:plotAreaRegion>
    </cx:plotArea>
    <cx:legend pos="r" align="min" overlay="0">
      <cx:spPr>
        <a:noFill/>
      </cx:spPr>
      <cx:txPr>
        <a:bodyPr spcFirstLastPara="1" vertOverflow="ellipsis" horzOverflow="overflow" wrap="square" lIns="0" tIns="0" rIns="0" bIns="0" anchor="ctr" anchorCtr="1"/>
        <a:lstStyle/>
        <a:p>
          <a:pPr algn="ctr" rtl="0">
            <a:defRPr sz="1100">
              <a:solidFill>
                <a:schemeClr val="bg1">
                  <a:lumMod val="85000"/>
                </a:schemeClr>
              </a:solidFill>
              <a:latin typeface="Segoe UI" panose="020B0502040204020203" pitchFamily="34" charset="0"/>
              <a:ea typeface="Segoe UI" panose="020B0502040204020203" pitchFamily="34" charset="0"/>
              <a:cs typeface="Segoe UI" panose="020B0502040204020203" pitchFamily="34" charset="0"/>
            </a:defRPr>
          </a:pPr>
          <a:endParaRPr lang="en-US" sz="1100" b="0" i="0" u="none" strike="noStrike" baseline="0">
            <a:solidFill>
              <a:schemeClr val="bg1">
                <a:lumMod val="85000"/>
              </a:schemeClr>
            </a:solidFill>
            <a:latin typeface="Segoe UI" panose="020B0502040204020203" pitchFamily="34" charset="0"/>
            <a:cs typeface="Segoe UI" panose="020B0502040204020203" pitchFamily="34" charset="0"/>
          </a:endParaRPr>
        </a:p>
      </cx:txPr>
    </cx:legend>
  </cx:chart>
  <cx:spPr>
    <a:noFill/>
    <a:ln w="25400">
      <a:noFill/>
      <a:prstDash val="solid"/>
    </a:ln>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microsoft.com/office/2014/relationships/chartEx" Target="../charts/chartEx1.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11</xdr:col>
      <xdr:colOff>752475</xdr:colOff>
      <xdr:row>3</xdr:row>
      <xdr:rowOff>66675</xdr:rowOff>
    </xdr:from>
    <xdr:to>
      <xdr:col>26</xdr:col>
      <xdr:colOff>412750</xdr:colOff>
      <xdr:row>52</xdr:row>
      <xdr:rowOff>155575</xdr:rowOff>
    </xdr:to>
    <xdr:grpSp>
      <xdr:nvGrpSpPr>
        <xdr:cNvPr id="15" name="Group 14">
          <a:extLst>
            <a:ext uri="{FF2B5EF4-FFF2-40B4-BE49-F238E27FC236}">
              <a16:creationId xmlns:a16="http://schemas.microsoft.com/office/drawing/2014/main" id="{795C78E5-DD93-7B06-41B4-24FB0B48270F}"/>
            </a:ext>
          </a:extLst>
        </xdr:cNvPr>
        <xdr:cNvGrpSpPr/>
      </xdr:nvGrpSpPr>
      <xdr:grpSpPr>
        <a:xfrm>
          <a:off x="13502368" y="883104"/>
          <a:ext cx="12138025" cy="11654971"/>
          <a:chOff x="12944475" y="6991350"/>
          <a:chExt cx="12118975" cy="12204700"/>
        </a:xfrm>
      </xdr:grpSpPr>
      <xdr:graphicFrame macro="">
        <xdr:nvGraphicFramePr>
          <xdr:cNvPr id="14" name="Chart 13">
            <a:extLst>
              <a:ext uri="{FF2B5EF4-FFF2-40B4-BE49-F238E27FC236}">
                <a16:creationId xmlns:a16="http://schemas.microsoft.com/office/drawing/2014/main" id="{EECF100D-5013-7750-CBF2-D728E58DF4A5}"/>
              </a:ext>
            </a:extLst>
          </xdr:cNvPr>
          <xdr:cNvGraphicFramePr/>
        </xdr:nvGraphicFramePr>
        <xdr:xfrm>
          <a:off x="19094450" y="15830550"/>
          <a:ext cx="5969000" cy="33655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7" name="Chart 16">
            <a:extLst>
              <a:ext uri="{FF2B5EF4-FFF2-40B4-BE49-F238E27FC236}">
                <a16:creationId xmlns:a16="http://schemas.microsoft.com/office/drawing/2014/main" id="{669FC009-430D-3D43-6BD6-8696C0BC5CEB}"/>
              </a:ext>
            </a:extLst>
          </xdr:cNvPr>
          <xdr:cNvGraphicFramePr/>
        </xdr:nvGraphicFramePr>
        <xdr:xfrm>
          <a:off x="12973049" y="12757150"/>
          <a:ext cx="12090400" cy="2921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9" name="Chart 18">
            <a:extLst>
              <a:ext uri="{FF2B5EF4-FFF2-40B4-BE49-F238E27FC236}">
                <a16:creationId xmlns:a16="http://schemas.microsoft.com/office/drawing/2014/main" id="{3F7642E0-C04A-372D-5742-5DFA0DEBF9B1}"/>
              </a:ext>
            </a:extLst>
          </xdr:cNvPr>
          <xdr:cNvGraphicFramePr/>
        </xdr:nvGraphicFramePr>
        <xdr:xfrm>
          <a:off x="12973050" y="15830550"/>
          <a:ext cx="5969000" cy="33655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21" name="Chart 20">
            <a:extLst>
              <a:ext uri="{FF2B5EF4-FFF2-40B4-BE49-F238E27FC236}">
                <a16:creationId xmlns:a16="http://schemas.microsoft.com/office/drawing/2014/main" id="{B3166467-998C-9AA3-EF5E-2F38F39BABAF}"/>
              </a:ext>
            </a:extLst>
          </xdr:cNvPr>
          <xdr:cNvGraphicFramePr/>
        </xdr:nvGraphicFramePr>
        <xdr:xfrm>
          <a:off x="19094450" y="9683749"/>
          <a:ext cx="5969000" cy="292100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10" name="Chart 9">
            <a:extLst>
              <a:ext uri="{FF2B5EF4-FFF2-40B4-BE49-F238E27FC236}">
                <a16:creationId xmlns:a16="http://schemas.microsoft.com/office/drawing/2014/main" id="{1C80221C-5758-E402-A0D5-69E81177F276}"/>
              </a:ext>
            </a:extLst>
          </xdr:cNvPr>
          <xdr:cNvGraphicFramePr/>
        </xdr:nvGraphicFramePr>
        <xdr:xfrm>
          <a:off x="12944475" y="6991350"/>
          <a:ext cx="5969000" cy="25400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11" name="Chart 10">
            <a:extLst>
              <a:ext uri="{FF2B5EF4-FFF2-40B4-BE49-F238E27FC236}">
                <a16:creationId xmlns:a16="http://schemas.microsoft.com/office/drawing/2014/main" id="{6BB42E3A-DA41-EADE-D60D-E1119A213F6B}"/>
              </a:ext>
            </a:extLst>
          </xdr:cNvPr>
          <xdr:cNvGraphicFramePr/>
        </xdr:nvGraphicFramePr>
        <xdr:xfrm>
          <a:off x="19065875" y="6991350"/>
          <a:ext cx="5969000" cy="25400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3" name="Chart 12">
            <a:extLst>
              <a:ext uri="{FF2B5EF4-FFF2-40B4-BE49-F238E27FC236}">
                <a16:creationId xmlns:a16="http://schemas.microsoft.com/office/drawing/2014/main" id="{00A54282-6391-A694-8B34-E2A6CB4E9558}"/>
              </a:ext>
            </a:extLst>
          </xdr:cNvPr>
          <xdr:cNvGraphicFramePr/>
        </xdr:nvGraphicFramePr>
        <xdr:xfrm>
          <a:off x="12944475" y="9683749"/>
          <a:ext cx="5969000" cy="292100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346364</xdr:colOff>
      <xdr:row>6</xdr:row>
      <xdr:rowOff>0</xdr:rowOff>
    </xdr:from>
    <xdr:to>
      <xdr:col>46</xdr:col>
      <xdr:colOff>54305</xdr:colOff>
      <xdr:row>57</xdr:row>
      <xdr:rowOff>177361</xdr:rowOff>
    </xdr:to>
    <xdr:sp macro="" textlink="">
      <xdr:nvSpPr>
        <xdr:cNvPr id="14" name="Rectangle 13">
          <a:extLst>
            <a:ext uri="{FF2B5EF4-FFF2-40B4-BE49-F238E27FC236}">
              <a16:creationId xmlns:a16="http://schemas.microsoft.com/office/drawing/2014/main" id="{E895A24D-5426-47CC-40F5-1D0A0404966A}"/>
            </a:ext>
          </a:extLst>
        </xdr:cNvPr>
        <xdr:cNvSpPr/>
      </xdr:nvSpPr>
      <xdr:spPr>
        <a:xfrm>
          <a:off x="952500" y="1143000"/>
          <a:ext cx="32543214" cy="14083861"/>
        </a:xfrm>
        <a:prstGeom prst="rect">
          <a:avLst/>
        </a:prstGeom>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0</xdr:colOff>
      <xdr:row>6</xdr:row>
      <xdr:rowOff>86591</xdr:rowOff>
    </xdr:from>
    <xdr:to>
      <xdr:col>44</xdr:col>
      <xdr:colOff>585107</xdr:colOff>
      <xdr:row>56</xdr:row>
      <xdr:rowOff>180975</xdr:rowOff>
    </xdr:to>
    <xdr:sp macro="" textlink="">
      <xdr:nvSpPr>
        <xdr:cNvPr id="15" name="Rectangle: Rounded Corners 14">
          <a:extLst>
            <a:ext uri="{FF2B5EF4-FFF2-40B4-BE49-F238E27FC236}">
              <a16:creationId xmlns:a16="http://schemas.microsoft.com/office/drawing/2014/main" id="{BB4477A9-7EC3-4AEB-998E-F4D7B39917A0}"/>
            </a:ext>
          </a:extLst>
        </xdr:cNvPr>
        <xdr:cNvSpPr/>
      </xdr:nvSpPr>
      <xdr:spPr>
        <a:xfrm>
          <a:off x="14695714" y="1229591"/>
          <a:ext cx="32140072" cy="13864813"/>
        </a:xfrm>
        <a:prstGeom prst="roundRect">
          <a:avLst>
            <a:gd name="adj" fmla="val 7736"/>
          </a:avLst>
        </a:prstGeom>
        <a:gradFill flip="none" rotWithShape="1">
          <a:gsLst>
            <a:gs pos="0">
              <a:srgbClr val="00D4FF">
                <a:shade val="30000"/>
                <a:satMod val="115000"/>
              </a:srgbClr>
            </a:gs>
            <a:gs pos="61000">
              <a:srgbClr val="00D4FF">
                <a:shade val="67500"/>
                <a:satMod val="115000"/>
                <a:lumMod val="72000"/>
              </a:srgbClr>
            </a:gs>
            <a:gs pos="100000">
              <a:srgbClr val="00D4FF">
                <a:shade val="100000"/>
                <a:satMod val="115000"/>
              </a:srgb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5</xdr:col>
      <xdr:colOff>900794</xdr:colOff>
      <xdr:row>6</xdr:row>
      <xdr:rowOff>331386</xdr:rowOff>
    </xdr:from>
    <xdr:to>
      <xdr:col>44</xdr:col>
      <xdr:colOff>291193</xdr:colOff>
      <xdr:row>56</xdr:row>
      <xdr:rowOff>10676</xdr:rowOff>
    </xdr:to>
    <xdr:sp macro="" textlink="">
      <xdr:nvSpPr>
        <xdr:cNvPr id="2" name="Rectangle: Rounded Corners 1">
          <a:extLst>
            <a:ext uri="{FF2B5EF4-FFF2-40B4-BE49-F238E27FC236}">
              <a16:creationId xmlns:a16="http://schemas.microsoft.com/office/drawing/2014/main" id="{F17BB87C-CAA6-47B9-84C1-C1F7FAFE94B0}"/>
            </a:ext>
          </a:extLst>
        </xdr:cNvPr>
        <xdr:cNvSpPr/>
      </xdr:nvSpPr>
      <xdr:spPr>
        <a:xfrm>
          <a:off x="18454008" y="1474386"/>
          <a:ext cx="28087864" cy="13449719"/>
        </a:xfrm>
        <a:prstGeom prst="roundRect">
          <a:avLst>
            <a:gd name="adj" fmla="val 6145"/>
          </a:avLst>
        </a:prstGeom>
        <a:gradFill flip="none" rotWithShape="1">
          <a:gsLst>
            <a:gs pos="0">
              <a:srgbClr val="1E3A5F">
                <a:shade val="30000"/>
                <a:satMod val="115000"/>
              </a:srgbClr>
            </a:gs>
            <a:gs pos="85000">
              <a:srgbClr val="1E3A5F">
                <a:shade val="67500"/>
                <a:satMod val="115000"/>
              </a:srgbClr>
            </a:gs>
            <a:gs pos="100000">
              <a:srgbClr val="1E3A5F">
                <a:shade val="100000"/>
                <a:satMod val="115000"/>
              </a:srgbClr>
            </a:gs>
          </a:gsLst>
          <a:lin ang="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rgbClr val="4ECDC4"/>
            </a:solidFill>
          </a:endParaRPr>
        </a:p>
      </xdr:txBody>
    </xdr:sp>
    <xdr:clientData/>
  </xdr:twoCellAnchor>
  <xdr:twoCellAnchor>
    <xdr:from>
      <xdr:col>7</xdr:col>
      <xdr:colOff>495318</xdr:colOff>
      <xdr:row>8</xdr:row>
      <xdr:rowOff>87160</xdr:rowOff>
    </xdr:from>
    <xdr:to>
      <xdr:col>21</xdr:col>
      <xdr:colOff>280801</xdr:colOff>
      <xdr:row>22</xdr:row>
      <xdr:rowOff>35873</xdr:rowOff>
    </xdr:to>
    <xdr:sp macro="" textlink="">
      <xdr:nvSpPr>
        <xdr:cNvPr id="13" name="Rectangle: Rounded Corners 12">
          <a:extLst>
            <a:ext uri="{FF2B5EF4-FFF2-40B4-BE49-F238E27FC236}">
              <a16:creationId xmlns:a16="http://schemas.microsoft.com/office/drawing/2014/main" id="{C86D57D6-2BF0-47FA-93EB-08294A6D9BFC}"/>
            </a:ext>
          </a:extLst>
        </xdr:cNvPr>
        <xdr:cNvSpPr/>
      </xdr:nvSpPr>
      <xdr:spPr>
        <a:xfrm>
          <a:off x="8530954" y="2130705"/>
          <a:ext cx="12098711" cy="4157032"/>
        </a:xfrm>
        <a:prstGeom prst="roundRect">
          <a:avLst/>
        </a:prstGeom>
        <a:solidFill>
          <a:srgbClr val="8899AA">
            <a:alpha val="20000"/>
          </a:srgbClr>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lumMod val="85000"/>
              </a:schemeClr>
            </a:solidFill>
          </a:endParaRPr>
        </a:p>
      </xdr:txBody>
    </xdr:sp>
    <xdr:clientData/>
  </xdr:twoCellAnchor>
  <xdr:twoCellAnchor>
    <xdr:from>
      <xdr:col>2</xdr:col>
      <xdr:colOff>553893</xdr:colOff>
      <xdr:row>6</xdr:row>
      <xdr:rowOff>401010</xdr:rowOff>
    </xdr:from>
    <xdr:to>
      <xdr:col>5</xdr:col>
      <xdr:colOff>728383</xdr:colOff>
      <xdr:row>20</xdr:row>
      <xdr:rowOff>19212</xdr:rowOff>
    </xdr:to>
    <xdr:grpSp>
      <xdr:nvGrpSpPr>
        <xdr:cNvPr id="32" name="Group 31">
          <a:extLst>
            <a:ext uri="{FF2B5EF4-FFF2-40B4-BE49-F238E27FC236}">
              <a16:creationId xmlns:a16="http://schemas.microsoft.com/office/drawing/2014/main" id="{845D2899-D844-952D-885A-CB02D76203C6}"/>
            </a:ext>
          </a:extLst>
        </xdr:cNvPr>
        <xdr:cNvGrpSpPr/>
      </xdr:nvGrpSpPr>
      <xdr:grpSpPr>
        <a:xfrm>
          <a:off x="1773093" y="1544010"/>
          <a:ext cx="3031990" cy="4123527"/>
          <a:chOff x="15121540" y="1947421"/>
          <a:chExt cx="3031990" cy="4122967"/>
        </a:xfrm>
      </xdr:grpSpPr>
      <xdr:sp macro="" textlink="">
        <xdr:nvSpPr>
          <xdr:cNvPr id="18" name="Rectangle: Rounded Corners 17">
            <a:extLst>
              <a:ext uri="{FF2B5EF4-FFF2-40B4-BE49-F238E27FC236}">
                <a16:creationId xmlns:a16="http://schemas.microsoft.com/office/drawing/2014/main" id="{41B5F9D6-1CEC-6BD6-E13A-2BB79C4DA9BF}"/>
              </a:ext>
            </a:extLst>
          </xdr:cNvPr>
          <xdr:cNvSpPr/>
        </xdr:nvSpPr>
        <xdr:spPr>
          <a:xfrm>
            <a:off x="15121540" y="1947421"/>
            <a:ext cx="2875108" cy="4122967"/>
          </a:xfrm>
          <a:prstGeom prst="roundRect">
            <a:avLst/>
          </a:prstGeom>
          <a:gradFill>
            <a:gsLst>
              <a:gs pos="0">
                <a:srgbClr val="1E3A5F"/>
              </a:gs>
              <a:gs pos="56000">
                <a:srgbClr val="006E8A"/>
              </a:gs>
              <a:gs pos="100000">
                <a:srgbClr val="006E8A">
                  <a:alpha val="75000"/>
                </a:srgbClr>
              </a:gs>
            </a:gsLst>
            <a:lin ang="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7" name="TextBox 16">
            <a:extLst>
              <a:ext uri="{FF2B5EF4-FFF2-40B4-BE49-F238E27FC236}">
                <a16:creationId xmlns:a16="http://schemas.microsoft.com/office/drawing/2014/main" id="{B6B6A38F-2A60-9DAD-283A-2C976067DDDF}"/>
              </a:ext>
            </a:extLst>
          </xdr:cNvPr>
          <xdr:cNvSpPr txBox="1"/>
        </xdr:nvSpPr>
        <xdr:spPr>
          <a:xfrm>
            <a:off x="15183172" y="2146727"/>
            <a:ext cx="1932214" cy="308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rgbClr val="8899AA"/>
                </a:solidFill>
              </a:rPr>
              <a:t>   </a:t>
            </a:r>
            <a:r>
              <a:rPr lang="en-GB" sz="1600">
                <a:solidFill>
                  <a:schemeClr val="bg1">
                    <a:lumMod val="85000"/>
                  </a:schemeClr>
                </a:solidFill>
              </a:rPr>
              <a:t>📊  </a:t>
            </a:r>
            <a:r>
              <a:rPr lang="en-GB" sz="1600" b="1">
                <a:solidFill>
                  <a:schemeClr val="bg1">
                    <a:lumMod val="85000"/>
                  </a:schemeClr>
                </a:solidFill>
              </a:rPr>
              <a:t>KEY METRICS</a:t>
            </a:r>
          </a:p>
        </xdr:txBody>
      </xdr:sp>
      <xdr:sp macro="" textlink="">
        <xdr:nvSpPr>
          <xdr:cNvPr id="19" name="TextBox 18">
            <a:extLst>
              <a:ext uri="{FF2B5EF4-FFF2-40B4-BE49-F238E27FC236}">
                <a16:creationId xmlns:a16="http://schemas.microsoft.com/office/drawing/2014/main" id="{9F65512C-FF56-4E17-B5B2-533C9DF4D796}"/>
              </a:ext>
            </a:extLst>
          </xdr:cNvPr>
          <xdr:cNvSpPr txBox="1"/>
        </xdr:nvSpPr>
        <xdr:spPr>
          <a:xfrm>
            <a:off x="15145072" y="2563266"/>
            <a:ext cx="1932214" cy="306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lumMod val="85000"/>
                  </a:schemeClr>
                </a:solidFill>
              </a:rPr>
              <a:t>Total</a:t>
            </a:r>
            <a:r>
              <a:rPr lang="en-GB" sz="1600" b="1" baseline="0">
                <a:solidFill>
                  <a:schemeClr val="bg1">
                    <a:lumMod val="85000"/>
                  </a:schemeClr>
                </a:solidFill>
              </a:rPr>
              <a:t> Transactions</a:t>
            </a:r>
            <a:endParaRPr lang="en-GB" sz="1600" b="1">
              <a:solidFill>
                <a:schemeClr val="bg1">
                  <a:lumMod val="85000"/>
                </a:schemeClr>
              </a:solidFill>
            </a:endParaRPr>
          </a:p>
        </xdr:txBody>
      </xdr:sp>
      <xdr:sp macro="" textlink="">
        <xdr:nvSpPr>
          <xdr:cNvPr id="20" name="TextBox 19">
            <a:extLst>
              <a:ext uri="{FF2B5EF4-FFF2-40B4-BE49-F238E27FC236}">
                <a16:creationId xmlns:a16="http://schemas.microsoft.com/office/drawing/2014/main" id="{F97F94D7-E80B-4007-8F1A-8077F7B85DF5}"/>
              </a:ext>
            </a:extLst>
          </xdr:cNvPr>
          <xdr:cNvSpPr txBox="1"/>
        </xdr:nvSpPr>
        <xdr:spPr>
          <a:xfrm>
            <a:off x="15154073" y="3105426"/>
            <a:ext cx="1932214" cy="306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lumMod val="85000"/>
                  </a:schemeClr>
                </a:solidFill>
              </a:rPr>
              <a:t>Success Rate</a:t>
            </a:r>
          </a:p>
        </xdr:txBody>
      </xdr:sp>
      <xdr:sp macro="" textlink="">
        <xdr:nvSpPr>
          <xdr:cNvPr id="21" name="TextBox 20">
            <a:extLst>
              <a:ext uri="{FF2B5EF4-FFF2-40B4-BE49-F238E27FC236}">
                <a16:creationId xmlns:a16="http://schemas.microsoft.com/office/drawing/2014/main" id="{66688A1B-9278-4E4A-8170-49B177D6A277}"/>
              </a:ext>
            </a:extLst>
          </xdr:cNvPr>
          <xdr:cNvSpPr txBox="1"/>
        </xdr:nvSpPr>
        <xdr:spPr>
          <a:xfrm>
            <a:off x="15154700" y="3716543"/>
            <a:ext cx="1932214" cy="309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lumMod val="85000"/>
                  </a:schemeClr>
                </a:solidFill>
              </a:rPr>
              <a:t>Total Net Revenue</a:t>
            </a:r>
          </a:p>
        </xdr:txBody>
      </xdr:sp>
      <xdr:sp macro="" textlink="">
        <xdr:nvSpPr>
          <xdr:cNvPr id="22" name="TextBox 21">
            <a:extLst>
              <a:ext uri="{FF2B5EF4-FFF2-40B4-BE49-F238E27FC236}">
                <a16:creationId xmlns:a16="http://schemas.microsoft.com/office/drawing/2014/main" id="{592366A5-D681-4812-950E-D90B39D9FE1C}"/>
              </a:ext>
            </a:extLst>
          </xdr:cNvPr>
          <xdr:cNvSpPr txBox="1"/>
        </xdr:nvSpPr>
        <xdr:spPr>
          <a:xfrm>
            <a:off x="15161610" y="4271639"/>
            <a:ext cx="1932214" cy="309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lumMod val="85000"/>
                  </a:schemeClr>
                </a:solidFill>
              </a:rPr>
              <a:t>Total Fees Paid</a:t>
            </a:r>
          </a:p>
        </xdr:txBody>
      </xdr:sp>
      <xdr:sp macro="" textlink="">
        <xdr:nvSpPr>
          <xdr:cNvPr id="23" name="TextBox 22">
            <a:extLst>
              <a:ext uri="{FF2B5EF4-FFF2-40B4-BE49-F238E27FC236}">
                <a16:creationId xmlns:a16="http://schemas.microsoft.com/office/drawing/2014/main" id="{66EA3361-9D8A-4FFF-A536-5714F085265E}"/>
              </a:ext>
            </a:extLst>
          </xdr:cNvPr>
          <xdr:cNvSpPr txBox="1"/>
        </xdr:nvSpPr>
        <xdr:spPr>
          <a:xfrm>
            <a:off x="15164331" y="4807478"/>
            <a:ext cx="1932214" cy="3093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lumMod val="85000"/>
                  </a:schemeClr>
                </a:solidFill>
              </a:rPr>
              <a:t>AVG TXN (net)</a:t>
            </a:r>
          </a:p>
        </xdr:txBody>
      </xdr:sp>
      <xdr:sp macro="" textlink="">
        <xdr:nvSpPr>
          <xdr:cNvPr id="24" name="TextBox 23">
            <a:extLst>
              <a:ext uri="{FF2B5EF4-FFF2-40B4-BE49-F238E27FC236}">
                <a16:creationId xmlns:a16="http://schemas.microsoft.com/office/drawing/2014/main" id="{1C2945AA-F9BE-48EB-A4FD-2C1997F96F5B}"/>
              </a:ext>
            </a:extLst>
          </xdr:cNvPr>
          <xdr:cNvSpPr txBox="1"/>
        </xdr:nvSpPr>
        <xdr:spPr>
          <a:xfrm>
            <a:off x="15179947" y="5293400"/>
            <a:ext cx="1932214" cy="308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lumMod val="85000"/>
                  </a:schemeClr>
                </a:solidFill>
              </a:rPr>
              <a:t>Failed Transactions</a:t>
            </a:r>
          </a:p>
        </xdr:txBody>
      </xdr:sp>
      <xdr:sp macro="" textlink="Dashboards!B5">
        <xdr:nvSpPr>
          <xdr:cNvPr id="25" name="TextBox 24">
            <a:extLst>
              <a:ext uri="{FF2B5EF4-FFF2-40B4-BE49-F238E27FC236}">
                <a16:creationId xmlns:a16="http://schemas.microsoft.com/office/drawing/2014/main" id="{AEF5D001-8BCD-C5B4-14A4-4D0AC4C55D51}"/>
              </a:ext>
            </a:extLst>
          </xdr:cNvPr>
          <xdr:cNvSpPr txBox="1"/>
        </xdr:nvSpPr>
        <xdr:spPr>
          <a:xfrm>
            <a:off x="17277869" y="2557342"/>
            <a:ext cx="786013" cy="542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8C6307-D7F8-4F6D-910C-6A3B3B79B72F}" type="TxLink">
              <a:rPr lang="en-US" sz="1600" b="1" i="0" u="none" strike="noStrike">
                <a:solidFill>
                  <a:srgbClr val="2AB5A0"/>
                </a:solidFill>
                <a:latin typeface="Calibri"/>
                <a:ea typeface="Calibri"/>
                <a:cs typeface="Calibri"/>
              </a:rPr>
              <a:pPr/>
              <a:t>1,000</a:t>
            </a:fld>
            <a:endParaRPr lang="en-GB" sz="1600">
              <a:solidFill>
                <a:srgbClr val="2AB5A0"/>
              </a:solidFill>
            </a:endParaRPr>
          </a:p>
        </xdr:txBody>
      </xdr:sp>
      <xdr:sp macro="" textlink="Dashboards!D5">
        <xdr:nvSpPr>
          <xdr:cNvPr id="26" name="TextBox 25">
            <a:extLst>
              <a:ext uri="{FF2B5EF4-FFF2-40B4-BE49-F238E27FC236}">
                <a16:creationId xmlns:a16="http://schemas.microsoft.com/office/drawing/2014/main" id="{0E2D72E3-F72F-4C55-BEEC-A6357776FE97}"/>
              </a:ext>
            </a:extLst>
          </xdr:cNvPr>
          <xdr:cNvSpPr txBox="1"/>
        </xdr:nvSpPr>
        <xdr:spPr>
          <a:xfrm>
            <a:off x="17248760" y="3138571"/>
            <a:ext cx="781506" cy="5441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D3FC54-C4F4-43F5-A51C-2477D0FA639D}" type="TxLink">
              <a:rPr lang="en-US" sz="1600" b="1" i="0" u="none" strike="noStrike">
                <a:solidFill>
                  <a:srgbClr val="2AB5A0"/>
                </a:solidFill>
                <a:latin typeface="Calibri"/>
                <a:ea typeface="Calibri"/>
                <a:cs typeface="Calibri"/>
              </a:rPr>
              <a:pPr/>
              <a:t>55.4%</a:t>
            </a:fld>
            <a:endParaRPr lang="en-GB" sz="1600">
              <a:solidFill>
                <a:srgbClr val="2AB5A0"/>
              </a:solidFill>
            </a:endParaRPr>
          </a:p>
        </xdr:txBody>
      </xdr:sp>
      <xdr:sp macro="" textlink="Dashboards!F5">
        <xdr:nvSpPr>
          <xdr:cNvPr id="27" name="TextBox 26">
            <a:extLst>
              <a:ext uri="{FF2B5EF4-FFF2-40B4-BE49-F238E27FC236}">
                <a16:creationId xmlns:a16="http://schemas.microsoft.com/office/drawing/2014/main" id="{62567502-C325-4908-A019-ABCE7B926C58}"/>
              </a:ext>
            </a:extLst>
          </xdr:cNvPr>
          <xdr:cNvSpPr txBox="1"/>
        </xdr:nvSpPr>
        <xdr:spPr>
          <a:xfrm>
            <a:off x="16837848" y="3717582"/>
            <a:ext cx="1173884" cy="5432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056DEE9-0E1E-4EE3-8BD0-80EAECFC91D5}" type="TxLink">
              <a:rPr lang="en-US" sz="1600" b="1" i="0" u="none" strike="noStrike">
                <a:solidFill>
                  <a:srgbClr val="2AB5A0"/>
                </a:solidFill>
                <a:latin typeface="Calibri"/>
                <a:ea typeface="Calibri"/>
                <a:cs typeface="Calibri"/>
              </a:rPr>
              <a:pPr/>
              <a:t>€1,024,391</a:t>
            </a:fld>
            <a:endParaRPr lang="en-GB" sz="1600">
              <a:solidFill>
                <a:srgbClr val="2AB5A0"/>
              </a:solidFill>
            </a:endParaRPr>
          </a:p>
        </xdr:txBody>
      </xdr:sp>
      <xdr:sp macro="" textlink="Dashboards!F22">
        <xdr:nvSpPr>
          <xdr:cNvPr id="28" name="TextBox 27">
            <a:extLst>
              <a:ext uri="{FF2B5EF4-FFF2-40B4-BE49-F238E27FC236}">
                <a16:creationId xmlns:a16="http://schemas.microsoft.com/office/drawing/2014/main" id="{045EB283-9EAD-413F-9E53-52F23796258D}"/>
              </a:ext>
            </a:extLst>
          </xdr:cNvPr>
          <xdr:cNvSpPr txBox="1"/>
        </xdr:nvSpPr>
        <xdr:spPr>
          <a:xfrm>
            <a:off x="17073572" y="4273246"/>
            <a:ext cx="980786" cy="5479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C8CE32F-DC18-467D-BCAC-7386E454886C}" type="TxLink">
              <a:rPr lang="en-US" sz="1600" b="1" i="0" u="none" strike="noStrike">
                <a:solidFill>
                  <a:srgbClr val="2AB5A0"/>
                </a:solidFill>
                <a:latin typeface="Calibri"/>
                <a:ea typeface="Calibri"/>
                <a:cs typeface="Calibri"/>
              </a:rPr>
              <a:pPr/>
              <a:t>€26,307</a:t>
            </a:fld>
            <a:endParaRPr lang="en-GB" sz="1600">
              <a:solidFill>
                <a:srgbClr val="2AB5A0"/>
              </a:solidFill>
            </a:endParaRPr>
          </a:p>
        </xdr:txBody>
      </xdr:sp>
      <xdr:sp macro="" textlink="Dashboards!J5">
        <xdr:nvSpPr>
          <xdr:cNvPr id="29" name="TextBox 28">
            <a:extLst>
              <a:ext uri="{FF2B5EF4-FFF2-40B4-BE49-F238E27FC236}">
                <a16:creationId xmlns:a16="http://schemas.microsoft.com/office/drawing/2014/main" id="{C5DFF889-1543-4075-847C-CBB00A36BA2E}"/>
              </a:ext>
            </a:extLst>
          </xdr:cNvPr>
          <xdr:cNvSpPr txBox="1"/>
        </xdr:nvSpPr>
        <xdr:spPr>
          <a:xfrm>
            <a:off x="17181918" y="4789536"/>
            <a:ext cx="971612" cy="544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3619E41-8483-49EB-ABFF-E46DAE01A9A6}" type="TxLink">
              <a:rPr lang="en-US" sz="1600" b="1" i="0" u="none" strike="noStrike">
                <a:solidFill>
                  <a:srgbClr val="2AB5A0"/>
                </a:solidFill>
                <a:latin typeface="Calibri"/>
                <a:ea typeface="Calibri"/>
                <a:cs typeface="Calibri"/>
              </a:rPr>
              <a:pPr/>
              <a:t>€1,849</a:t>
            </a:fld>
            <a:endParaRPr lang="en-GB" sz="1600">
              <a:solidFill>
                <a:srgbClr val="2AB5A0"/>
              </a:solidFill>
            </a:endParaRPr>
          </a:p>
        </xdr:txBody>
      </xdr:sp>
      <xdr:sp macro="" textlink="Dashboards!C12">
        <xdr:nvSpPr>
          <xdr:cNvPr id="30" name="TextBox 29">
            <a:extLst>
              <a:ext uri="{FF2B5EF4-FFF2-40B4-BE49-F238E27FC236}">
                <a16:creationId xmlns:a16="http://schemas.microsoft.com/office/drawing/2014/main" id="{C2310095-15C3-4166-8ED1-8B234CF134FB}"/>
              </a:ext>
            </a:extLst>
          </xdr:cNvPr>
          <xdr:cNvSpPr txBox="1"/>
        </xdr:nvSpPr>
        <xdr:spPr>
          <a:xfrm>
            <a:off x="17424438" y="5304022"/>
            <a:ext cx="682588" cy="544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9D746A8-5EC6-470A-A8B7-86CBB4E7441D}" type="TxLink">
              <a:rPr lang="en-US" sz="1600" b="1" i="0" u="none" strike="noStrike">
                <a:solidFill>
                  <a:srgbClr val="2AB5A0"/>
                </a:solidFill>
                <a:latin typeface="Calibri"/>
                <a:ea typeface="Calibri"/>
                <a:cs typeface="Calibri"/>
              </a:rPr>
              <a:pPr/>
              <a:t>218</a:t>
            </a:fld>
            <a:endParaRPr lang="en-GB" sz="1600" b="1">
              <a:solidFill>
                <a:srgbClr val="2AB5A0"/>
              </a:solidFill>
            </a:endParaRPr>
          </a:p>
        </xdr:txBody>
      </xdr:sp>
      <xdr:sp macro="" textlink="">
        <xdr:nvSpPr>
          <xdr:cNvPr id="33" name="TextBox 32">
            <a:extLst>
              <a:ext uri="{FF2B5EF4-FFF2-40B4-BE49-F238E27FC236}">
                <a16:creationId xmlns:a16="http://schemas.microsoft.com/office/drawing/2014/main" id="{87454808-C6C7-43DA-BA4A-CB4F5817E0BD}"/>
              </a:ext>
            </a:extLst>
          </xdr:cNvPr>
          <xdr:cNvSpPr txBox="1"/>
        </xdr:nvSpPr>
        <xdr:spPr>
          <a:xfrm>
            <a:off x="15177729" y="2828205"/>
            <a:ext cx="2002570" cy="311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0" i="1">
                <a:solidFill>
                  <a:schemeClr val="bg1">
                    <a:lumMod val="85000"/>
                  </a:schemeClr>
                </a:solidFill>
              </a:rPr>
              <a:t>(across</a:t>
            </a:r>
            <a:r>
              <a:rPr lang="en-GB" sz="1000" b="0" i="1" baseline="0">
                <a:solidFill>
                  <a:schemeClr val="bg1">
                    <a:lumMod val="85000"/>
                  </a:schemeClr>
                </a:solidFill>
              </a:rPr>
              <a:t> all providers)</a:t>
            </a:r>
            <a:endParaRPr lang="en-GB" sz="1000" b="0" i="1">
              <a:solidFill>
                <a:schemeClr val="bg1">
                  <a:lumMod val="85000"/>
                </a:schemeClr>
              </a:solidFill>
            </a:endParaRPr>
          </a:p>
        </xdr:txBody>
      </xdr:sp>
      <xdr:sp macro="" textlink="">
        <xdr:nvSpPr>
          <xdr:cNvPr id="34" name="TextBox 33">
            <a:extLst>
              <a:ext uri="{FF2B5EF4-FFF2-40B4-BE49-F238E27FC236}">
                <a16:creationId xmlns:a16="http://schemas.microsoft.com/office/drawing/2014/main" id="{75AF4F9A-7AD3-4450-A2A4-BA089214BB4B}"/>
              </a:ext>
            </a:extLst>
          </xdr:cNvPr>
          <xdr:cNvSpPr txBox="1"/>
        </xdr:nvSpPr>
        <xdr:spPr>
          <a:xfrm>
            <a:off x="15177730" y="3373371"/>
            <a:ext cx="2002570" cy="311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0" i="1">
                <a:solidFill>
                  <a:schemeClr val="bg1">
                    <a:lumMod val="85000"/>
                  </a:schemeClr>
                </a:solidFill>
              </a:rPr>
              <a:t>(554 of 1,000 successful</a:t>
            </a:r>
            <a:r>
              <a:rPr lang="en-GB" sz="1000" b="0" i="1" baseline="0">
                <a:solidFill>
                  <a:schemeClr val="bg1">
                    <a:lumMod val="85000"/>
                  </a:schemeClr>
                </a:solidFill>
              </a:rPr>
              <a:t>)</a:t>
            </a:r>
            <a:endParaRPr lang="en-GB" sz="1000" b="0" i="1">
              <a:solidFill>
                <a:schemeClr val="bg1">
                  <a:lumMod val="85000"/>
                </a:schemeClr>
              </a:solidFill>
            </a:endParaRPr>
          </a:p>
        </xdr:txBody>
      </xdr:sp>
      <xdr:sp macro="" textlink="">
        <xdr:nvSpPr>
          <xdr:cNvPr id="35" name="TextBox 34">
            <a:extLst>
              <a:ext uri="{FF2B5EF4-FFF2-40B4-BE49-F238E27FC236}">
                <a16:creationId xmlns:a16="http://schemas.microsoft.com/office/drawing/2014/main" id="{01C68B70-BEE5-45F9-B130-6474D2E7D950}"/>
              </a:ext>
            </a:extLst>
          </xdr:cNvPr>
          <xdr:cNvSpPr txBox="1"/>
        </xdr:nvSpPr>
        <xdr:spPr>
          <a:xfrm>
            <a:off x="15173635" y="3976808"/>
            <a:ext cx="2002570" cy="3113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0" i="1">
                <a:solidFill>
                  <a:schemeClr val="bg1">
                    <a:lumMod val="85000"/>
                  </a:schemeClr>
                </a:solidFill>
              </a:rPr>
              <a:t>(after fees deducted</a:t>
            </a:r>
            <a:r>
              <a:rPr lang="en-GB" sz="1000" b="0" i="1" baseline="0">
                <a:solidFill>
                  <a:schemeClr val="bg1">
                    <a:lumMod val="85000"/>
                  </a:schemeClr>
                </a:solidFill>
              </a:rPr>
              <a:t>)</a:t>
            </a:r>
            <a:endParaRPr lang="en-GB" sz="1000" b="0" i="1">
              <a:solidFill>
                <a:schemeClr val="bg1">
                  <a:lumMod val="85000"/>
                </a:schemeClr>
              </a:solidFill>
            </a:endParaRPr>
          </a:p>
        </xdr:txBody>
      </xdr:sp>
      <xdr:sp macro="" textlink="">
        <xdr:nvSpPr>
          <xdr:cNvPr id="36" name="TextBox 35">
            <a:extLst>
              <a:ext uri="{FF2B5EF4-FFF2-40B4-BE49-F238E27FC236}">
                <a16:creationId xmlns:a16="http://schemas.microsoft.com/office/drawing/2014/main" id="{9738F319-70F9-404E-A2AB-FFCBB47E46BC}"/>
              </a:ext>
            </a:extLst>
          </xdr:cNvPr>
          <xdr:cNvSpPr txBox="1"/>
        </xdr:nvSpPr>
        <xdr:spPr>
          <a:xfrm>
            <a:off x="15184323" y="4524172"/>
            <a:ext cx="2002570" cy="305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0" i="1">
                <a:solidFill>
                  <a:schemeClr val="bg1">
                    <a:lumMod val="85000"/>
                  </a:schemeClr>
                </a:solidFill>
              </a:rPr>
              <a:t>(across</a:t>
            </a:r>
            <a:r>
              <a:rPr lang="en-GB" sz="1000" b="0" i="1" baseline="0">
                <a:solidFill>
                  <a:schemeClr val="bg1">
                    <a:lumMod val="85000"/>
                  </a:schemeClr>
                </a:solidFill>
              </a:rPr>
              <a:t> providers)</a:t>
            </a:r>
            <a:endParaRPr lang="en-GB" sz="1000" b="0" i="1">
              <a:solidFill>
                <a:schemeClr val="bg1">
                  <a:lumMod val="85000"/>
                </a:schemeClr>
              </a:solidFill>
            </a:endParaRPr>
          </a:p>
        </xdr:txBody>
      </xdr:sp>
      <xdr:sp macro="" textlink="">
        <xdr:nvSpPr>
          <xdr:cNvPr id="37" name="TextBox 36">
            <a:extLst>
              <a:ext uri="{FF2B5EF4-FFF2-40B4-BE49-F238E27FC236}">
                <a16:creationId xmlns:a16="http://schemas.microsoft.com/office/drawing/2014/main" id="{CCE349E0-8745-41F4-818D-507D97406A14}"/>
              </a:ext>
            </a:extLst>
          </xdr:cNvPr>
          <xdr:cNvSpPr txBox="1"/>
        </xdr:nvSpPr>
        <xdr:spPr>
          <a:xfrm>
            <a:off x="15170427" y="5056481"/>
            <a:ext cx="2002570" cy="302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000" b="0" i="1">
                <a:solidFill>
                  <a:schemeClr val="bg1">
                    <a:lumMod val="85000"/>
                  </a:schemeClr>
                </a:solidFill>
              </a:rPr>
              <a:t>(per successful</a:t>
            </a:r>
            <a:r>
              <a:rPr lang="en-GB" sz="1000" b="0" i="1" baseline="0">
                <a:solidFill>
                  <a:schemeClr val="bg1">
                    <a:lumMod val="85000"/>
                  </a:schemeClr>
                </a:solidFill>
              </a:rPr>
              <a:t> transaction)</a:t>
            </a:r>
            <a:endParaRPr lang="en-GB" sz="1000" b="0" i="1">
              <a:solidFill>
                <a:schemeClr val="bg1">
                  <a:lumMod val="85000"/>
                </a:schemeClr>
              </a:solidFill>
            </a:endParaRPr>
          </a:p>
        </xdr:txBody>
      </xdr:sp>
      <xdr:cxnSp macro="">
        <xdr:nvCxnSpPr>
          <xdr:cNvPr id="39" name="Straight Connector 38">
            <a:extLst>
              <a:ext uri="{FF2B5EF4-FFF2-40B4-BE49-F238E27FC236}">
                <a16:creationId xmlns:a16="http://schemas.microsoft.com/office/drawing/2014/main" id="{8840483A-C71E-BDAE-ADE9-451240EAB433}"/>
              </a:ext>
            </a:extLst>
          </xdr:cNvPr>
          <xdr:cNvCxnSpPr/>
        </xdr:nvCxnSpPr>
        <xdr:spPr>
          <a:xfrm>
            <a:off x="15130958" y="2519599"/>
            <a:ext cx="1764000" cy="0"/>
          </a:xfrm>
          <a:prstGeom prst="line">
            <a:avLst/>
          </a:prstGeom>
          <a:ln w="12700"/>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536604</xdr:colOff>
      <xdr:row>20</xdr:row>
      <xdr:rowOff>251651</xdr:rowOff>
    </xdr:from>
    <xdr:to>
      <xdr:col>5</xdr:col>
      <xdr:colOff>554212</xdr:colOff>
      <xdr:row>55</xdr:row>
      <xdr:rowOff>33617</xdr:rowOff>
    </xdr:to>
    <xdr:sp macro="" textlink="">
      <xdr:nvSpPr>
        <xdr:cNvPr id="40" name="Rectangle: Rounded Corners 39">
          <a:extLst>
            <a:ext uri="{FF2B5EF4-FFF2-40B4-BE49-F238E27FC236}">
              <a16:creationId xmlns:a16="http://schemas.microsoft.com/office/drawing/2014/main" id="{2817D7E6-D9CF-4E66-A385-D126EAA2911E}"/>
            </a:ext>
          </a:extLst>
        </xdr:cNvPr>
        <xdr:cNvSpPr/>
      </xdr:nvSpPr>
      <xdr:spPr>
        <a:xfrm>
          <a:off x="1746839" y="5899416"/>
          <a:ext cx="2875108" cy="9004407"/>
        </a:xfrm>
        <a:prstGeom prst="roundRect">
          <a:avLst/>
        </a:prstGeom>
        <a:gradFill>
          <a:gsLst>
            <a:gs pos="0">
              <a:srgbClr val="1E3A5F"/>
            </a:gs>
            <a:gs pos="56000">
              <a:srgbClr val="006E8A"/>
            </a:gs>
            <a:gs pos="100000">
              <a:srgbClr val="006E8A">
                <a:alpha val="75000"/>
              </a:srgbClr>
            </a:gs>
          </a:gsLst>
          <a:lin ang="0" scaled="1"/>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201385</xdr:colOff>
      <xdr:row>8</xdr:row>
      <xdr:rowOff>161925</xdr:rowOff>
    </xdr:from>
    <xdr:to>
      <xdr:col>20</xdr:col>
      <xdr:colOff>323849</xdr:colOff>
      <xdr:row>21</xdr:row>
      <xdr:rowOff>168729</xdr:rowOff>
    </xdr:to>
    <xdr:graphicFrame macro="">
      <xdr:nvGraphicFramePr>
        <xdr:cNvPr id="42" name="Chart 41">
          <a:extLst>
            <a:ext uri="{FF2B5EF4-FFF2-40B4-BE49-F238E27FC236}">
              <a16:creationId xmlns:a16="http://schemas.microsoft.com/office/drawing/2014/main" id="{1348556C-2E45-435C-B68A-A9254BD18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672352</xdr:colOff>
      <xdr:row>6</xdr:row>
      <xdr:rowOff>587029</xdr:rowOff>
    </xdr:from>
    <xdr:to>
      <xdr:col>15</xdr:col>
      <xdr:colOff>750794</xdr:colOff>
      <xdr:row>7</xdr:row>
      <xdr:rowOff>266409</xdr:rowOff>
    </xdr:to>
    <xdr:sp macro="" textlink="">
      <xdr:nvSpPr>
        <xdr:cNvPr id="43" name="TextBox 42">
          <a:extLst>
            <a:ext uri="{FF2B5EF4-FFF2-40B4-BE49-F238E27FC236}">
              <a16:creationId xmlns:a16="http://schemas.microsoft.com/office/drawing/2014/main" id="{5281AEEF-88A4-42DE-9FF2-A24966920560}"/>
            </a:ext>
          </a:extLst>
        </xdr:cNvPr>
        <xdr:cNvSpPr txBox="1"/>
      </xdr:nvSpPr>
      <xdr:spPr>
        <a:xfrm>
          <a:off x="13245352" y="1730029"/>
          <a:ext cx="2801471" cy="306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bg1">
                  <a:lumMod val="85000"/>
                </a:schemeClr>
              </a:solidFill>
            </a:rPr>
            <a:t>REVENUE</a:t>
          </a:r>
          <a:r>
            <a:rPr lang="en-GB" sz="1600" b="1" baseline="0">
              <a:solidFill>
                <a:schemeClr val="bg1">
                  <a:lumMod val="85000"/>
                </a:schemeClr>
              </a:solidFill>
            </a:rPr>
            <a:t> TREND </a:t>
          </a:r>
          <a:endParaRPr lang="en-GB" sz="1600" b="1">
            <a:solidFill>
              <a:schemeClr val="bg1">
                <a:lumMod val="85000"/>
              </a:schemeClr>
            </a:solidFill>
          </a:endParaRPr>
        </a:p>
      </xdr:txBody>
    </xdr:sp>
    <xdr:clientData/>
  </xdr:twoCellAnchor>
  <xdr:twoCellAnchor>
    <xdr:from>
      <xdr:col>9</xdr:col>
      <xdr:colOff>619340</xdr:colOff>
      <xdr:row>24</xdr:row>
      <xdr:rowOff>2166</xdr:rowOff>
    </xdr:from>
    <xdr:to>
      <xdr:col>12</xdr:col>
      <xdr:colOff>697783</xdr:colOff>
      <xdr:row>24</xdr:row>
      <xdr:rowOff>310369</xdr:rowOff>
    </xdr:to>
    <xdr:sp macro="" textlink="">
      <xdr:nvSpPr>
        <xdr:cNvPr id="64" name="TextBox 63">
          <a:extLst>
            <a:ext uri="{FF2B5EF4-FFF2-40B4-BE49-F238E27FC236}">
              <a16:creationId xmlns:a16="http://schemas.microsoft.com/office/drawing/2014/main" id="{28B2EA9A-DC7C-4C3B-AA57-576396BAB37F}"/>
            </a:ext>
          </a:extLst>
        </xdr:cNvPr>
        <xdr:cNvSpPr txBox="1"/>
      </xdr:nvSpPr>
      <xdr:spPr>
        <a:xfrm>
          <a:off x="10469311" y="6904990"/>
          <a:ext cx="2801472" cy="3082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bg1">
                  <a:lumMod val="85000"/>
                </a:schemeClr>
              </a:solidFill>
            </a:rPr>
            <a:t>TRANSACTION</a:t>
          </a:r>
          <a:r>
            <a:rPr lang="en-GB" sz="1600" b="1" baseline="0">
              <a:solidFill>
                <a:schemeClr val="bg1">
                  <a:lumMod val="85000"/>
                </a:schemeClr>
              </a:solidFill>
            </a:rPr>
            <a:t> STATUS</a:t>
          </a:r>
          <a:endParaRPr lang="en-GB" sz="1600" b="1">
            <a:solidFill>
              <a:schemeClr val="bg1">
                <a:lumMod val="85000"/>
              </a:schemeClr>
            </a:solidFill>
          </a:endParaRPr>
        </a:p>
      </xdr:txBody>
    </xdr:sp>
    <xdr:clientData/>
  </xdr:twoCellAnchor>
  <xdr:twoCellAnchor>
    <xdr:from>
      <xdr:col>12</xdr:col>
      <xdr:colOff>512644</xdr:colOff>
      <xdr:row>28</xdr:row>
      <xdr:rowOff>14858</xdr:rowOff>
    </xdr:from>
    <xdr:to>
      <xdr:col>14</xdr:col>
      <xdr:colOff>223696</xdr:colOff>
      <xdr:row>29</xdr:row>
      <xdr:rowOff>59047</xdr:rowOff>
    </xdr:to>
    <xdr:sp macro="" textlink="'Pivot Tables'!$M$12">
      <xdr:nvSpPr>
        <xdr:cNvPr id="56" name="TextBox 55">
          <a:extLst>
            <a:ext uri="{FF2B5EF4-FFF2-40B4-BE49-F238E27FC236}">
              <a16:creationId xmlns:a16="http://schemas.microsoft.com/office/drawing/2014/main" id="{BB2828BD-683C-B641-2CA4-3FFADD1F248C}"/>
            </a:ext>
          </a:extLst>
        </xdr:cNvPr>
        <xdr:cNvSpPr txBox="1"/>
      </xdr:nvSpPr>
      <xdr:spPr>
        <a:xfrm>
          <a:off x="24697485" y="7963903"/>
          <a:ext cx="1520802" cy="360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71E647-70F6-4FB5-8CC0-FD66A7F6B5C5}" type="TxLink">
            <a:rPr lang="en-US" sz="900" b="0" i="0" u="none" strike="noStrike">
              <a:solidFill>
                <a:srgbClr val="2AB5A0"/>
              </a:solidFill>
              <a:latin typeface="Calibri"/>
              <a:ea typeface="Calibri"/>
              <a:cs typeface="Calibri"/>
            </a:rPr>
            <a:pPr/>
            <a:t>███████</a:t>
          </a:fld>
          <a:endParaRPr lang="en-GB" sz="1100">
            <a:solidFill>
              <a:srgbClr val="2AB5A0"/>
            </a:solidFill>
          </a:endParaRPr>
        </a:p>
      </xdr:txBody>
    </xdr:sp>
    <xdr:clientData/>
  </xdr:twoCellAnchor>
  <xdr:twoCellAnchor>
    <xdr:from>
      <xdr:col>10</xdr:col>
      <xdr:colOff>419397</xdr:colOff>
      <xdr:row>27</xdr:row>
      <xdr:rowOff>284227</xdr:rowOff>
    </xdr:from>
    <xdr:to>
      <xdr:col>11</xdr:col>
      <xdr:colOff>658098</xdr:colOff>
      <xdr:row>29</xdr:row>
      <xdr:rowOff>12360</xdr:rowOff>
    </xdr:to>
    <xdr:sp macro="" textlink="'Pivot Tables'!$K$12">
      <xdr:nvSpPr>
        <xdr:cNvPr id="58" name="TextBox 57">
          <a:extLst>
            <a:ext uri="{FF2B5EF4-FFF2-40B4-BE49-F238E27FC236}">
              <a16:creationId xmlns:a16="http://schemas.microsoft.com/office/drawing/2014/main" id="{59D350A7-9B5E-9977-B9F3-1D2973912E47}"/>
            </a:ext>
          </a:extLst>
        </xdr:cNvPr>
        <xdr:cNvSpPr txBox="1"/>
      </xdr:nvSpPr>
      <xdr:spPr>
        <a:xfrm>
          <a:off x="22794488" y="7917216"/>
          <a:ext cx="1143576" cy="360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D05402-F409-4AF7-85C7-384BCEBCC664}" type="TxLink">
            <a:rPr lang="en-US" sz="1200" b="1" i="0" u="none" strike="noStrike">
              <a:solidFill>
                <a:srgbClr val="2AB5A0"/>
              </a:solidFill>
              <a:latin typeface="Calibri"/>
              <a:ea typeface="Calibri"/>
              <a:cs typeface="Calibri"/>
            </a:rPr>
            <a:pPr/>
            <a:t>228</a:t>
          </a:fld>
          <a:endParaRPr lang="en-GB" sz="1800" b="1">
            <a:solidFill>
              <a:srgbClr val="2AB5A0"/>
            </a:solidFill>
          </a:endParaRPr>
        </a:p>
      </xdr:txBody>
    </xdr:sp>
    <xdr:clientData/>
  </xdr:twoCellAnchor>
  <xdr:twoCellAnchor>
    <xdr:from>
      <xdr:col>8</xdr:col>
      <xdr:colOff>317828</xdr:colOff>
      <xdr:row>25</xdr:row>
      <xdr:rowOff>149133</xdr:rowOff>
    </xdr:from>
    <xdr:to>
      <xdr:col>10</xdr:col>
      <xdr:colOff>257586</xdr:colOff>
      <xdr:row>27</xdr:row>
      <xdr:rowOff>65751</xdr:rowOff>
    </xdr:to>
    <xdr:sp macro="" textlink="">
      <xdr:nvSpPr>
        <xdr:cNvPr id="65" name="TextBox 64">
          <a:extLst>
            <a:ext uri="{FF2B5EF4-FFF2-40B4-BE49-F238E27FC236}">
              <a16:creationId xmlns:a16="http://schemas.microsoft.com/office/drawing/2014/main" id="{FC88EADD-1D5B-400E-A41B-23768CC224A2}"/>
            </a:ext>
          </a:extLst>
        </xdr:cNvPr>
        <xdr:cNvSpPr txBox="1"/>
      </xdr:nvSpPr>
      <xdr:spPr>
        <a:xfrm>
          <a:off x="20883169" y="7388133"/>
          <a:ext cx="1749508" cy="310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1">
                  <a:lumMod val="85000"/>
                </a:schemeClr>
              </a:solidFill>
            </a:rPr>
            <a:t>Status</a:t>
          </a:r>
          <a:endParaRPr lang="en-GB" sz="1600" b="1">
            <a:solidFill>
              <a:schemeClr val="bg1">
                <a:lumMod val="85000"/>
              </a:schemeClr>
            </a:solidFill>
          </a:endParaRPr>
        </a:p>
      </xdr:txBody>
    </xdr:sp>
    <xdr:clientData/>
  </xdr:twoCellAnchor>
  <xdr:twoCellAnchor>
    <xdr:from>
      <xdr:col>9</xdr:col>
      <xdr:colOff>638214</xdr:colOff>
      <xdr:row>25</xdr:row>
      <xdr:rowOff>162349</xdr:rowOff>
    </xdr:from>
    <xdr:to>
      <xdr:col>11</xdr:col>
      <xdr:colOff>573399</xdr:colOff>
      <xdr:row>27</xdr:row>
      <xdr:rowOff>78967</xdr:rowOff>
    </xdr:to>
    <xdr:sp macro="" textlink="">
      <xdr:nvSpPr>
        <xdr:cNvPr id="66" name="TextBox 65">
          <a:extLst>
            <a:ext uri="{FF2B5EF4-FFF2-40B4-BE49-F238E27FC236}">
              <a16:creationId xmlns:a16="http://schemas.microsoft.com/office/drawing/2014/main" id="{FDDA64FD-F722-49AB-8953-B9DC506BE131}"/>
            </a:ext>
          </a:extLst>
        </xdr:cNvPr>
        <xdr:cNvSpPr txBox="1"/>
      </xdr:nvSpPr>
      <xdr:spPr>
        <a:xfrm>
          <a:off x="22108430" y="7401349"/>
          <a:ext cx="1744935" cy="310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1">
                  <a:lumMod val="85000"/>
                </a:schemeClr>
              </a:solidFill>
            </a:rPr>
            <a:t>Count</a:t>
          </a:r>
          <a:endParaRPr lang="en-GB" sz="1600" b="1">
            <a:solidFill>
              <a:schemeClr val="bg1">
                <a:lumMod val="85000"/>
              </a:schemeClr>
            </a:solidFill>
          </a:endParaRPr>
        </a:p>
      </xdr:txBody>
    </xdr:sp>
    <xdr:clientData/>
  </xdr:twoCellAnchor>
  <xdr:twoCellAnchor>
    <xdr:from>
      <xdr:col>10</xdr:col>
      <xdr:colOff>820012</xdr:colOff>
      <xdr:row>25</xdr:row>
      <xdr:rowOff>168222</xdr:rowOff>
    </xdr:from>
    <xdr:to>
      <xdr:col>12</xdr:col>
      <xdr:colOff>755197</xdr:colOff>
      <xdr:row>27</xdr:row>
      <xdr:rowOff>84840</xdr:rowOff>
    </xdr:to>
    <xdr:sp macro="" textlink="">
      <xdr:nvSpPr>
        <xdr:cNvPr id="67" name="TextBox 66">
          <a:extLst>
            <a:ext uri="{FF2B5EF4-FFF2-40B4-BE49-F238E27FC236}">
              <a16:creationId xmlns:a16="http://schemas.microsoft.com/office/drawing/2014/main" id="{F7524140-7135-484D-AED0-E1D17D69618B}"/>
            </a:ext>
          </a:extLst>
        </xdr:cNvPr>
        <xdr:cNvSpPr txBox="1"/>
      </xdr:nvSpPr>
      <xdr:spPr>
        <a:xfrm>
          <a:off x="23195103" y="7407222"/>
          <a:ext cx="1744935" cy="310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200" b="1">
              <a:solidFill>
                <a:schemeClr val="bg1">
                  <a:lumMod val="85000"/>
                </a:schemeClr>
              </a:solidFill>
            </a:rPr>
            <a:t>% of </a:t>
          </a:r>
          <a:r>
            <a:rPr lang="en-GB" sz="1400" b="1">
              <a:solidFill>
                <a:schemeClr val="bg1">
                  <a:lumMod val="85000"/>
                </a:schemeClr>
              </a:solidFill>
            </a:rPr>
            <a:t>Total</a:t>
          </a:r>
          <a:endParaRPr lang="en-GB" sz="1600" b="1">
            <a:solidFill>
              <a:schemeClr val="bg1">
                <a:lumMod val="85000"/>
              </a:schemeClr>
            </a:solidFill>
          </a:endParaRPr>
        </a:p>
      </xdr:txBody>
    </xdr:sp>
    <xdr:clientData/>
  </xdr:twoCellAnchor>
  <xdr:twoCellAnchor>
    <xdr:from>
      <xdr:col>12</xdr:col>
      <xdr:colOff>37014</xdr:colOff>
      <xdr:row>25</xdr:row>
      <xdr:rowOff>159412</xdr:rowOff>
    </xdr:from>
    <xdr:to>
      <xdr:col>13</xdr:col>
      <xdr:colOff>877074</xdr:colOff>
      <xdr:row>27</xdr:row>
      <xdr:rowOff>76030</xdr:rowOff>
    </xdr:to>
    <xdr:sp macro="" textlink="">
      <xdr:nvSpPr>
        <xdr:cNvPr id="68" name="TextBox 67">
          <a:extLst>
            <a:ext uri="{FF2B5EF4-FFF2-40B4-BE49-F238E27FC236}">
              <a16:creationId xmlns:a16="http://schemas.microsoft.com/office/drawing/2014/main" id="{3D25B61D-1FDB-4010-9403-511032C8CC1E}"/>
            </a:ext>
          </a:extLst>
        </xdr:cNvPr>
        <xdr:cNvSpPr txBox="1"/>
      </xdr:nvSpPr>
      <xdr:spPr>
        <a:xfrm>
          <a:off x="24221855" y="7398412"/>
          <a:ext cx="1744935" cy="3106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1">
                  <a:lumMod val="85000"/>
                </a:schemeClr>
              </a:solidFill>
            </a:rPr>
            <a:t>Bar</a:t>
          </a:r>
          <a:endParaRPr lang="en-GB" sz="1600" b="1">
            <a:solidFill>
              <a:schemeClr val="bg1">
                <a:lumMod val="85000"/>
              </a:schemeClr>
            </a:solidFill>
          </a:endParaRPr>
        </a:p>
      </xdr:txBody>
    </xdr:sp>
    <xdr:clientData/>
  </xdr:twoCellAnchor>
  <xdr:twoCellAnchor>
    <xdr:from>
      <xdr:col>12</xdr:col>
      <xdr:colOff>508316</xdr:colOff>
      <xdr:row>27</xdr:row>
      <xdr:rowOff>50673</xdr:rowOff>
    </xdr:from>
    <xdr:to>
      <xdr:col>14</xdr:col>
      <xdr:colOff>219368</xdr:colOff>
      <xdr:row>28</xdr:row>
      <xdr:rowOff>95322</xdr:rowOff>
    </xdr:to>
    <xdr:sp macro="" textlink="'Pivot Tables'!$M$11">
      <xdr:nvSpPr>
        <xdr:cNvPr id="52" name="TextBox 51">
          <a:extLst>
            <a:ext uri="{FF2B5EF4-FFF2-40B4-BE49-F238E27FC236}">
              <a16:creationId xmlns:a16="http://schemas.microsoft.com/office/drawing/2014/main" id="{5DFE35B4-16C0-1184-97A7-DE9A6BA09317}"/>
            </a:ext>
          </a:extLst>
        </xdr:cNvPr>
        <xdr:cNvSpPr txBox="1"/>
      </xdr:nvSpPr>
      <xdr:spPr>
        <a:xfrm>
          <a:off x="24693157" y="7683662"/>
          <a:ext cx="1520802" cy="360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538D84-10C3-452A-8D2A-A69C306880E5}" type="TxLink">
            <a:rPr lang="en-US" sz="900" b="0" i="0" u="none" strike="noStrike">
              <a:solidFill>
                <a:srgbClr val="4ECDC4"/>
              </a:solidFill>
              <a:latin typeface="Calibri"/>
              <a:ea typeface="Calibri"/>
              <a:cs typeface="Calibri"/>
            </a:rPr>
            <a:pPr/>
            <a:t>█████████████████</a:t>
          </a:fld>
          <a:endParaRPr lang="en-GB" sz="1050">
            <a:solidFill>
              <a:srgbClr val="4ECDC4"/>
            </a:solidFill>
          </a:endParaRPr>
        </a:p>
      </xdr:txBody>
    </xdr:sp>
    <xdr:clientData/>
  </xdr:twoCellAnchor>
  <xdr:twoCellAnchor>
    <xdr:from>
      <xdr:col>11</xdr:col>
      <xdr:colOff>510521</xdr:colOff>
      <xdr:row>27</xdr:row>
      <xdr:rowOff>50055</xdr:rowOff>
    </xdr:from>
    <xdr:to>
      <xdr:col>12</xdr:col>
      <xdr:colOff>776592</xdr:colOff>
      <xdr:row>28</xdr:row>
      <xdr:rowOff>93786</xdr:rowOff>
    </xdr:to>
    <xdr:sp macro="" textlink="'Pivot Tables'!$L$11">
      <xdr:nvSpPr>
        <xdr:cNvPr id="53" name="TextBox 52">
          <a:extLst>
            <a:ext uri="{FF2B5EF4-FFF2-40B4-BE49-F238E27FC236}">
              <a16:creationId xmlns:a16="http://schemas.microsoft.com/office/drawing/2014/main" id="{AEF8C0E9-EB2F-EF65-5847-60DB47894D91}"/>
            </a:ext>
          </a:extLst>
        </xdr:cNvPr>
        <xdr:cNvSpPr txBox="1"/>
      </xdr:nvSpPr>
      <xdr:spPr>
        <a:xfrm>
          <a:off x="23790487" y="7683044"/>
          <a:ext cx="1170946" cy="359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53265B9-D074-41E3-87CC-0696025A89BC}" type="TxLink">
            <a:rPr lang="en-US" sz="1200" b="1" i="0" u="none" strike="noStrike">
              <a:solidFill>
                <a:srgbClr val="4ECDC4"/>
              </a:solidFill>
              <a:latin typeface="Calibri"/>
              <a:ea typeface="Calibri"/>
              <a:cs typeface="Calibri"/>
            </a:rPr>
            <a:pPr/>
            <a:t>55.4%</a:t>
          </a:fld>
          <a:endParaRPr lang="en-GB" sz="1800" b="1">
            <a:solidFill>
              <a:srgbClr val="4ECDC4"/>
            </a:solidFill>
          </a:endParaRPr>
        </a:p>
      </xdr:txBody>
    </xdr:sp>
    <xdr:clientData/>
  </xdr:twoCellAnchor>
  <xdr:twoCellAnchor>
    <xdr:from>
      <xdr:col>10</xdr:col>
      <xdr:colOff>428056</xdr:colOff>
      <xdr:row>27</xdr:row>
      <xdr:rowOff>11569</xdr:rowOff>
    </xdr:from>
    <xdr:to>
      <xdr:col>11</xdr:col>
      <xdr:colOff>666757</xdr:colOff>
      <xdr:row>28</xdr:row>
      <xdr:rowOff>55759</xdr:rowOff>
    </xdr:to>
    <xdr:sp macro="" textlink="'Pivot Tables'!$K$11">
      <xdr:nvSpPr>
        <xdr:cNvPr id="54" name="TextBox 53">
          <a:extLst>
            <a:ext uri="{FF2B5EF4-FFF2-40B4-BE49-F238E27FC236}">
              <a16:creationId xmlns:a16="http://schemas.microsoft.com/office/drawing/2014/main" id="{4AE1BBEC-97FB-CC26-BFDC-F3C797C344DC}"/>
            </a:ext>
          </a:extLst>
        </xdr:cNvPr>
        <xdr:cNvSpPr txBox="1"/>
      </xdr:nvSpPr>
      <xdr:spPr>
        <a:xfrm>
          <a:off x="22803147" y="7644558"/>
          <a:ext cx="1143576" cy="360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CC66B0-DE9A-4539-91E5-C33413FDF632}" type="TxLink">
            <a:rPr lang="en-US" sz="1200" b="1" i="0" u="none" strike="noStrike">
              <a:solidFill>
                <a:srgbClr val="4ECDC4"/>
              </a:solidFill>
              <a:latin typeface="Calibri"/>
              <a:ea typeface="Calibri"/>
              <a:cs typeface="Calibri"/>
            </a:rPr>
            <a:pPr/>
            <a:t>554</a:t>
          </a:fld>
          <a:endParaRPr lang="en-GB" sz="1800" b="1">
            <a:solidFill>
              <a:srgbClr val="4ECDC4"/>
            </a:solidFill>
          </a:endParaRPr>
        </a:p>
      </xdr:txBody>
    </xdr:sp>
    <xdr:clientData/>
  </xdr:twoCellAnchor>
  <xdr:twoCellAnchor>
    <xdr:from>
      <xdr:col>8</xdr:col>
      <xdr:colOff>822280</xdr:colOff>
      <xdr:row>26</xdr:row>
      <xdr:rowOff>77610</xdr:rowOff>
    </xdr:from>
    <xdr:to>
      <xdr:col>10</xdr:col>
      <xdr:colOff>153726</xdr:colOff>
      <xdr:row>28</xdr:row>
      <xdr:rowOff>43868</xdr:rowOff>
    </xdr:to>
    <xdr:sp macro="" textlink="'Pivot Tables'!$J$11">
      <xdr:nvSpPr>
        <xdr:cNvPr id="55" name="TextBox 54">
          <a:extLst>
            <a:ext uri="{FF2B5EF4-FFF2-40B4-BE49-F238E27FC236}">
              <a16:creationId xmlns:a16="http://schemas.microsoft.com/office/drawing/2014/main" id="{5C9DAB5F-3E3C-0A69-5842-969C814E3DC0}"/>
            </a:ext>
          </a:extLst>
        </xdr:cNvPr>
        <xdr:cNvSpPr txBox="1"/>
      </xdr:nvSpPr>
      <xdr:spPr>
        <a:xfrm>
          <a:off x="21387621" y="7632667"/>
          <a:ext cx="1141196" cy="360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05F7011-6F39-4445-B5B8-0A60CC38DCCE}" type="TxLink">
            <a:rPr lang="en-US" sz="1200" b="1" i="0" u="none" strike="noStrike">
              <a:solidFill>
                <a:srgbClr val="4ECDC4"/>
              </a:solidFill>
              <a:latin typeface="Calibri"/>
              <a:ea typeface="Calibri"/>
              <a:cs typeface="Calibri"/>
            </a:rPr>
            <a:pPr/>
            <a:t>✓  Success</a:t>
          </a:fld>
          <a:endParaRPr lang="en-GB" sz="1800" b="1">
            <a:solidFill>
              <a:srgbClr val="4ECDC4"/>
            </a:solidFill>
          </a:endParaRPr>
        </a:p>
      </xdr:txBody>
    </xdr:sp>
    <xdr:clientData/>
  </xdr:twoCellAnchor>
  <xdr:twoCellAnchor>
    <xdr:from>
      <xdr:col>11</xdr:col>
      <xdr:colOff>518420</xdr:colOff>
      <xdr:row>27</xdr:row>
      <xdr:rowOff>300608</xdr:rowOff>
    </xdr:from>
    <xdr:to>
      <xdr:col>12</xdr:col>
      <xdr:colOff>755932</xdr:colOff>
      <xdr:row>29</xdr:row>
      <xdr:rowOff>28741</xdr:rowOff>
    </xdr:to>
    <xdr:sp macro="" textlink="'Pivot Tables'!$L$12">
      <xdr:nvSpPr>
        <xdr:cNvPr id="57" name="TextBox 56">
          <a:extLst>
            <a:ext uri="{FF2B5EF4-FFF2-40B4-BE49-F238E27FC236}">
              <a16:creationId xmlns:a16="http://schemas.microsoft.com/office/drawing/2014/main" id="{69D6C966-AD44-2D3E-79D3-627468E66A45}"/>
            </a:ext>
          </a:extLst>
        </xdr:cNvPr>
        <xdr:cNvSpPr txBox="1"/>
      </xdr:nvSpPr>
      <xdr:spPr>
        <a:xfrm>
          <a:off x="23798386" y="7933597"/>
          <a:ext cx="1142387" cy="360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32DEE1-228B-4521-AFEC-F66FDF2EDB6D}" type="TxLink">
            <a:rPr lang="en-US" sz="1200" b="1" i="0" u="none" strike="noStrike">
              <a:solidFill>
                <a:srgbClr val="2AB5A0"/>
              </a:solidFill>
              <a:latin typeface="Calibri"/>
              <a:ea typeface="Calibri"/>
              <a:cs typeface="Calibri"/>
            </a:rPr>
            <a:pPr/>
            <a:t>22.8%</a:t>
          </a:fld>
          <a:endParaRPr lang="en-GB" sz="1800" b="1">
            <a:solidFill>
              <a:srgbClr val="2AB5A0"/>
            </a:solidFill>
          </a:endParaRPr>
        </a:p>
      </xdr:txBody>
    </xdr:sp>
    <xdr:clientData/>
  </xdr:twoCellAnchor>
  <xdr:twoCellAnchor>
    <xdr:from>
      <xdr:col>8</xdr:col>
      <xdr:colOff>791771</xdr:colOff>
      <xdr:row>27</xdr:row>
      <xdr:rowOff>273037</xdr:rowOff>
    </xdr:from>
    <xdr:to>
      <xdr:col>10</xdr:col>
      <xdr:colOff>120837</xdr:colOff>
      <xdr:row>29</xdr:row>
      <xdr:rowOff>2488</xdr:rowOff>
    </xdr:to>
    <xdr:sp macro="" textlink="'Pivot Tables'!$J$12">
      <xdr:nvSpPr>
        <xdr:cNvPr id="59" name="TextBox 58">
          <a:extLst>
            <a:ext uri="{FF2B5EF4-FFF2-40B4-BE49-F238E27FC236}">
              <a16:creationId xmlns:a16="http://schemas.microsoft.com/office/drawing/2014/main" id="{C003FC41-C4E4-EC2D-7520-5266C6ECFEEF}"/>
            </a:ext>
          </a:extLst>
        </xdr:cNvPr>
        <xdr:cNvSpPr txBox="1"/>
      </xdr:nvSpPr>
      <xdr:spPr>
        <a:xfrm>
          <a:off x="7931380" y="7901320"/>
          <a:ext cx="1134674" cy="358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7A978F-2769-494A-8811-998BD119D12C}" type="TxLink">
            <a:rPr lang="en-US" sz="1200" b="1" i="0" u="none" strike="noStrike">
              <a:solidFill>
                <a:srgbClr val="2AB5A0"/>
              </a:solidFill>
              <a:latin typeface="Calibri"/>
              <a:ea typeface="Calibri"/>
              <a:cs typeface="Calibri"/>
            </a:rPr>
            <a:pPr/>
            <a:t>⏳ Pending</a:t>
          </a:fld>
          <a:endParaRPr lang="en-GB" sz="1800" b="1">
            <a:solidFill>
              <a:srgbClr val="2AB5A0"/>
            </a:solidFill>
          </a:endParaRPr>
        </a:p>
      </xdr:txBody>
    </xdr:sp>
    <xdr:clientData/>
  </xdr:twoCellAnchor>
  <xdr:twoCellAnchor>
    <xdr:from>
      <xdr:col>12</xdr:col>
      <xdr:colOff>506365</xdr:colOff>
      <xdr:row>28</xdr:row>
      <xdr:rowOff>299209</xdr:rowOff>
    </xdr:from>
    <xdr:to>
      <xdr:col>14</xdr:col>
      <xdr:colOff>217417</xdr:colOff>
      <xdr:row>30</xdr:row>
      <xdr:rowOff>26882</xdr:rowOff>
    </xdr:to>
    <xdr:sp macro="" textlink="'Pivot Tables'!$M$13">
      <xdr:nvSpPr>
        <xdr:cNvPr id="60" name="TextBox 59">
          <a:extLst>
            <a:ext uri="{FF2B5EF4-FFF2-40B4-BE49-F238E27FC236}">
              <a16:creationId xmlns:a16="http://schemas.microsoft.com/office/drawing/2014/main" id="{92F9B743-C5FE-1EE5-18E1-8B967AACF88D}"/>
            </a:ext>
          </a:extLst>
        </xdr:cNvPr>
        <xdr:cNvSpPr txBox="1"/>
      </xdr:nvSpPr>
      <xdr:spPr>
        <a:xfrm>
          <a:off x="24691206" y="8248254"/>
          <a:ext cx="1520802" cy="359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9084FA4-5FB2-42C0-B34A-E9394768ADBA}" type="TxLink">
            <a:rPr lang="en-US" sz="900" b="0" i="0" u="none" strike="noStrike">
              <a:solidFill>
                <a:srgbClr val="006E8A"/>
              </a:solidFill>
              <a:latin typeface="Calibri"/>
              <a:ea typeface="Calibri"/>
              <a:cs typeface="Calibri"/>
            </a:rPr>
            <a:pPr/>
            <a:t>███████</a:t>
          </a:fld>
          <a:endParaRPr lang="en-GB" sz="1400">
            <a:solidFill>
              <a:srgbClr val="006E8A"/>
            </a:solidFill>
          </a:endParaRPr>
        </a:p>
      </xdr:txBody>
    </xdr:sp>
    <xdr:clientData/>
  </xdr:twoCellAnchor>
  <xdr:twoCellAnchor>
    <xdr:from>
      <xdr:col>11</xdr:col>
      <xdr:colOff>527840</xdr:colOff>
      <xdr:row>28</xdr:row>
      <xdr:rowOff>277562</xdr:rowOff>
    </xdr:from>
    <xdr:to>
      <xdr:col>12</xdr:col>
      <xdr:colOff>765352</xdr:colOff>
      <xdr:row>30</xdr:row>
      <xdr:rowOff>5235</xdr:rowOff>
    </xdr:to>
    <xdr:sp macro="" textlink="'Pivot Tables'!$L$13">
      <xdr:nvSpPr>
        <xdr:cNvPr id="61" name="TextBox 60">
          <a:extLst>
            <a:ext uri="{FF2B5EF4-FFF2-40B4-BE49-F238E27FC236}">
              <a16:creationId xmlns:a16="http://schemas.microsoft.com/office/drawing/2014/main" id="{08E13168-68C0-080F-7786-809414C66A07}"/>
            </a:ext>
          </a:extLst>
        </xdr:cNvPr>
        <xdr:cNvSpPr txBox="1"/>
      </xdr:nvSpPr>
      <xdr:spPr>
        <a:xfrm>
          <a:off x="23807806" y="8226607"/>
          <a:ext cx="1142387" cy="359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94AF57A-EBBA-4655-B5A6-62321BE6439F}" type="TxLink">
            <a:rPr lang="en-US" sz="1200" b="1" i="0" u="none" strike="noStrike">
              <a:solidFill>
                <a:srgbClr val="006E8A"/>
              </a:solidFill>
              <a:latin typeface="Calibri"/>
              <a:ea typeface="Calibri"/>
              <a:cs typeface="Calibri"/>
            </a:rPr>
            <a:pPr/>
            <a:t>21.8%</a:t>
          </a:fld>
          <a:endParaRPr lang="en-GB" sz="1800" b="1">
            <a:solidFill>
              <a:srgbClr val="006E8A"/>
            </a:solidFill>
          </a:endParaRPr>
        </a:p>
      </xdr:txBody>
    </xdr:sp>
    <xdr:clientData/>
  </xdr:twoCellAnchor>
  <xdr:twoCellAnchor>
    <xdr:from>
      <xdr:col>10</xdr:col>
      <xdr:colOff>424484</xdr:colOff>
      <xdr:row>28</xdr:row>
      <xdr:rowOff>252063</xdr:rowOff>
    </xdr:from>
    <xdr:to>
      <xdr:col>11</xdr:col>
      <xdr:colOff>663185</xdr:colOff>
      <xdr:row>29</xdr:row>
      <xdr:rowOff>296252</xdr:rowOff>
    </xdr:to>
    <xdr:sp macro="" textlink="'Pivot Tables'!$K$13">
      <xdr:nvSpPr>
        <xdr:cNvPr id="62" name="TextBox 61">
          <a:extLst>
            <a:ext uri="{FF2B5EF4-FFF2-40B4-BE49-F238E27FC236}">
              <a16:creationId xmlns:a16="http://schemas.microsoft.com/office/drawing/2014/main" id="{336A5C11-4713-A9AD-11E5-21485F33CE6A}"/>
            </a:ext>
          </a:extLst>
        </xdr:cNvPr>
        <xdr:cNvSpPr txBox="1"/>
      </xdr:nvSpPr>
      <xdr:spPr>
        <a:xfrm>
          <a:off x="22799575" y="8201108"/>
          <a:ext cx="1143576" cy="360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C795A7-529E-44D7-8CBB-8CACF17CD1F6}" type="TxLink">
            <a:rPr lang="en-US" sz="1200" b="1" i="0" u="none" strike="noStrike">
              <a:solidFill>
                <a:srgbClr val="006E8A"/>
              </a:solidFill>
              <a:latin typeface="Calibri"/>
              <a:ea typeface="Calibri"/>
              <a:cs typeface="Calibri"/>
            </a:rPr>
            <a:pPr/>
            <a:t>218</a:t>
          </a:fld>
          <a:endParaRPr lang="en-GB" sz="1800" b="1">
            <a:solidFill>
              <a:srgbClr val="006E8A"/>
            </a:solidFill>
          </a:endParaRPr>
        </a:p>
      </xdr:txBody>
    </xdr:sp>
    <xdr:clientData/>
  </xdr:twoCellAnchor>
  <xdr:twoCellAnchor>
    <xdr:from>
      <xdr:col>8</xdr:col>
      <xdr:colOff>835250</xdr:colOff>
      <xdr:row>28</xdr:row>
      <xdr:rowOff>220180</xdr:rowOff>
    </xdr:from>
    <xdr:to>
      <xdr:col>10</xdr:col>
      <xdr:colOff>164316</xdr:colOff>
      <xdr:row>29</xdr:row>
      <xdr:rowOff>264369</xdr:rowOff>
    </xdr:to>
    <xdr:sp macro="" textlink="'Pivot Tables'!$J$13">
      <xdr:nvSpPr>
        <xdr:cNvPr id="63" name="TextBox 62">
          <a:extLst>
            <a:ext uri="{FF2B5EF4-FFF2-40B4-BE49-F238E27FC236}">
              <a16:creationId xmlns:a16="http://schemas.microsoft.com/office/drawing/2014/main" id="{3D1E2D77-F220-920B-A18A-EC6E96DD483B}"/>
            </a:ext>
          </a:extLst>
        </xdr:cNvPr>
        <xdr:cNvSpPr txBox="1"/>
      </xdr:nvSpPr>
      <xdr:spPr>
        <a:xfrm>
          <a:off x="21400591" y="8169225"/>
          <a:ext cx="1138816" cy="360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BBE917-60CB-4057-9620-98F91E4726C4}" type="TxLink">
            <a:rPr lang="en-US" sz="1200" b="1" i="0" u="none" strike="noStrike">
              <a:solidFill>
                <a:srgbClr val="006E8A"/>
              </a:solidFill>
              <a:latin typeface="Calibri"/>
              <a:ea typeface="Calibri"/>
              <a:cs typeface="Calibri"/>
            </a:rPr>
            <a:pPr/>
            <a:t>✗  Failed</a:t>
          </a:fld>
          <a:endParaRPr lang="en-GB" sz="1800" b="1">
            <a:solidFill>
              <a:srgbClr val="006E8A"/>
            </a:solidFill>
          </a:endParaRPr>
        </a:p>
      </xdr:txBody>
    </xdr:sp>
    <xdr:clientData/>
  </xdr:twoCellAnchor>
  <xdr:twoCellAnchor>
    <xdr:from>
      <xdr:col>10</xdr:col>
      <xdr:colOff>309466</xdr:colOff>
      <xdr:row>29</xdr:row>
      <xdr:rowOff>300301</xdr:rowOff>
    </xdr:from>
    <xdr:to>
      <xdr:col>12</xdr:col>
      <xdr:colOff>249108</xdr:colOff>
      <xdr:row>30</xdr:row>
      <xdr:rowOff>297921</xdr:rowOff>
    </xdr:to>
    <xdr:sp macro="" textlink="">
      <xdr:nvSpPr>
        <xdr:cNvPr id="70" name="TextBox 69">
          <a:extLst>
            <a:ext uri="{FF2B5EF4-FFF2-40B4-BE49-F238E27FC236}">
              <a16:creationId xmlns:a16="http://schemas.microsoft.com/office/drawing/2014/main" id="{AA5E04DF-8957-44A8-8424-3FB1E14C72FA}"/>
            </a:ext>
          </a:extLst>
        </xdr:cNvPr>
        <xdr:cNvSpPr txBox="1"/>
      </xdr:nvSpPr>
      <xdr:spPr>
        <a:xfrm>
          <a:off x="22663280" y="8573444"/>
          <a:ext cx="1746671" cy="3133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solidFill>
                <a:schemeClr val="bg1">
                  <a:lumMod val="85000"/>
                </a:schemeClr>
              </a:solidFill>
            </a:rPr>
            <a:t>Total Transactions</a:t>
          </a:r>
        </a:p>
      </xdr:txBody>
    </xdr:sp>
    <xdr:clientData/>
  </xdr:twoCellAnchor>
  <xdr:twoCellAnchor>
    <xdr:from>
      <xdr:col>10</xdr:col>
      <xdr:colOff>840591</xdr:colOff>
      <xdr:row>30</xdr:row>
      <xdr:rowOff>220575</xdr:rowOff>
    </xdr:from>
    <xdr:to>
      <xdr:col>11</xdr:col>
      <xdr:colOff>601237</xdr:colOff>
      <xdr:row>32</xdr:row>
      <xdr:rowOff>63519</xdr:rowOff>
    </xdr:to>
    <xdr:sp macro="" textlink="'Pivot Tables'!$L$7">
      <xdr:nvSpPr>
        <xdr:cNvPr id="71" name="TextBox 70">
          <a:extLst>
            <a:ext uri="{FF2B5EF4-FFF2-40B4-BE49-F238E27FC236}">
              <a16:creationId xmlns:a16="http://schemas.microsoft.com/office/drawing/2014/main" id="{00B7BEA9-20D3-44B3-ADE4-F83F92912E18}"/>
            </a:ext>
          </a:extLst>
        </xdr:cNvPr>
        <xdr:cNvSpPr txBox="1"/>
      </xdr:nvSpPr>
      <xdr:spPr>
        <a:xfrm>
          <a:off x="23194405" y="8809404"/>
          <a:ext cx="664161" cy="409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5289D16-7A45-4B9F-BFB7-037824D9C5AB}" type="TxLink">
            <a:rPr lang="en-US" sz="1600" b="1" i="0" u="none" strike="noStrike">
              <a:solidFill>
                <a:srgbClr val="4ECDC4"/>
              </a:solidFill>
              <a:latin typeface="Calibri"/>
              <a:ea typeface="Calibri"/>
              <a:cs typeface="Calibri"/>
            </a:rPr>
            <a:pPr marL="0" indent="0"/>
            <a:t>1,000</a:t>
          </a:fld>
          <a:endParaRPr lang="en-GB" sz="2400" b="1" i="0" u="none" strike="noStrike">
            <a:solidFill>
              <a:srgbClr val="4ECDC4"/>
            </a:solidFill>
            <a:latin typeface="Calibri"/>
            <a:ea typeface="Calibri"/>
            <a:cs typeface="Calibri"/>
          </a:endParaRPr>
        </a:p>
      </xdr:txBody>
    </xdr:sp>
    <xdr:clientData/>
  </xdr:twoCellAnchor>
  <xdr:twoCellAnchor>
    <xdr:from>
      <xdr:col>22</xdr:col>
      <xdr:colOff>348259</xdr:colOff>
      <xdr:row>8</xdr:row>
      <xdr:rowOff>82429</xdr:rowOff>
    </xdr:from>
    <xdr:to>
      <xdr:col>42</xdr:col>
      <xdr:colOff>351456</xdr:colOff>
      <xdr:row>22</xdr:row>
      <xdr:rowOff>30342</xdr:rowOff>
    </xdr:to>
    <xdr:sp macro="" textlink="">
      <xdr:nvSpPr>
        <xdr:cNvPr id="72" name="Rectangle: Rounded Corners 71">
          <a:extLst>
            <a:ext uri="{FF2B5EF4-FFF2-40B4-BE49-F238E27FC236}">
              <a16:creationId xmlns:a16="http://schemas.microsoft.com/office/drawing/2014/main" id="{31032784-52D6-416D-A970-40034226159E}"/>
            </a:ext>
          </a:extLst>
        </xdr:cNvPr>
        <xdr:cNvSpPr/>
      </xdr:nvSpPr>
      <xdr:spPr>
        <a:xfrm>
          <a:off x="21392906" y="2133105"/>
          <a:ext cx="12105550" cy="4172531"/>
        </a:xfrm>
        <a:prstGeom prst="roundRect">
          <a:avLst/>
        </a:prstGeom>
        <a:solidFill>
          <a:srgbClr val="8899AA">
            <a:alpha val="20000"/>
          </a:srgbClr>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lumMod val="85000"/>
              </a:schemeClr>
            </a:solidFill>
          </a:endParaRPr>
        </a:p>
      </xdr:txBody>
    </xdr:sp>
    <xdr:clientData/>
  </xdr:twoCellAnchor>
  <xdr:twoCellAnchor>
    <xdr:from>
      <xdr:col>23</xdr:col>
      <xdr:colOff>160804</xdr:colOff>
      <xdr:row>8</xdr:row>
      <xdr:rowOff>145677</xdr:rowOff>
    </xdr:from>
    <xdr:to>
      <xdr:col>32</xdr:col>
      <xdr:colOff>112805</xdr:colOff>
      <xdr:row>22</xdr:row>
      <xdr:rowOff>29323</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E9D1474F-700E-4898-87EE-90665C5ACD3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9982329" y="2193552"/>
              <a:ext cx="5438401" cy="411274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30</xdr:col>
      <xdr:colOff>242861</xdr:colOff>
      <xdr:row>6</xdr:row>
      <xdr:rowOff>565381</xdr:rowOff>
    </xdr:from>
    <xdr:to>
      <xdr:col>34</xdr:col>
      <xdr:colOff>598393</xdr:colOff>
      <xdr:row>7</xdr:row>
      <xdr:rowOff>244761</xdr:rowOff>
    </xdr:to>
    <xdr:sp macro="" textlink="">
      <xdr:nvSpPr>
        <xdr:cNvPr id="73" name="TextBox 72">
          <a:extLst>
            <a:ext uri="{FF2B5EF4-FFF2-40B4-BE49-F238E27FC236}">
              <a16:creationId xmlns:a16="http://schemas.microsoft.com/office/drawing/2014/main" id="{2C7CA050-2676-4E4E-B850-E58D8C3AEB1B}"/>
            </a:ext>
          </a:extLst>
        </xdr:cNvPr>
        <xdr:cNvSpPr txBox="1"/>
      </xdr:nvSpPr>
      <xdr:spPr>
        <a:xfrm>
          <a:off x="26160386" y="1708381"/>
          <a:ext cx="2793932" cy="308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bg1">
                  <a:lumMod val="85000"/>
                </a:schemeClr>
              </a:solidFill>
            </a:rPr>
            <a:t>GEOGRAPHY</a:t>
          </a:r>
        </a:p>
      </xdr:txBody>
    </xdr:sp>
    <xdr:clientData/>
  </xdr:twoCellAnchor>
  <xdr:twoCellAnchor>
    <xdr:from>
      <xdr:col>31</xdr:col>
      <xdr:colOff>579783</xdr:colOff>
      <xdr:row>8</xdr:row>
      <xdr:rowOff>140806</xdr:rowOff>
    </xdr:from>
    <xdr:to>
      <xdr:col>42</xdr:col>
      <xdr:colOff>314739</xdr:colOff>
      <xdr:row>22</xdr:row>
      <xdr:rowOff>16565</xdr:rowOff>
    </xdr:to>
    <xdr:graphicFrame macro="">
      <xdr:nvGraphicFramePr>
        <xdr:cNvPr id="74" name="Chart 73">
          <a:extLst>
            <a:ext uri="{FF2B5EF4-FFF2-40B4-BE49-F238E27FC236}">
              <a16:creationId xmlns:a16="http://schemas.microsoft.com/office/drawing/2014/main" id="{B9CB3DC2-143C-4843-AB1C-7D8AEE70B7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28576</xdr:colOff>
      <xdr:row>24</xdr:row>
      <xdr:rowOff>284019</xdr:rowOff>
    </xdr:from>
    <xdr:to>
      <xdr:col>28</xdr:col>
      <xdr:colOff>38101</xdr:colOff>
      <xdr:row>39</xdr:row>
      <xdr:rowOff>0</xdr:rowOff>
    </xdr:to>
    <xdr:graphicFrame macro="">
      <xdr:nvGraphicFramePr>
        <xdr:cNvPr id="75" name="Chart 74">
          <a:extLst>
            <a:ext uri="{FF2B5EF4-FFF2-40B4-BE49-F238E27FC236}">
              <a16:creationId xmlns:a16="http://schemas.microsoft.com/office/drawing/2014/main" id="{734B1EBE-2773-4C39-9E03-DDAED72E14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606173</xdr:colOff>
      <xdr:row>23</xdr:row>
      <xdr:rowOff>266023</xdr:rowOff>
    </xdr:from>
    <xdr:to>
      <xdr:col>39</xdr:col>
      <xdr:colOff>349384</xdr:colOff>
      <xdr:row>24</xdr:row>
      <xdr:rowOff>258368</xdr:rowOff>
    </xdr:to>
    <xdr:sp macro="" textlink="">
      <xdr:nvSpPr>
        <xdr:cNvPr id="76" name="TextBox 75">
          <a:extLst>
            <a:ext uri="{FF2B5EF4-FFF2-40B4-BE49-F238E27FC236}">
              <a16:creationId xmlns:a16="http://schemas.microsoft.com/office/drawing/2014/main" id="{98AA87C4-788F-4900-87A7-A44089D032CE}"/>
            </a:ext>
          </a:extLst>
        </xdr:cNvPr>
        <xdr:cNvSpPr txBox="1"/>
      </xdr:nvSpPr>
      <xdr:spPr>
        <a:xfrm>
          <a:off x="29099530" y="6838273"/>
          <a:ext cx="2804818" cy="305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bg1">
                  <a:lumMod val="85000"/>
                </a:schemeClr>
              </a:solidFill>
            </a:rPr>
            <a:t>REVENUE</a:t>
          </a:r>
          <a:r>
            <a:rPr lang="en-GB" sz="1600" b="1" baseline="0">
              <a:solidFill>
                <a:schemeClr val="bg1">
                  <a:lumMod val="85000"/>
                </a:schemeClr>
              </a:solidFill>
            </a:rPr>
            <a:t> VS FEE</a:t>
          </a:r>
          <a:endParaRPr lang="en-GB" sz="1600" b="1">
            <a:solidFill>
              <a:schemeClr val="bg1">
                <a:lumMod val="85000"/>
              </a:schemeClr>
            </a:solidFill>
          </a:endParaRPr>
        </a:p>
      </xdr:txBody>
    </xdr:sp>
    <xdr:clientData/>
  </xdr:twoCellAnchor>
  <xdr:twoCellAnchor>
    <xdr:from>
      <xdr:col>5</xdr:col>
      <xdr:colOff>796636</xdr:colOff>
      <xdr:row>39</xdr:row>
      <xdr:rowOff>13608</xdr:rowOff>
    </xdr:from>
    <xdr:to>
      <xdr:col>44</xdr:col>
      <xdr:colOff>86591</xdr:colOff>
      <xdr:row>53</xdr:row>
      <xdr:rowOff>353786</xdr:rowOff>
    </xdr:to>
    <xdr:graphicFrame macro="">
      <xdr:nvGraphicFramePr>
        <xdr:cNvPr id="78" name="Chart 77">
          <a:extLst>
            <a:ext uri="{FF2B5EF4-FFF2-40B4-BE49-F238E27FC236}">
              <a16:creationId xmlns:a16="http://schemas.microsoft.com/office/drawing/2014/main" id="{E08F8F25-E579-47D2-96AF-D41B7AC7B6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317328</xdr:colOff>
      <xdr:row>38</xdr:row>
      <xdr:rowOff>195824</xdr:rowOff>
    </xdr:from>
    <xdr:to>
      <xdr:col>9</xdr:col>
      <xdr:colOff>101360</xdr:colOff>
      <xdr:row>39</xdr:row>
      <xdr:rowOff>186931</xdr:rowOff>
    </xdr:to>
    <xdr:sp macro="" textlink="">
      <xdr:nvSpPr>
        <xdr:cNvPr id="79" name="TextBox 78">
          <a:extLst>
            <a:ext uri="{FF2B5EF4-FFF2-40B4-BE49-F238E27FC236}">
              <a16:creationId xmlns:a16="http://schemas.microsoft.com/office/drawing/2014/main" id="{DE2B02C8-0436-4CDF-A5F7-E33F263F5BA4}"/>
            </a:ext>
          </a:extLst>
        </xdr:cNvPr>
        <xdr:cNvSpPr txBox="1"/>
      </xdr:nvSpPr>
      <xdr:spPr>
        <a:xfrm>
          <a:off x="5351971" y="11163181"/>
          <a:ext cx="2804818" cy="3040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bg1">
                  <a:lumMod val="85000"/>
                </a:schemeClr>
              </a:solidFill>
            </a:rPr>
            <a:t>PAYMENT METHODS</a:t>
          </a:r>
        </a:p>
      </xdr:txBody>
    </xdr:sp>
    <xdr:clientData/>
  </xdr:twoCellAnchor>
  <xdr:twoCellAnchor>
    <xdr:from>
      <xdr:col>19</xdr:col>
      <xdr:colOff>615265</xdr:colOff>
      <xdr:row>23</xdr:row>
      <xdr:rowOff>264333</xdr:rowOff>
    </xdr:from>
    <xdr:to>
      <xdr:col>24</xdr:col>
      <xdr:colOff>70254</xdr:colOff>
      <xdr:row>24</xdr:row>
      <xdr:rowOff>260809</xdr:rowOff>
    </xdr:to>
    <xdr:sp macro="" textlink="">
      <xdr:nvSpPr>
        <xdr:cNvPr id="80" name="TextBox 79">
          <a:extLst>
            <a:ext uri="{FF2B5EF4-FFF2-40B4-BE49-F238E27FC236}">
              <a16:creationId xmlns:a16="http://schemas.microsoft.com/office/drawing/2014/main" id="{681A18C8-7160-49FD-9092-D887102DA2B8}"/>
            </a:ext>
          </a:extLst>
        </xdr:cNvPr>
        <xdr:cNvSpPr txBox="1"/>
      </xdr:nvSpPr>
      <xdr:spPr>
        <a:xfrm>
          <a:off x="19531915" y="6855633"/>
          <a:ext cx="2798264" cy="310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chemeClr val="bg1">
                  <a:lumMod val="85000"/>
                </a:schemeClr>
              </a:solidFill>
            </a:rPr>
            <a:t>DECLINE</a:t>
          </a:r>
          <a:r>
            <a:rPr lang="en-GB" sz="1600" b="1" baseline="0">
              <a:solidFill>
                <a:schemeClr val="bg1">
                  <a:lumMod val="85000"/>
                </a:schemeClr>
              </a:solidFill>
            </a:rPr>
            <a:t> ANALYSIS</a:t>
          </a:r>
          <a:endParaRPr lang="en-GB" sz="1600" b="1">
            <a:solidFill>
              <a:schemeClr val="bg1">
                <a:lumMod val="85000"/>
              </a:schemeClr>
            </a:solidFill>
          </a:endParaRPr>
        </a:p>
      </xdr:txBody>
    </xdr:sp>
    <xdr:clientData/>
  </xdr:twoCellAnchor>
  <xdr:twoCellAnchor>
    <xdr:from>
      <xdr:col>7</xdr:col>
      <xdr:colOff>429329</xdr:colOff>
      <xdr:row>23</xdr:row>
      <xdr:rowOff>76792</xdr:rowOff>
    </xdr:from>
    <xdr:to>
      <xdr:col>15</xdr:col>
      <xdr:colOff>157187</xdr:colOff>
      <xdr:row>32</xdr:row>
      <xdr:rowOff>216280</xdr:rowOff>
    </xdr:to>
    <xdr:sp macro="" textlink="">
      <xdr:nvSpPr>
        <xdr:cNvPr id="81" name="Rectangle: Rounded Corners 80">
          <a:extLst>
            <a:ext uri="{FF2B5EF4-FFF2-40B4-BE49-F238E27FC236}">
              <a16:creationId xmlns:a16="http://schemas.microsoft.com/office/drawing/2014/main" id="{CE573460-F290-4C7F-A2BD-2F2D584E7309}"/>
            </a:ext>
          </a:extLst>
        </xdr:cNvPr>
        <xdr:cNvSpPr/>
      </xdr:nvSpPr>
      <xdr:spPr>
        <a:xfrm>
          <a:off x="6666133" y="6686314"/>
          <a:ext cx="6950293" cy="2665683"/>
        </a:xfrm>
        <a:prstGeom prst="roundRect">
          <a:avLst/>
        </a:prstGeom>
        <a:solidFill>
          <a:srgbClr val="8899AA">
            <a:alpha val="20000"/>
          </a:srgbClr>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lumMod val="85000"/>
              </a:schemeClr>
            </a:solidFill>
          </a:endParaRPr>
        </a:p>
      </xdr:txBody>
    </xdr:sp>
    <xdr:clientData/>
  </xdr:twoCellAnchor>
  <xdr:twoCellAnchor>
    <xdr:from>
      <xdr:col>30</xdr:col>
      <xdr:colOff>411926</xdr:colOff>
      <xdr:row>23</xdr:row>
      <xdr:rowOff>76814</xdr:rowOff>
    </xdr:from>
    <xdr:to>
      <xdr:col>42</xdr:col>
      <xdr:colOff>385032</xdr:colOff>
      <xdr:row>38</xdr:row>
      <xdr:rowOff>113950</xdr:rowOff>
    </xdr:to>
    <xdr:sp macro="" textlink="">
      <xdr:nvSpPr>
        <xdr:cNvPr id="82" name="Rectangle: Rounded Corners 81">
          <a:extLst>
            <a:ext uri="{FF2B5EF4-FFF2-40B4-BE49-F238E27FC236}">
              <a16:creationId xmlns:a16="http://schemas.microsoft.com/office/drawing/2014/main" id="{1AB336C4-F3F4-4AC0-A871-732E259C408A}"/>
            </a:ext>
          </a:extLst>
        </xdr:cNvPr>
        <xdr:cNvSpPr/>
      </xdr:nvSpPr>
      <xdr:spPr>
        <a:xfrm>
          <a:off x="37732608" y="6640405"/>
          <a:ext cx="7246742" cy="4401318"/>
        </a:xfrm>
        <a:prstGeom prst="roundRect">
          <a:avLst/>
        </a:prstGeom>
        <a:solidFill>
          <a:srgbClr val="8899AA">
            <a:alpha val="20000"/>
          </a:srgbClr>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solidFill>
              <a:schemeClr val="bg1">
                <a:lumMod val="85000"/>
              </a:schemeClr>
            </a:solidFill>
          </a:endParaRPr>
        </a:p>
      </xdr:txBody>
    </xdr:sp>
    <xdr:clientData/>
  </xdr:twoCellAnchor>
  <xdr:twoCellAnchor editAs="oneCell">
    <xdr:from>
      <xdr:col>2</xdr:col>
      <xdr:colOff>548722</xdr:colOff>
      <xdr:row>40</xdr:row>
      <xdr:rowOff>61800</xdr:rowOff>
    </xdr:from>
    <xdr:to>
      <xdr:col>4</xdr:col>
      <xdr:colOff>643972</xdr:colOff>
      <xdr:row>48</xdr:row>
      <xdr:rowOff>60680</xdr:rowOff>
    </xdr:to>
    <mc:AlternateContent xmlns:mc="http://schemas.openxmlformats.org/markup-compatibility/2006" xmlns:a14="http://schemas.microsoft.com/office/drawing/2010/main">
      <mc:Choice Requires="a14">
        <xdr:graphicFrame macro="">
          <xdr:nvGraphicFramePr>
            <xdr:cNvPr id="83" name="PSP Provider">
              <a:extLst>
                <a:ext uri="{FF2B5EF4-FFF2-40B4-BE49-F238E27FC236}">
                  <a16:creationId xmlns:a16="http://schemas.microsoft.com/office/drawing/2014/main" id="{A8AE5E62-3376-475D-90BB-AC439353226B}"/>
                </a:ext>
              </a:extLst>
            </xdr:cNvPr>
            <xdr:cNvGraphicFramePr/>
          </xdr:nvGraphicFramePr>
          <xdr:xfrm>
            <a:off x="0" y="0"/>
            <a:ext cx="0" cy="0"/>
          </xdr:xfrm>
          <a:graphic>
            <a:graphicData uri="http://schemas.microsoft.com/office/drawing/2010/slicer">
              <sle:slicer xmlns:sle="http://schemas.microsoft.com/office/drawing/2010/slicer" name="PSP Provider"/>
            </a:graphicData>
          </a:graphic>
        </xdr:graphicFrame>
      </mc:Choice>
      <mc:Fallback xmlns="">
        <xdr:sp macro="" textlink="">
          <xdr:nvSpPr>
            <xdr:cNvPr id="0" name=""/>
            <xdr:cNvSpPr>
              <a:spLocks noTextEdit="1"/>
            </xdr:cNvSpPr>
          </xdr:nvSpPr>
          <xdr:spPr>
            <a:xfrm>
              <a:off x="1774548" y="11715430"/>
              <a:ext cx="2000250" cy="15808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552450</xdr:colOff>
      <xdr:row>32</xdr:row>
      <xdr:rowOff>27037</xdr:rowOff>
    </xdr:from>
    <xdr:to>
      <xdr:col>4</xdr:col>
      <xdr:colOff>657225</xdr:colOff>
      <xdr:row>37</xdr:row>
      <xdr:rowOff>36419</xdr:rowOff>
    </xdr:to>
    <mc:AlternateContent xmlns:mc="http://schemas.openxmlformats.org/markup-compatibility/2006" xmlns:a14="http://schemas.microsoft.com/office/drawing/2010/main">
      <mc:Choice Requires="a14">
        <xdr:graphicFrame macro="">
          <xdr:nvGraphicFramePr>
            <xdr:cNvPr id="84" name="Payment Method">
              <a:extLst>
                <a:ext uri="{FF2B5EF4-FFF2-40B4-BE49-F238E27FC236}">
                  <a16:creationId xmlns:a16="http://schemas.microsoft.com/office/drawing/2014/main" id="{E2F15803-9195-461A-9B2F-09A253231B2D}"/>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778276" y="9162754"/>
              <a:ext cx="2009775" cy="158307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30</xdr:col>
      <xdr:colOff>604346</xdr:colOff>
      <xdr:row>24</xdr:row>
      <xdr:rowOff>190500</xdr:rowOff>
    </xdr:from>
    <xdr:to>
      <xdr:col>42</xdr:col>
      <xdr:colOff>381000</xdr:colOff>
      <xdr:row>37</xdr:row>
      <xdr:rowOff>190499</xdr:rowOff>
    </xdr:to>
    <xdr:graphicFrame macro="">
      <xdr:nvGraphicFramePr>
        <xdr:cNvPr id="77" name="Chart 76">
          <a:extLst>
            <a:ext uri="{FF2B5EF4-FFF2-40B4-BE49-F238E27FC236}">
              <a16:creationId xmlns:a16="http://schemas.microsoft.com/office/drawing/2014/main" id="{D144CFFF-81B0-402A-B126-8077571E65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716313</xdr:colOff>
      <xdr:row>24</xdr:row>
      <xdr:rowOff>17815</xdr:rowOff>
    </xdr:from>
    <xdr:to>
      <xdr:col>5</xdr:col>
      <xdr:colOff>493058</xdr:colOff>
      <xdr:row>28</xdr:row>
      <xdr:rowOff>73267</xdr:rowOff>
    </xdr:to>
    <mc:AlternateContent xmlns:mc="http://schemas.openxmlformats.org/markup-compatibility/2006" xmlns:tsle="http://schemas.microsoft.com/office/drawing/2012/timeslicer">
      <mc:Choice Requires="tsle">
        <xdr:graphicFrame macro="">
          <xdr:nvGraphicFramePr>
            <xdr:cNvPr id="3" name="Date &amp; Time">
              <a:extLst>
                <a:ext uri="{FF2B5EF4-FFF2-40B4-BE49-F238E27FC236}">
                  <a16:creationId xmlns:a16="http://schemas.microsoft.com/office/drawing/2014/main" id="{DDF2063D-7794-4607-9408-1464A04A63C2}"/>
                </a:ext>
              </a:extLst>
            </xdr:cNvPr>
            <xdr:cNvGraphicFramePr/>
          </xdr:nvGraphicFramePr>
          <xdr:xfrm>
            <a:off x="0" y="0"/>
            <a:ext cx="0" cy="0"/>
          </xdr:xfrm>
          <a:graphic>
            <a:graphicData uri="http://schemas.microsoft.com/office/drawing/2012/timeslicer">
              <tsle:timeslicer name="Date &amp; Time"/>
            </a:graphicData>
          </a:graphic>
        </xdr:graphicFrame>
      </mc:Choice>
      <mc:Fallback xmlns="">
        <xdr:sp macro="" textlink="">
          <xdr:nvSpPr>
            <xdr:cNvPr id="0" name=""/>
            <xdr:cNvSpPr>
              <a:spLocks noTextEdit="1"/>
            </xdr:cNvSpPr>
          </xdr:nvSpPr>
          <xdr:spPr>
            <a:xfrm>
              <a:off x="15263586" y="6893133"/>
              <a:ext cx="2634245" cy="1059907"/>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twoCellAnchor>
    <xdr:from>
      <xdr:col>2</xdr:col>
      <xdr:colOff>701083</xdr:colOff>
      <xdr:row>23</xdr:row>
      <xdr:rowOff>200068</xdr:rowOff>
    </xdr:from>
    <xdr:to>
      <xdr:col>4</xdr:col>
      <xdr:colOff>728297</xdr:colOff>
      <xdr:row>24</xdr:row>
      <xdr:rowOff>196347</xdr:rowOff>
    </xdr:to>
    <xdr:sp macro="" textlink="">
      <xdr:nvSpPr>
        <xdr:cNvPr id="4" name="TextBox 3">
          <a:extLst>
            <a:ext uri="{FF2B5EF4-FFF2-40B4-BE49-F238E27FC236}">
              <a16:creationId xmlns:a16="http://schemas.microsoft.com/office/drawing/2014/main" id="{C10C7EEB-A8F3-4536-980F-E739726CF27C}"/>
            </a:ext>
          </a:extLst>
        </xdr:cNvPr>
        <xdr:cNvSpPr txBox="1"/>
      </xdr:nvSpPr>
      <xdr:spPr>
        <a:xfrm>
          <a:off x="15296314" y="6801626"/>
          <a:ext cx="1932214" cy="311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lumMod val="85000"/>
                </a:schemeClr>
              </a:solidFill>
            </a:rPr>
            <a:t>By</a:t>
          </a:r>
          <a:r>
            <a:rPr lang="en-GB" sz="1600" b="1" baseline="0">
              <a:solidFill>
                <a:schemeClr val="bg1">
                  <a:lumMod val="85000"/>
                </a:schemeClr>
              </a:solidFill>
            </a:rPr>
            <a:t> Month</a:t>
          </a:r>
          <a:endParaRPr lang="en-GB" sz="1600" b="1">
            <a:solidFill>
              <a:schemeClr val="bg1">
                <a:lumMod val="85000"/>
              </a:schemeClr>
            </a:solidFill>
          </a:endParaRPr>
        </a:p>
      </xdr:txBody>
    </xdr:sp>
    <xdr:clientData/>
  </xdr:twoCellAnchor>
  <xdr:twoCellAnchor>
    <xdr:from>
      <xdr:col>2</xdr:col>
      <xdr:colOff>665763</xdr:colOff>
      <xdr:row>21</xdr:row>
      <xdr:rowOff>171278</xdr:rowOff>
    </xdr:from>
    <xdr:to>
      <xdr:col>4</xdr:col>
      <xdr:colOff>692977</xdr:colOff>
      <xdr:row>22</xdr:row>
      <xdr:rowOff>164729</xdr:rowOff>
    </xdr:to>
    <xdr:sp macro="" textlink="">
      <xdr:nvSpPr>
        <xdr:cNvPr id="6" name="TextBox 5">
          <a:extLst>
            <a:ext uri="{FF2B5EF4-FFF2-40B4-BE49-F238E27FC236}">
              <a16:creationId xmlns:a16="http://schemas.microsoft.com/office/drawing/2014/main" id="{22099AF7-8759-428D-A07E-597F439B16A6}"/>
            </a:ext>
          </a:extLst>
        </xdr:cNvPr>
        <xdr:cNvSpPr txBox="1"/>
      </xdr:nvSpPr>
      <xdr:spPr>
        <a:xfrm>
          <a:off x="15375676" y="6151321"/>
          <a:ext cx="1932214" cy="3081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rgbClr val="8899AA"/>
              </a:solidFill>
            </a:rPr>
            <a:t>   </a:t>
          </a:r>
          <a:r>
            <a:rPr lang="en-GB" sz="1600"/>
            <a:t>🔎</a:t>
          </a:r>
          <a:r>
            <a:rPr lang="en-GB" sz="1600">
              <a:solidFill>
                <a:schemeClr val="bg1">
                  <a:lumMod val="85000"/>
                </a:schemeClr>
              </a:solidFill>
            </a:rPr>
            <a:t>  </a:t>
          </a:r>
          <a:r>
            <a:rPr lang="en-GB" sz="1600" b="1">
              <a:solidFill>
                <a:schemeClr val="bg1">
                  <a:lumMod val="85000"/>
                </a:schemeClr>
              </a:solidFill>
            </a:rPr>
            <a:t>FILTERS</a:t>
          </a:r>
        </a:p>
      </xdr:txBody>
    </xdr:sp>
    <xdr:clientData/>
  </xdr:twoCellAnchor>
  <xdr:twoCellAnchor>
    <xdr:from>
      <xdr:col>2</xdr:col>
      <xdr:colOff>613549</xdr:colOff>
      <xdr:row>22</xdr:row>
      <xdr:rowOff>229091</xdr:rowOff>
    </xdr:from>
    <xdr:to>
      <xdr:col>4</xdr:col>
      <xdr:colOff>472549</xdr:colOff>
      <xdr:row>22</xdr:row>
      <xdr:rowOff>229091</xdr:rowOff>
    </xdr:to>
    <xdr:cxnSp macro="">
      <xdr:nvCxnSpPr>
        <xdr:cNvPr id="7" name="Straight Connector 6">
          <a:extLst>
            <a:ext uri="{FF2B5EF4-FFF2-40B4-BE49-F238E27FC236}">
              <a16:creationId xmlns:a16="http://schemas.microsoft.com/office/drawing/2014/main" id="{FA528C76-AB75-4054-80BA-A8290F54E274}"/>
            </a:ext>
          </a:extLst>
        </xdr:cNvPr>
        <xdr:cNvCxnSpPr/>
      </xdr:nvCxnSpPr>
      <xdr:spPr>
        <a:xfrm>
          <a:off x="15323462" y="6523874"/>
          <a:ext cx="1764000" cy="0"/>
        </a:xfrm>
        <a:prstGeom prst="line">
          <a:avLst/>
        </a:prstGeom>
        <a:ln w="127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705695</xdr:colOff>
      <xdr:row>30</xdr:row>
      <xdr:rowOff>158779</xdr:rowOff>
    </xdr:from>
    <xdr:to>
      <xdr:col>4</xdr:col>
      <xdr:colOff>732909</xdr:colOff>
      <xdr:row>31</xdr:row>
      <xdr:rowOff>155058</xdr:rowOff>
    </xdr:to>
    <xdr:sp macro="" textlink="">
      <xdr:nvSpPr>
        <xdr:cNvPr id="38" name="TextBox 37">
          <a:extLst>
            <a:ext uri="{FF2B5EF4-FFF2-40B4-BE49-F238E27FC236}">
              <a16:creationId xmlns:a16="http://schemas.microsoft.com/office/drawing/2014/main" id="{0430C9CA-5D13-441E-975E-7B1635F3CEE4}"/>
            </a:ext>
          </a:extLst>
        </xdr:cNvPr>
        <xdr:cNvSpPr txBox="1"/>
      </xdr:nvSpPr>
      <xdr:spPr>
        <a:xfrm>
          <a:off x="15228519" y="8708867"/>
          <a:ext cx="1932214" cy="310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lumMod val="85000"/>
                </a:schemeClr>
              </a:solidFill>
            </a:rPr>
            <a:t>By</a:t>
          </a:r>
          <a:r>
            <a:rPr lang="en-GB" sz="1600" b="1" baseline="0">
              <a:solidFill>
                <a:schemeClr val="bg1">
                  <a:lumMod val="85000"/>
                </a:schemeClr>
              </a:solidFill>
            </a:rPr>
            <a:t> Payment Method</a:t>
          </a:r>
          <a:endParaRPr lang="en-GB" sz="1600" b="1">
            <a:solidFill>
              <a:schemeClr val="bg1">
                <a:lumMod val="85000"/>
              </a:schemeClr>
            </a:solidFill>
          </a:endParaRPr>
        </a:p>
      </xdr:txBody>
    </xdr:sp>
    <xdr:clientData/>
  </xdr:twoCellAnchor>
  <xdr:twoCellAnchor>
    <xdr:from>
      <xdr:col>2</xdr:col>
      <xdr:colOff>734269</xdr:colOff>
      <xdr:row>39</xdr:row>
      <xdr:rowOff>16465</xdr:rowOff>
    </xdr:from>
    <xdr:to>
      <xdr:col>4</xdr:col>
      <xdr:colOff>761483</xdr:colOff>
      <xdr:row>40</xdr:row>
      <xdr:rowOff>12744</xdr:rowOff>
    </xdr:to>
    <xdr:sp macro="" textlink="">
      <xdr:nvSpPr>
        <xdr:cNvPr id="44" name="TextBox 43">
          <a:extLst>
            <a:ext uri="{FF2B5EF4-FFF2-40B4-BE49-F238E27FC236}">
              <a16:creationId xmlns:a16="http://schemas.microsoft.com/office/drawing/2014/main" id="{0FCA27DA-BAB4-4C7E-AB83-6C66A106DD6E}"/>
            </a:ext>
          </a:extLst>
        </xdr:cNvPr>
        <xdr:cNvSpPr txBox="1"/>
      </xdr:nvSpPr>
      <xdr:spPr>
        <a:xfrm>
          <a:off x="15257093" y="11323200"/>
          <a:ext cx="1932214" cy="310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chemeClr val="bg1">
                  <a:lumMod val="85000"/>
                </a:schemeClr>
              </a:solidFill>
            </a:rPr>
            <a:t>By</a:t>
          </a:r>
          <a:r>
            <a:rPr lang="en-GB" sz="1600" b="1" baseline="0">
              <a:solidFill>
                <a:schemeClr val="bg1">
                  <a:lumMod val="85000"/>
                </a:schemeClr>
              </a:solidFill>
            </a:rPr>
            <a:t> PSP Provider</a:t>
          </a:r>
          <a:endParaRPr lang="en-GB" sz="1600" b="1">
            <a:solidFill>
              <a:schemeClr val="bg1">
                <a:lumMod val="8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olas andreou" refreshedDate="46086.484040740739" createdVersion="8" refreshedVersion="8" minRefreshableVersion="3" recordCount="1000" xr:uid="{732E3D24-2E05-4B86-AE75-C2498018FBBE}">
  <cacheSource type="worksheet">
    <worksheetSource name="Raw_Data_Combined"/>
  </cacheSource>
  <cacheFields count="15">
    <cacheField name="Transaction ID" numFmtId="0">
      <sharedItems/>
    </cacheField>
    <cacheField name="Date &amp; Time" numFmtId="169">
      <sharedItems containsSemiMixedTypes="0" containsNonDate="0" containsDate="1" containsString="0" minDate="2024-01-01T21:55:00" maxDate="2024-12-30T23:59:00" count="1000">
        <d v="2024-01-01T21:55:00"/>
        <d v="2024-01-03T08:32:00"/>
        <d v="2024-01-03T10:15:00"/>
        <d v="2024-01-03T10:29:00"/>
        <d v="2024-01-04T00:11:00"/>
        <d v="2024-01-04T03:43:00"/>
        <d v="2024-01-04T09:14:00"/>
        <d v="2024-01-05T05:26:00"/>
        <d v="2024-01-05T11:12:00"/>
        <d v="2024-01-05T13:51:00"/>
        <d v="2024-01-06T20:59:00"/>
        <d v="2024-01-07T06:41:00"/>
        <d v="2024-01-08T05:50:00"/>
        <d v="2024-01-08T06:59:00"/>
        <d v="2024-01-08T19:35:00"/>
        <d v="2024-01-08T23:21:00"/>
        <d v="2024-01-09T07:13:00"/>
        <d v="2024-01-10T15:48:00"/>
        <d v="2024-01-10T16:40:00"/>
        <d v="2024-01-10T20:45:00"/>
        <d v="2024-01-11T00:59:00"/>
        <d v="2024-01-11T10:16:00"/>
        <d v="2024-01-11T22:24:00"/>
        <d v="2024-01-12T09:29:00"/>
        <d v="2024-01-12T18:48:00"/>
        <d v="2024-01-13T05:47:00"/>
        <d v="2024-01-13T16:52:00"/>
        <d v="2024-01-13T21:12:00"/>
        <d v="2024-01-15T03:48:00"/>
        <d v="2024-01-16T12:43:00"/>
        <d v="2024-01-16T14:09:00"/>
        <d v="2024-01-17T06:06:00"/>
        <d v="2024-01-17T10:25:00"/>
        <d v="2024-01-17T13:56:00"/>
        <d v="2024-01-17T23:10:00"/>
        <d v="2024-01-18T04:04:00"/>
        <d v="2024-01-18T06:29:00"/>
        <d v="2024-01-18T21:22:00"/>
        <d v="2024-01-19T04:32:00"/>
        <d v="2024-01-19T09:12:00"/>
        <d v="2024-01-19T11:44:00"/>
        <d v="2024-01-19T15:25:00"/>
        <d v="2024-01-19T17:16:00"/>
        <d v="2024-01-19T17:51:00"/>
        <d v="2024-01-20T15:14:00"/>
        <d v="2024-01-21T07:45:00"/>
        <d v="2024-01-21T07:48:00"/>
        <d v="2024-01-21T21:56:00"/>
        <d v="2024-01-22T09:45:00"/>
        <d v="2024-01-22T14:03:00"/>
        <d v="2024-01-22T18:50:00"/>
        <d v="2024-01-23T00:15:00"/>
        <d v="2024-01-23T01:30:00"/>
        <d v="2024-01-24T02:16:00"/>
        <d v="2024-01-24T17:17:00"/>
        <d v="2024-01-24T20:49:00"/>
        <d v="2024-01-25T09:56:00"/>
        <d v="2024-01-26T08:24:00"/>
        <d v="2024-01-26T17:15:00"/>
        <d v="2024-01-26T23:30:00"/>
        <d v="2024-01-27T10:00:00"/>
        <d v="2024-01-27T10:59:00"/>
        <d v="2024-01-27T18:30:00"/>
        <d v="2024-01-28T06:09:00"/>
        <d v="2024-01-28T11:00:00"/>
        <d v="2024-01-29T00:13:00"/>
        <d v="2024-01-29T02:20:00"/>
        <d v="2024-01-29T07:38:00"/>
        <d v="2024-01-29T21:15:00"/>
        <d v="2024-01-29T23:04:00"/>
        <d v="2024-01-30T01:37:00"/>
        <d v="2024-01-30T07:56:00"/>
        <d v="2024-01-30T17:29:00"/>
        <d v="2024-02-01T00:37:00"/>
        <d v="2024-02-01T11:57:00"/>
        <d v="2024-02-01T16:01:00"/>
        <d v="2024-02-01T20:30:00"/>
        <d v="2024-02-02T03:53:00"/>
        <d v="2024-02-02T06:27:00"/>
        <d v="2024-02-02T12:24:00"/>
        <d v="2024-02-02T20:13:00"/>
        <d v="2024-02-03T06:57:00"/>
        <d v="2024-02-04T09:02:00"/>
        <d v="2024-02-04T12:42:00"/>
        <d v="2024-02-05T04:47:00"/>
        <d v="2024-02-05T08:49:00"/>
        <d v="2024-02-06T01:47:00"/>
        <d v="2024-02-06T02:10:00"/>
        <d v="2024-02-06T09:04:00"/>
        <d v="2024-02-06T12:55:00"/>
        <d v="2024-02-06T16:15:00"/>
        <d v="2024-02-06T16:56:00"/>
        <d v="2024-02-07T02:17:00"/>
        <d v="2024-02-07T04:20:00"/>
        <d v="2024-02-07T06:51:00"/>
        <d v="2024-02-07T12:32:00"/>
        <d v="2024-02-08T17:57:00"/>
        <d v="2024-02-08T20:50:00"/>
        <d v="2024-02-08T21:03:00"/>
        <d v="2024-02-09T09:54:00"/>
        <d v="2024-02-09T18:23:00"/>
        <d v="2024-02-09T20:52:00"/>
        <d v="2024-02-10T13:38:00"/>
        <d v="2024-02-10T19:02:00"/>
        <d v="2024-02-11T02:03:00"/>
        <d v="2024-02-11T04:03:00"/>
        <d v="2024-02-12T09:38:00"/>
        <d v="2024-02-12T15:54:00"/>
        <d v="2024-02-13T08:23:00"/>
        <d v="2024-02-13T18:06:00"/>
        <d v="2024-02-14T01:06:00"/>
        <d v="2024-02-14T03:08:00"/>
        <d v="2024-02-14T05:27:00"/>
        <d v="2024-02-15T00:26:00"/>
        <d v="2024-02-15T11:35:00"/>
        <d v="2024-02-16T01:55:00"/>
        <d v="2024-02-16T02:05:00"/>
        <d v="2024-02-16T03:45:00"/>
        <d v="2024-02-16T16:04:00"/>
        <d v="2024-02-16T16:28:00"/>
        <d v="2024-02-16T19:39:00"/>
        <d v="2024-02-16T21:13:00"/>
        <d v="2024-02-17T01:58:00"/>
        <d v="2024-02-17T07:10:00"/>
        <d v="2024-02-17T11:14:00"/>
        <d v="2024-02-17T12:06:00"/>
        <d v="2024-02-17T12:24:00"/>
        <d v="2024-02-17T14:32:00"/>
        <d v="2024-02-17T15:42:00"/>
        <d v="2024-02-18T01:29:00"/>
        <d v="2024-02-18T10:27:00"/>
        <d v="2024-02-19T01:25:00"/>
        <d v="2024-02-20T07:47:00"/>
        <d v="2024-02-20T13:14:00"/>
        <d v="2024-02-20T20:45:00"/>
        <d v="2024-02-20T20:50:00"/>
        <d v="2024-02-21T10:19:00"/>
        <d v="2024-02-21T12:17:00"/>
        <d v="2024-02-23T06:33:00"/>
        <d v="2024-02-23T09:26:00"/>
        <d v="2024-02-24T00:06:00"/>
        <d v="2024-02-24T02:00:00"/>
        <d v="2024-02-24T17:04:00"/>
        <d v="2024-02-24T20:36:00"/>
        <d v="2024-02-25T18:46:00"/>
        <d v="2024-02-26T12:23:00"/>
        <d v="2024-02-26T16:55:00"/>
        <d v="2024-02-26T22:11:00"/>
        <d v="2024-02-27T00:44:00"/>
        <d v="2024-02-27T13:09:00"/>
        <d v="2024-02-28T10:10:00"/>
        <d v="2024-02-28T18:38:00"/>
        <d v="2024-02-28T19:14:00"/>
        <d v="2024-02-29T03:54:00"/>
        <d v="2024-03-01T00:21:00"/>
        <d v="2024-03-01T07:19:00"/>
        <d v="2024-03-01T20:53:00"/>
        <d v="2024-03-02T00:31:00"/>
        <d v="2024-03-02T07:47:00"/>
        <d v="2024-03-02T11:36:00"/>
        <d v="2024-03-02T14:11:00"/>
        <d v="2024-03-03T00:25:00"/>
        <d v="2024-03-03T08:31:00"/>
        <d v="2024-03-03T17:22:00"/>
        <d v="2024-03-03T18:43:00"/>
        <d v="2024-03-04T01:00:00"/>
        <d v="2024-03-04T19:13:00"/>
        <d v="2024-03-05T08:39:00"/>
        <d v="2024-03-05T15:14:00"/>
        <d v="2024-03-05T20:19:00"/>
        <d v="2024-03-06T01:44:00"/>
        <d v="2024-03-06T03:24:00"/>
        <d v="2024-03-06T03:25:00"/>
        <d v="2024-03-06T15:55:00"/>
        <d v="2024-03-06T21:30:00"/>
        <d v="2024-03-07T03:24:00"/>
        <d v="2024-03-07T10:45:00"/>
        <d v="2024-03-07T19:36:00"/>
        <d v="2024-03-08T02:20:00"/>
        <d v="2024-03-08T02:52:00"/>
        <d v="2024-03-08T05:01:00"/>
        <d v="2024-03-08T11:18:00"/>
        <d v="2024-03-08T19:17:00"/>
        <d v="2024-03-08T20:11:00"/>
        <d v="2024-03-08T22:46:00"/>
        <d v="2024-03-09T03:50:00"/>
        <d v="2024-03-09T04:26:00"/>
        <d v="2024-03-10T09:07:00"/>
        <d v="2024-03-10T16:56:00"/>
        <d v="2024-03-11T04:14:00"/>
        <d v="2024-03-11T06:21:00"/>
        <d v="2024-03-11T12:49:00"/>
        <d v="2024-03-12T01:12:00"/>
        <d v="2024-03-12T07:17:00"/>
        <d v="2024-03-12T20:19:00"/>
        <d v="2024-03-12T23:34:00"/>
        <d v="2024-03-13T03:03:00"/>
        <d v="2024-03-13T13:10:00"/>
        <d v="2024-03-14T00:08:00"/>
        <d v="2024-03-14T06:19:00"/>
        <d v="2024-03-14T09:27:00"/>
        <d v="2024-03-15T11:30:00"/>
        <d v="2024-03-15T15:59:00"/>
        <d v="2024-03-15T23:17:00"/>
        <d v="2024-03-16T19:00:00"/>
        <d v="2024-03-16T21:09:00"/>
        <d v="2024-03-16T22:54:00"/>
        <d v="2024-03-17T02:23:00"/>
        <d v="2024-03-17T19:06:00"/>
        <d v="2024-03-18T13:44:00"/>
        <d v="2024-03-18T22:21:00"/>
        <d v="2024-03-18T22:42:00"/>
        <d v="2024-03-20T03:10:00"/>
        <d v="2024-03-20T06:18:00"/>
        <d v="2024-03-20T20:29:00"/>
        <d v="2024-03-21T00:26:00"/>
        <d v="2024-03-21T00:31:00"/>
        <d v="2024-03-21T08:49:00"/>
        <d v="2024-03-21T15:05:00"/>
        <d v="2024-03-21T19:03:00"/>
        <d v="2024-03-22T20:46:00"/>
        <d v="2024-03-22T22:27:00"/>
        <d v="2024-03-23T05:14:00"/>
        <d v="2024-03-23T06:51:00"/>
        <d v="2024-03-23T23:28:00"/>
        <d v="2024-03-24T01:17:00"/>
        <d v="2024-03-24T03:13:00"/>
        <d v="2024-03-24T04:11:00"/>
        <d v="2024-03-24T12:39:00"/>
        <d v="2024-03-24T15:22:00"/>
        <d v="2024-03-25T08:07:00"/>
        <d v="2024-03-25T09:38:00"/>
        <d v="2024-03-25T12:00:00"/>
        <d v="2024-03-25T13:03:00"/>
        <d v="2024-03-25T15:08:00"/>
        <d v="2024-03-26T12:06:00"/>
        <d v="2024-03-26T14:25:00"/>
        <d v="2024-03-26T19:38:00"/>
        <d v="2024-03-26T20:07:00"/>
        <d v="2024-03-26T20:39:00"/>
        <d v="2024-03-26T23:43:00"/>
        <d v="2024-03-27T02:23:00"/>
        <d v="2024-03-27T02:32:00"/>
        <d v="2024-03-27T04:17:00"/>
        <d v="2024-03-27T18:48:00"/>
        <d v="2024-03-27T21:05:00"/>
        <d v="2024-03-27T23:32:00"/>
        <d v="2024-03-28T07:53:00"/>
        <d v="2024-03-28T17:00:00"/>
        <d v="2024-03-28T19:29:00"/>
        <d v="2024-03-28T21:39:00"/>
        <d v="2024-03-29T22:28:00"/>
        <d v="2024-03-30T06:21:00"/>
        <d v="2024-03-30T20:31:00"/>
        <d v="2024-03-31T15:37:00"/>
        <d v="2024-04-01T14:37:00"/>
        <d v="2024-04-02T00:20:00"/>
        <d v="2024-04-02T08:44:00"/>
        <d v="2024-04-02T16:55:00"/>
        <d v="2024-04-02T18:57:00"/>
        <d v="2024-04-03T12:02:00"/>
        <d v="2024-04-04T00:39:00"/>
        <d v="2024-04-05T02:38:00"/>
        <d v="2024-04-05T06:32:00"/>
        <d v="2024-04-05T14:02:00"/>
        <d v="2024-04-05T15:44:00"/>
        <d v="2024-04-06T10:01:00"/>
        <d v="2024-04-06T13:56:00"/>
        <d v="2024-04-07T06:33:00"/>
        <d v="2024-04-07T13:44:00"/>
        <d v="2024-04-07T16:43:00"/>
        <d v="2024-04-08T01:01:00"/>
        <d v="2024-04-08T07:02:00"/>
        <d v="2024-04-08T07:17:00"/>
        <d v="2024-04-09T01:50:00"/>
        <d v="2024-04-09T09:28:00"/>
        <d v="2024-04-10T00:05:00"/>
        <d v="2024-04-10T06:43:00"/>
        <d v="2024-04-11T02:26:00"/>
        <d v="2024-04-11T11:56:00"/>
        <d v="2024-04-11T12:23:00"/>
        <d v="2024-04-11T15:25:00"/>
        <d v="2024-04-11T23:37:00"/>
        <d v="2024-04-12T05:53:00"/>
        <d v="2024-04-12T13:25:00"/>
        <d v="2024-04-12T19:25:00"/>
        <d v="2024-04-13T07:53:00"/>
        <d v="2024-04-13T14:26:00"/>
        <d v="2024-04-13T17:17:00"/>
        <d v="2024-04-14T02:11:00"/>
        <d v="2024-04-14T11:20:00"/>
        <d v="2024-04-15T01:36:00"/>
        <d v="2024-04-15T04:40:00"/>
        <d v="2024-04-15T16:30:00"/>
        <d v="2024-04-15T23:02:00"/>
        <d v="2024-04-16T14:19:00"/>
        <d v="2024-04-16T20:13:00"/>
        <d v="2024-04-17T13:16:00"/>
        <d v="2024-04-17T23:37:00"/>
        <d v="2024-04-17T23:47:00"/>
        <d v="2024-04-18T11:51:00"/>
        <d v="2024-04-18T17:48:00"/>
        <d v="2024-04-18T20:31:00"/>
        <d v="2024-04-18T23:01:00"/>
        <d v="2024-04-19T16:14:00"/>
        <d v="2024-04-20T08:30:00"/>
        <d v="2024-04-20T10:09:00"/>
        <d v="2024-04-21T04:06:00"/>
        <d v="2024-04-21T10:26:00"/>
        <d v="2024-04-21T18:42:00"/>
        <d v="2024-04-22T08:05:00"/>
        <d v="2024-04-22T09:02:00"/>
        <d v="2024-04-24T00:20:00"/>
        <d v="2024-04-24T03:22:00"/>
        <d v="2024-04-24T20:04:00"/>
        <d v="2024-04-25T04:21:00"/>
        <d v="2024-04-25T06:09:00"/>
        <d v="2024-04-26T04:51:00"/>
        <d v="2024-04-26T17:03:00"/>
        <d v="2024-04-27T06:57:00"/>
        <d v="2024-04-27T07:47:00"/>
        <d v="2024-04-27T12:36:00"/>
        <d v="2024-04-27T19:51:00"/>
        <d v="2024-04-28T07:09:00"/>
        <d v="2024-04-29T08:51:00"/>
        <d v="2024-04-29T13:02:00"/>
        <d v="2024-04-29T13:46:00"/>
        <d v="2024-04-29T17:22:00"/>
        <d v="2024-04-30T15:19:00"/>
        <d v="2024-04-30T16:17:00"/>
        <d v="2024-05-01T09:07:00"/>
        <d v="2024-05-01T15:01:00"/>
        <d v="2024-05-01T18:20:00"/>
        <d v="2024-05-01T22:32:00"/>
        <d v="2024-05-02T04:30:00"/>
        <d v="2024-05-02T12:05:00"/>
        <d v="2024-05-03T06:39:00"/>
        <d v="2024-05-03T07:19:00"/>
        <d v="2024-05-03T09:46:00"/>
        <d v="2024-05-04T01:08:00"/>
        <d v="2024-05-04T01:42:00"/>
        <d v="2024-05-04T02:17:00"/>
        <d v="2024-05-04T15:51:00"/>
        <d v="2024-05-04T22:41:00"/>
        <d v="2024-05-05T16:34:00"/>
        <d v="2024-05-05T17:17:00"/>
        <d v="2024-05-05T23:02:00"/>
        <d v="2024-05-07T00:16:00"/>
        <d v="2024-05-07T01:29:00"/>
        <d v="2024-05-07T02:28:00"/>
        <d v="2024-05-07T03:35:00"/>
        <d v="2024-05-07T06:12:00"/>
        <d v="2024-05-07T11:37:00"/>
        <d v="2024-05-07T16:27:00"/>
        <d v="2024-05-08T01:05:00"/>
        <d v="2024-05-08T12:53:00"/>
        <d v="2024-05-08T17:04:00"/>
        <d v="2024-05-10T05:03:00"/>
        <d v="2024-05-10T21:00:00"/>
        <d v="2024-05-11T06:53:00"/>
        <d v="2024-05-12T05:37:00"/>
        <d v="2024-05-12T08:42:00"/>
        <d v="2024-05-13T05:01:00"/>
        <d v="2024-05-13T06:42:00"/>
        <d v="2024-05-13T11:32:00"/>
        <d v="2024-05-13T17:59:00"/>
        <d v="2024-05-13T18:18:00"/>
        <d v="2024-05-13T20:45:00"/>
        <d v="2024-05-14T02:25:00"/>
        <d v="2024-05-14T06:02:00"/>
        <d v="2024-05-14T22:54:00"/>
        <d v="2024-05-15T01:08:00"/>
        <d v="2024-05-16T05:18:00"/>
        <d v="2024-05-17T04:45:00"/>
        <d v="2024-05-17T18:38:00"/>
        <d v="2024-05-17T23:26:00"/>
        <d v="2024-05-18T04:45:00"/>
        <d v="2024-05-18T07:35:00"/>
        <d v="2024-05-19T03:51:00"/>
        <d v="2024-05-19T06:51:00"/>
        <d v="2024-05-19T09:38:00"/>
        <d v="2024-05-19T16:34:00"/>
        <d v="2024-05-21T01:04:00"/>
        <d v="2024-05-21T13:19:00"/>
        <d v="2024-05-21T13:44:00"/>
        <d v="2024-05-23T04:57:00"/>
        <d v="2024-05-23T14:56:00"/>
        <d v="2024-05-23T15:54:00"/>
        <d v="2024-05-24T00:15:00"/>
        <d v="2024-05-24T03:50:00"/>
        <d v="2024-05-24T11:38:00"/>
        <d v="2024-05-24T14:24:00"/>
        <d v="2024-05-25T00:24:00"/>
        <d v="2024-05-25T11:20:00"/>
        <d v="2024-05-25T19:04:00"/>
        <d v="2024-05-25T20:47:00"/>
        <d v="2024-05-26T14:40:00"/>
        <d v="2024-05-26T15:05:00"/>
        <d v="2024-05-27T00:21:00"/>
        <d v="2024-05-27T14:24:00"/>
        <d v="2024-05-27T19:19:00"/>
        <d v="2024-05-27T23:12:00"/>
        <d v="2024-05-28T12:09:00"/>
        <d v="2024-05-28T14:27:00"/>
        <d v="2024-05-28T14:46:00"/>
        <d v="2024-05-29T06:04:00"/>
        <d v="2024-05-29T13:24:00"/>
        <d v="2024-05-29T14:25:00"/>
        <d v="2024-05-29T23:44:00"/>
        <d v="2024-05-30T03:30:00"/>
        <d v="2024-05-30T13:43:00"/>
        <d v="2024-05-31T08:34:00"/>
        <d v="2024-05-31T10:47:00"/>
        <d v="2024-05-31T20:03:00"/>
        <d v="2024-06-01T01:28:00"/>
        <d v="2024-06-01T18:37:00"/>
        <d v="2024-06-01T21:06:00"/>
        <d v="2024-06-02T05:45:00"/>
        <d v="2024-06-02T08:35:00"/>
        <d v="2024-06-02T09:42:00"/>
        <d v="2024-06-02T10:38:00"/>
        <d v="2024-06-02T20:53:00"/>
        <d v="2024-06-03T00:45:00"/>
        <d v="2024-06-03T02:59:00"/>
        <d v="2024-06-03T04:42:00"/>
        <d v="2024-06-03T06:33:00"/>
        <d v="2024-06-04T15:07:00"/>
        <d v="2024-06-05T21:37:00"/>
        <d v="2024-06-06T04:13:00"/>
        <d v="2024-06-06T11:57:00"/>
        <d v="2024-06-06T12:04:00"/>
        <d v="2024-06-06T15:01:00"/>
        <d v="2024-06-07T02:32:00"/>
        <d v="2024-06-07T05:13:00"/>
        <d v="2024-06-07T22:27:00"/>
        <d v="2024-06-07T22:45:00"/>
        <d v="2024-06-08T22:23:00"/>
        <d v="2024-06-10T02:00:00"/>
        <d v="2024-06-10T03:31:00"/>
        <d v="2024-06-10T03:47:00"/>
        <d v="2024-06-10T17:20:00"/>
        <d v="2024-06-10T21:51:00"/>
        <d v="2024-06-10T22:00:00"/>
        <d v="2024-06-11T02:35:00"/>
        <d v="2024-06-11T14:17:00"/>
        <d v="2024-06-11T18:08:00"/>
        <d v="2024-06-12T13:26:00"/>
        <d v="2024-06-12T14:30:00"/>
        <d v="2024-06-12T17:36:00"/>
        <d v="2024-06-12T22:26:00"/>
        <d v="2024-06-13T06:48:00"/>
        <d v="2024-06-13T16:12:00"/>
        <d v="2024-06-14T07:53:00"/>
        <d v="2024-06-15T01:18:00"/>
        <d v="2024-06-15T15:11:00"/>
        <d v="2024-06-15T23:46:00"/>
        <d v="2024-06-16T00:40:00"/>
        <d v="2024-06-16T13:37:00"/>
        <d v="2024-06-16T16:37:00"/>
        <d v="2024-06-17T03:35:00"/>
        <d v="2024-06-18T07:00:00"/>
        <d v="2024-06-18T11:44:00"/>
        <d v="2024-06-19T02:37:00"/>
        <d v="2024-06-19T15:25:00"/>
        <d v="2024-06-20T09:29:00"/>
        <d v="2024-06-22T03:29:00"/>
        <d v="2024-06-22T17:39:00"/>
        <d v="2024-06-23T05:23:00"/>
        <d v="2024-06-23T11:53:00"/>
        <d v="2024-06-23T19:09:00"/>
        <d v="2024-06-24T20:41:00"/>
        <d v="2024-06-25T00:26:00"/>
        <d v="2024-06-25T02:37:00"/>
        <d v="2024-06-25T07:46:00"/>
        <d v="2024-06-25T09:30:00"/>
        <d v="2024-06-26T21:43:00"/>
        <d v="2024-06-28T08:50:00"/>
        <d v="2024-06-28T09:28:00"/>
        <d v="2024-06-28T18:51:00"/>
        <d v="2024-06-28T19:52:00"/>
        <d v="2024-06-29T09:18:00"/>
        <d v="2024-06-29T13:38:00"/>
        <d v="2024-06-29T17:30:00"/>
        <d v="2024-06-29T21:25:00"/>
        <d v="2024-06-30T02:09:00"/>
        <d v="2024-07-01T02:20:00"/>
        <d v="2024-07-01T21:10:00"/>
        <d v="2024-07-02T14:39:00"/>
        <d v="2024-07-02T22:26:00"/>
        <d v="2024-07-03T13:09:00"/>
        <d v="2024-07-02T21:06:00"/>
        <d v="2024-07-04T16:37:00"/>
        <d v="2024-07-04T19:45:00"/>
        <d v="2024-07-05T01:52:00"/>
        <d v="2024-07-05T03:59:00"/>
        <d v="2024-07-05T14:09:00"/>
        <d v="2024-07-06T01:25:00"/>
        <d v="2024-07-06T02:50:00"/>
        <d v="2024-07-06T05:31:00"/>
        <d v="2024-07-06T11:12:00"/>
        <d v="2024-07-06T17:43:00"/>
        <d v="2024-07-07T18:31:00"/>
        <d v="2024-07-07T21:36:00"/>
        <d v="2024-07-08T02:34:00"/>
        <d v="2024-07-08T17:35:00"/>
        <d v="2024-07-09T09:24:00"/>
        <d v="2024-07-09T09:49:00"/>
        <d v="2024-07-10T09:18:00"/>
        <d v="2024-07-10T12:29:00"/>
        <d v="2024-07-10T18:59:00"/>
        <d v="2024-07-11T10:11:00"/>
        <d v="2024-07-11T20:24:00"/>
        <d v="2024-07-12T01:27:00"/>
        <d v="2024-07-12T09:46:00"/>
        <d v="2024-07-13T02:48:00"/>
        <d v="2024-07-13T16:45:00"/>
        <d v="2024-07-13T21:45:00"/>
        <d v="2024-07-14T12:21:00"/>
        <d v="2024-07-14T13:34:00"/>
        <d v="2024-07-14T14:55:00"/>
        <d v="2024-07-15T01:05:00"/>
        <d v="2024-07-16T04:06:00"/>
        <d v="2024-07-16T09:29:00"/>
        <d v="2024-07-17T11:08:00"/>
        <d v="2024-07-17T13:50:00"/>
        <d v="2024-07-17T17:25:00"/>
        <d v="2024-07-18T10:42:00"/>
        <d v="2024-07-18T15:02:00"/>
        <d v="2024-07-18T23:46:00"/>
        <d v="2024-07-19T07:57:00"/>
        <d v="2024-07-19T08:31:00"/>
        <d v="2024-07-19T17:18:00"/>
        <d v="2024-07-20T06:29:00"/>
        <d v="2024-07-20T18:36:00"/>
        <d v="2024-07-21T14:33:00"/>
        <d v="2024-07-22T00:46:00"/>
        <d v="2024-07-22T07:35:00"/>
        <d v="2024-07-22T07:48:00"/>
        <d v="2024-07-22T11:32:00"/>
        <d v="2024-07-22T15:11:00"/>
        <d v="2024-07-22T20:59:00"/>
        <d v="2024-07-24T02:56:00"/>
        <d v="2024-07-24T08:28:00"/>
        <d v="2024-07-24T12:29:00"/>
        <d v="2024-07-25T07:05:00"/>
        <d v="2024-07-25T13:30:00"/>
        <d v="2024-07-26T03:13:00"/>
        <d v="2024-07-26T07:07:00"/>
        <d v="2024-07-26T20:11:00"/>
        <d v="2024-07-28T21:31:00"/>
        <d v="2024-07-29T01:17:00"/>
        <d v="2024-07-29T03:33:00"/>
        <d v="2024-07-30T05:11:00"/>
        <d v="2024-07-30T10:45:00"/>
        <d v="2024-07-30T15:56:00"/>
        <d v="2024-07-31T01:25:00"/>
        <d v="2024-07-31T22:35:00"/>
        <d v="2024-08-01T02:15:00"/>
        <d v="2024-08-01T07:36:00"/>
        <d v="2024-08-01T14:58:00"/>
        <d v="2024-08-02T00:35:00"/>
        <d v="2024-08-02T05:26:00"/>
        <d v="2024-08-02T05:48:00"/>
        <d v="2024-08-02T06:41:00"/>
        <d v="2024-08-02T12:24:00"/>
        <d v="2024-08-02T12:56:00"/>
        <d v="2024-08-02T19:08:00"/>
        <d v="2024-08-03T08:53:00"/>
        <d v="2024-08-03T11:55:00"/>
        <d v="2024-08-04T00:33:00"/>
        <d v="2024-08-04T12:54:00"/>
        <d v="2024-08-04T13:29:00"/>
        <d v="2024-08-04T22:25:00"/>
        <d v="2024-08-05T03:34:00"/>
        <d v="2024-08-06T02:18:00"/>
        <d v="2024-08-06T12:49:00"/>
        <d v="2024-08-06T19:54:00"/>
        <d v="2024-08-07T06:54:00"/>
        <d v="2024-08-07T17:49:00"/>
        <d v="2024-08-07T20:05:00"/>
        <d v="2024-08-08T04:19:00"/>
        <d v="2024-08-08T14:56:00"/>
        <d v="2024-08-08T20:10:00"/>
        <d v="2024-08-09T05:43:00"/>
        <d v="2024-08-09T10:01:00"/>
        <d v="2024-08-09T11:40:00"/>
        <d v="2024-08-09T19:58:00"/>
        <d v="2024-08-10T18:50:00"/>
        <d v="2024-08-10T20:27:00"/>
        <d v="2024-08-10T21:08:00"/>
        <d v="2024-08-11T12:54:00"/>
        <d v="2024-08-11T20:54:00"/>
        <d v="2024-08-12T22:31:00"/>
        <d v="2024-08-13T02:45:00"/>
        <d v="2024-08-13T05:14:00"/>
        <d v="2024-08-13T10:11:00"/>
        <d v="2024-08-13T11:46:00"/>
        <d v="2024-08-14T09:10:00"/>
        <d v="2024-08-14T09:23:00"/>
        <d v="2024-08-14T13:17:00"/>
        <d v="2024-08-14T19:52:00"/>
        <d v="2024-08-16T00:57:00"/>
        <d v="2024-08-16T01:46:00"/>
        <d v="2024-08-16T05:11:00"/>
        <d v="2024-08-16T11:25:00"/>
        <d v="2024-08-17T19:30:00"/>
        <d v="2024-08-18T08:48:00"/>
        <d v="2024-08-18T12:22:00"/>
        <d v="2024-08-18T14:19:00"/>
        <d v="2024-08-18T14:42:00"/>
        <d v="2024-08-18T16:09:00"/>
        <d v="2024-08-18T18:27:00"/>
        <d v="2024-08-19T15:15:00"/>
        <d v="2024-08-20T00:46:00"/>
        <d v="2024-08-20T02:44:00"/>
        <d v="2024-08-20T10:15:00"/>
        <d v="2024-08-20T15:01:00"/>
        <d v="2024-08-20T16:38:00"/>
        <d v="2024-08-20T19:38:00"/>
        <d v="2024-08-20T20:17:00"/>
        <d v="2024-08-20T21:31:00"/>
        <d v="2024-08-21T00:27:00"/>
        <d v="2024-08-21T13:56:00"/>
        <d v="2024-08-21T19:10:00"/>
        <d v="2024-08-21T23:37:00"/>
        <d v="2024-08-22T02:05:00"/>
        <d v="2024-08-22T03:06:00"/>
        <d v="2024-08-22T09:36:00"/>
        <d v="2024-08-22T15:07:00"/>
        <d v="2024-08-22T15:54:00"/>
        <d v="2024-08-22T19:11:00"/>
        <d v="2024-08-22T21:29:00"/>
        <d v="2024-08-23T01:02:00"/>
        <d v="2024-08-23T11:09:00"/>
        <d v="2024-08-24T03:51:00"/>
        <d v="2024-08-24T12:17:00"/>
        <d v="2024-08-24T14:02:00"/>
        <d v="2024-08-24T18:35:00"/>
        <d v="2024-08-24T22:13:00"/>
        <d v="2024-08-25T01:06:00"/>
        <d v="2024-08-26T09:10:00"/>
        <d v="2024-08-27T08:55:00"/>
        <d v="2024-08-28T03:58:00"/>
        <d v="2024-08-28T22:34:00"/>
        <d v="2024-08-29T00:55:00"/>
        <d v="2024-08-29T01:18:00"/>
        <d v="2024-08-29T03:43:00"/>
        <d v="2024-08-29T06:32:00"/>
        <d v="2024-08-29T16:22:00"/>
        <d v="2024-08-29T20:47:00"/>
        <d v="2024-08-30T03:31:00"/>
        <d v="2024-08-30T13:01:00"/>
        <d v="2024-08-30T22:09:00"/>
        <d v="2024-08-31T21:38:00"/>
        <d v="2024-09-01T02:14:00"/>
        <d v="2024-09-02T14:28:00"/>
        <d v="2024-09-02T17:50:00"/>
        <d v="2024-09-04T03:15:00"/>
        <d v="2024-09-04T15:15:00"/>
        <d v="2024-09-05T17:27:00"/>
        <d v="2024-09-06T10:37:00"/>
        <d v="2024-09-06T10:40:00"/>
        <d v="2024-09-06T21:27:00"/>
        <d v="2024-09-07T11:48:00"/>
        <d v="2024-09-07T23:41:00"/>
        <d v="2024-09-08T02:36:00"/>
        <d v="2024-09-08T10:15:00"/>
        <d v="2024-09-08T10:38:00"/>
        <d v="2024-09-08T17:23:00"/>
        <d v="2024-09-09T09:15:00"/>
        <d v="2024-09-09T17:47:00"/>
        <d v="2024-09-10T11:45:00"/>
        <d v="2024-09-10T12:08:00"/>
        <d v="2024-09-10T13:49:00"/>
        <d v="2024-09-10T17:32:00"/>
        <d v="2024-09-10T20:42:00"/>
        <d v="2024-09-11T04:21:00"/>
        <d v="2024-09-11T14:32:00"/>
        <d v="2024-09-11T16:51:00"/>
        <d v="2024-09-11T20:54:00"/>
        <d v="2024-09-12T13:56:00"/>
        <d v="2024-09-12T16:24:00"/>
        <d v="2024-09-12T17:53:00"/>
        <d v="2024-09-12T21:01:00"/>
        <d v="2024-09-12T23:55:00"/>
        <d v="2024-09-13T04:03:00"/>
        <d v="2024-09-14T09:14:00"/>
        <d v="2024-09-14T19:30:00"/>
        <d v="2024-09-15T18:04:00"/>
        <d v="2024-09-16T08:08:00"/>
        <d v="2024-09-18T13:26:00"/>
        <d v="2024-09-20T06:49:00"/>
        <d v="2024-09-20T10:05:00"/>
        <d v="2024-09-20T13:17:00"/>
        <d v="2024-09-20T17:06:00"/>
        <d v="2024-09-21T05:35:00"/>
        <d v="2024-09-21T06:05:00"/>
        <d v="2024-09-21T10:27:00"/>
        <d v="2024-09-21T11:52:00"/>
        <d v="2024-09-21T12:22:00"/>
        <d v="2024-09-21T14:07:00"/>
        <d v="2024-09-22T04:19:00"/>
        <d v="2024-09-22T09:54:00"/>
        <d v="2024-09-22T14:09:00"/>
        <d v="2024-09-22T21:28:00"/>
        <d v="2024-09-23T00:24:00"/>
        <d v="2024-09-23T09:36:00"/>
        <d v="2024-09-23T10:48:00"/>
        <d v="2024-09-23T17:43:00"/>
        <d v="2024-09-24T21:53:00"/>
        <d v="2024-09-25T02:06:00"/>
        <d v="2024-09-25T09:49:00"/>
        <d v="2024-09-25T20:40:00"/>
        <d v="2024-09-26T07:11:00"/>
        <d v="2024-09-26T08:29:00"/>
        <d v="2024-09-26T14:00:00"/>
        <d v="2024-09-26T14:33:00"/>
        <d v="2024-09-26T19:44:00"/>
        <d v="2024-09-27T19:58:00"/>
        <d v="2024-09-28T04:24:00"/>
        <d v="2024-09-28T11:25:00"/>
        <d v="2024-09-28T16:58:00"/>
        <d v="2024-09-29T10:49:00"/>
        <d v="2024-09-30T00:30:00"/>
        <d v="2024-09-30T07:54:00"/>
        <d v="2024-09-30T10:05:00"/>
        <d v="2024-09-30T12:13:00"/>
        <d v="2024-09-30T23:03:00"/>
        <d v="2024-10-01T00:54:00"/>
        <d v="2024-10-01T03:59:00"/>
        <d v="2024-10-01T05:23:00"/>
        <d v="2024-10-01T09:01:00"/>
        <d v="2024-10-02T06:13:00"/>
        <d v="2024-10-02T18:16:00"/>
        <d v="2024-10-03T01:32:00"/>
        <d v="2024-10-03T14:03:00"/>
        <d v="2024-10-03T16:14:00"/>
        <d v="2024-10-04T01:22:00"/>
        <d v="2024-10-04T01:39:00"/>
        <d v="2024-10-04T01:48:00"/>
        <d v="2024-10-04T04:13:00"/>
        <d v="2024-10-04T14:26:00"/>
        <d v="2024-10-05T15:16:00"/>
        <d v="2024-10-05T18:42:00"/>
        <d v="2024-10-05T20:22:00"/>
        <d v="2024-10-05T22:19:00"/>
        <d v="2024-10-06T01:53:00"/>
        <d v="2024-10-06T16:21:00"/>
        <d v="2024-10-06T19:57:00"/>
        <d v="2024-10-07T14:08:00"/>
        <d v="2024-10-07T18:08:00"/>
        <d v="2024-10-08T01:29:00"/>
        <d v="2024-10-08T09:46:00"/>
        <d v="2024-10-08T12:32:00"/>
        <d v="2024-10-08T14:41:00"/>
        <d v="2024-10-09T00:35:00"/>
        <d v="2024-10-09T17:24:00"/>
        <d v="2024-10-09T20:37:00"/>
        <d v="2024-10-10T03:45:00"/>
        <d v="2024-10-10T05:30:00"/>
        <d v="2024-10-10T13:53:00"/>
        <d v="2024-10-11T05:31:00"/>
        <d v="2024-10-11T20:04:00"/>
        <d v="2024-10-12T23:56:00"/>
        <d v="2024-10-13T01:37:00"/>
        <d v="2024-10-13T09:34:00"/>
        <d v="2024-10-13T13:39:00"/>
        <d v="2024-10-14T06:45:00"/>
        <d v="2024-10-14T20:00:00"/>
        <d v="2024-10-14T22:49:00"/>
        <d v="2024-10-15T03:50:00"/>
        <d v="2024-10-15T06:53:00"/>
        <d v="2024-10-15T17:13:00"/>
        <d v="2024-10-15T20:01:00"/>
        <d v="2024-10-16T06:04:00"/>
        <d v="2024-10-16T13:55:00"/>
        <d v="2024-10-16T21:50:00"/>
        <d v="2024-10-16T23:58:00"/>
        <d v="2024-10-17T01:11:00"/>
        <d v="2024-10-17T15:45:00"/>
        <d v="2024-10-17T17:59:00"/>
        <d v="2024-10-18T21:28:00"/>
        <d v="2024-10-19T12:20:00"/>
        <d v="2024-10-19T19:24:00"/>
        <d v="2024-10-19T19:34:00"/>
        <d v="2024-10-20T04:03:00"/>
        <d v="2024-10-20T12:51:00"/>
        <d v="2024-10-20T17:09:00"/>
        <d v="2024-10-21T02:07:00"/>
        <d v="2024-10-21T12:30:00"/>
        <d v="2024-10-21T13:36:00"/>
        <d v="2024-10-21T21:58:00"/>
        <d v="2024-10-22T01:48:00"/>
        <d v="2024-10-22T06:45:00"/>
        <d v="2024-10-22T12:05:00"/>
        <d v="2024-10-22T17:54:00"/>
        <d v="2024-10-22T23:20:00"/>
        <d v="2024-10-22T23:53:00"/>
        <d v="2024-10-23T02:02:00"/>
        <d v="2024-10-23T10:26:00"/>
        <d v="2024-10-23T19:02:00"/>
        <d v="2024-10-23T19:41:00"/>
        <d v="2024-10-24T08:02:00"/>
        <d v="2024-10-24T22:13:00"/>
        <d v="2024-10-25T09:50:00"/>
        <d v="2024-10-25T11:03:00"/>
        <d v="2024-10-25T23:36:00"/>
        <d v="2024-10-26T01:44:00"/>
        <d v="2024-10-26T02:49:00"/>
        <d v="2024-10-26T03:00:00"/>
        <d v="2024-10-26T13:40:00"/>
        <d v="2024-10-26T13:57:00"/>
        <d v="2024-10-26T15:03:00"/>
        <d v="2024-10-27T09:40:00"/>
        <d v="2024-10-27T17:35:00"/>
        <d v="2024-10-28T07:00:00"/>
        <d v="2024-10-28T12:33:00"/>
        <d v="2024-10-28T16:38:00"/>
        <d v="2024-10-29T13:02:00"/>
        <d v="2024-10-29T15:53:00"/>
        <d v="2024-10-29T23:09:00"/>
        <d v="2024-10-30T10:17:00"/>
        <d v="2024-10-31T19:12:00"/>
        <d v="2024-10-31T22:05:00"/>
        <d v="2024-11-01T05:45:00"/>
        <d v="2024-11-01T07:14:00"/>
        <d v="2024-11-02T10:31:00"/>
        <d v="2024-11-03T03:49:00"/>
        <d v="2024-11-03T12:42:00"/>
        <d v="2024-11-04T16:25:00"/>
        <d v="2024-11-04T22:42:00"/>
        <d v="2024-11-05T04:43:00"/>
        <d v="2024-11-05T08:01:00"/>
        <d v="2024-11-05T20:25:00"/>
        <d v="2024-11-06T06:29:00"/>
        <d v="2024-11-06T16:07:00"/>
        <d v="2024-11-07T22:48:00"/>
        <d v="2024-11-08T09:48:00"/>
        <d v="2024-11-08T21:24:00"/>
        <d v="2024-11-09T02:04:00"/>
        <d v="2024-11-09T05:24:00"/>
        <d v="2024-11-09T08:11:00"/>
        <d v="2024-11-09T09:44:00"/>
        <d v="2024-11-10T07:14:00"/>
        <d v="2024-11-10T20:06:00"/>
        <d v="2024-11-11T11:19:00"/>
        <d v="2024-11-11T13:26:00"/>
        <d v="2024-11-11T17:49:00"/>
        <d v="2024-11-11T18:19:00"/>
        <d v="2024-11-12T19:43:00"/>
        <d v="2024-11-13T07:35:00"/>
        <d v="2024-11-13T10:31:00"/>
        <d v="2024-11-13T12:51:00"/>
        <d v="2024-11-13T14:53:00"/>
        <d v="2024-11-14T15:40:00"/>
        <d v="2024-11-14T19:06:00"/>
        <d v="2024-11-14T19:44:00"/>
        <d v="2024-11-15T08:21:00"/>
        <d v="2024-11-15T22:25:00"/>
        <d v="2024-11-16T02:13:00"/>
        <d v="2024-11-16T05:07:00"/>
        <d v="2024-11-16T10:24:00"/>
        <d v="2024-11-16T19:53:00"/>
        <d v="2024-11-16T21:27:00"/>
        <d v="2024-11-17T16:22:00"/>
        <d v="2024-11-17T20:02:00"/>
        <d v="2024-11-18T14:50:00"/>
        <d v="2024-11-19T09:50:00"/>
        <d v="2024-11-19T10:56:00"/>
        <d v="2024-11-20T07:43:00"/>
        <d v="2024-11-21T13:28:00"/>
        <d v="2024-11-22T09:05:00"/>
        <d v="2024-11-22T17:51:00"/>
        <d v="2024-11-23T00:31:00"/>
        <d v="2024-11-23T03:01:00"/>
        <d v="2024-11-23T06:44:00"/>
        <d v="2024-11-23T08:49:00"/>
        <d v="2024-11-23T10:38:00"/>
        <d v="2024-11-23T16:38:00"/>
        <d v="2024-11-24T10:07:00"/>
        <d v="2024-11-24T16:25:00"/>
        <d v="2024-11-25T05:53:00"/>
        <d v="2024-11-25T20:39:00"/>
        <d v="2024-11-26T04:15:00"/>
        <d v="2024-11-26T22:31:00"/>
        <d v="2024-11-27T02:40:00"/>
        <d v="2024-11-27T07:43:00"/>
        <d v="2024-11-27T17:24:00"/>
        <d v="2024-11-27T20:09:00"/>
        <d v="2024-11-27T21:45:00"/>
        <d v="2024-11-28T10:06:00"/>
        <d v="2024-11-28T10:11:00"/>
        <d v="2024-11-29T06:20:00"/>
        <d v="2024-11-29T18:14:00"/>
        <d v="2024-11-29T18:16:00"/>
        <d v="2024-11-29T21:14:00"/>
        <d v="2024-11-30T00:03:00"/>
        <d v="2024-11-30T11:02:00"/>
        <d v="2024-11-30T11:07:00"/>
        <d v="2024-11-30T15:30:00"/>
        <d v="2024-12-01T02:11:00"/>
        <d v="2024-12-01T02:14:00"/>
        <d v="2024-12-01T03:53:00"/>
        <d v="2024-12-01T11:16:00"/>
        <d v="2024-12-01T15:29:00"/>
        <d v="2024-12-01T15:36:00"/>
        <d v="2024-12-01T18:25:00"/>
        <d v="2024-12-01T22:00:00"/>
        <d v="2024-12-02T11:45:00"/>
        <d v="2024-12-03T03:47:00"/>
        <d v="2024-12-03T12:17:00"/>
        <d v="2024-12-03T15:01:00"/>
        <d v="2024-12-03T16:19:00"/>
        <d v="2024-12-04T00:08:00"/>
        <d v="2024-12-04T06:19:00"/>
        <d v="2024-12-04T08:05:00"/>
        <d v="2024-12-04T09:19:00"/>
        <d v="2024-12-04T10:56:00"/>
        <d v="2024-12-04T11:04:00"/>
        <d v="2024-12-04T15:31:00"/>
        <d v="2024-12-05T01:44:00"/>
        <d v="2024-12-05T03:46:00"/>
        <d v="2024-12-05T03:56:00"/>
        <d v="2024-12-06T10:22:00"/>
        <d v="2024-12-06T21:05:00"/>
        <d v="2024-12-07T15:08:00"/>
        <d v="2024-12-08T06:33:00"/>
        <d v="2024-12-08T10:33:00"/>
        <d v="2024-12-09T03:54:00"/>
        <d v="2024-12-09T20:25:00"/>
        <d v="2024-12-09T21:56:00"/>
        <d v="2024-12-09T22:53:00"/>
        <d v="2024-12-09T23:44:00"/>
        <d v="2024-12-10T03:27:00"/>
        <d v="2024-12-10T04:45:00"/>
        <d v="2024-12-10T20:47:00"/>
        <d v="2024-12-10T23:25:00"/>
        <d v="2024-12-10T23:43:00"/>
        <d v="2024-12-11T01:23:00"/>
        <d v="2024-12-11T07:30:00"/>
        <d v="2024-12-11T15:30:00"/>
        <d v="2024-12-12T12:31:00"/>
        <d v="2024-12-12T16:25:00"/>
        <d v="2024-12-12T17:21:00"/>
        <d v="2024-12-12T21:31:00"/>
        <d v="2024-12-12T22:11:00"/>
        <d v="2024-12-13T17:07:00"/>
        <d v="2024-12-13T21:37:00"/>
        <d v="2024-12-14T07:02:00"/>
        <d v="2024-12-14T12:48:00"/>
        <d v="2024-12-14T23:07:00"/>
        <d v="2024-12-15T06:31:00"/>
        <d v="2024-12-15T07:31:00"/>
        <d v="2024-12-15T13:12:00"/>
        <d v="2024-12-16T02:39:00"/>
        <d v="2024-12-16T11:09:00"/>
        <d v="2024-12-16T15:31:00"/>
        <d v="2024-12-16T17:36:00"/>
        <d v="2024-12-16T23:57:00"/>
        <d v="2024-12-17T03:31:00"/>
        <d v="2024-12-17T04:01:00"/>
        <d v="2024-12-17T06:45:00"/>
        <d v="2024-12-17T17:40:00"/>
        <d v="2024-12-17T19:55:00"/>
        <d v="2024-12-19T00:54:00"/>
        <d v="2024-12-19T10:33:00"/>
        <d v="2024-12-19T11:13:00"/>
        <d v="2024-12-19T16:57:00"/>
        <d v="2024-12-19T21:44:00"/>
        <d v="2024-12-20T19:51:00"/>
        <d v="2024-12-21T08:21:00"/>
        <d v="2024-12-21T18:09:00"/>
        <d v="2024-12-21T22:42:00"/>
        <d v="2024-12-22T04:48:00"/>
        <d v="2024-12-22T09:35:00"/>
        <d v="2024-12-22T09:54:00"/>
        <d v="2024-12-22T19:59:00"/>
        <d v="2024-12-23T04:40:00"/>
        <d v="2024-12-23T11:56:00"/>
        <d v="2024-12-23T18:11:00"/>
        <d v="2024-12-24T08:15:00"/>
        <d v="2024-12-25T21:41:00"/>
        <d v="2024-12-26T06:44:00"/>
        <d v="2024-12-26T09:18:00"/>
        <d v="2024-12-26T12:11:00"/>
        <d v="2024-12-26T14:54:00"/>
        <d v="2024-12-27T04:33:00"/>
        <d v="2024-12-27T09:44:00"/>
        <d v="2024-12-27T14:27:00"/>
        <d v="2024-12-28T03:05:00"/>
        <d v="2024-12-28T04:00:00"/>
        <d v="2024-12-28T09:12:00"/>
        <d v="2024-12-28T18:19:00"/>
        <d v="2024-12-28T21:40:00"/>
        <d v="2024-12-29T01:17:00"/>
        <d v="2024-12-29T09:01:00"/>
        <d v="2024-12-30T12:59:00"/>
        <d v="2024-12-30T14:08:00"/>
        <d v="2024-12-30T17:18:00"/>
        <d v="2024-12-30T23:59:00"/>
      </sharedItems>
    </cacheField>
    <cacheField name="GEO" numFmtId="0">
      <sharedItems count="10">
        <s v="SE"/>
        <s v="NO"/>
        <s v="ES"/>
        <s v="FR"/>
        <s v="GB"/>
        <s v="PL"/>
        <s v="NL"/>
        <s v="IT"/>
        <s v="CY"/>
        <s v="DE"/>
      </sharedItems>
    </cacheField>
    <cacheField name="Currency" numFmtId="0">
      <sharedItems/>
    </cacheField>
    <cacheField name="PSP Provider" numFmtId="0">
      <sharedItems count="5">
        <s v="Worldpay"/>
        <s v="Stripe"/>
        <s v="Checkout.com"/>
        <s v="PaySafe"/>
        <s v="Adyen"/>
      </sharedItems>
    </cacheField>
    <cacheField name="Payment Method" numFmtId="0">
      <sharedItems count="5">
        <s v="Bank Transfer"/>
        <s v="E-Wallet"/>
        <s v="Debit Card"/>
        <s v="Credit Card"/>
        <s v="Crypto"/>
      </sharedItems>
    </cacheField>
    <cacheField name="Amount" numFmtId="4">
      <sharedItems containsSemiMixedTypes="0" containsString="0" containsNumber="1" minValue="26.5" maxValue="4996.3100000000004"/>
    </cacheField>
    <cacheField name="Status" numFmtId="0">
      <sharedItems count="3">
        <s v="Pending"/>
        <s v="Success"/>
        <s v="Failed"/>
      </sharedItems>
    </cacheField>
    <cacheField name="Decline Reason" numFmtId="0">
      <sharedItems containsBlank="1" count="6">
        <m/>
        <s v="Card Declined"/>
        <s v="Technical Error"/>
        <s v="Fraud Suspected"/>
        <s v="Insufficient Funds"/>
        <s v="Expired Card"/>
      </sharedItems>
    </cacheField>
    <cacheField name="Fee %" numFmtId="0">
      <sharedItems containsSemiMixedTypes="0" containsString="0" containsNumber="1" minValue="1.9" maxValue="3.2"/>
    </cacheField>
    <cacheField name="Exchange Rate to EUR" numFmtId="0">
      <sharedItems containsSemiMixedTypes="0" containsString="0" containsNumber="1" minValue="8.5999999999999993E-2" maxValue="1.1801999999999999"/>
    </cacheField>
    <cacheField name="Fee Amount EUR" numFmtId="4">
      <sharedItems containsSemiMixedTypes="0" containsString="0" containsNumber="1" minValue="0" maxValue="163.51419000000001"/>
    </cacheField>
    <cacheField name="Net Amount EUR" numFmtId="4">
      <sharedItems containsSemiMixedTypes="0" containsString="0" containsNumber="1" minValue="0" maxValue="5609.9120700000003"/>
    </cacheField>
    <cacheField name="Gross Amount EUR" numFmtId="4">
      <sharedItems containsSemiMixedTypes="0" containsString="0" containsNumber="1" minValue="0" maxValue="5730.2468400000007"/>
    </cacheField>
    <cacheField name="Month Name" numFmtId="0">
      <sharedItems count="12">
        <s v="January"/>
        <s v="February"/>
        <s v="March"/>
        <s v="April"/>
        <s v="May"/>
        <s v="June"/>
        <s v="July"/>
        <s v="August"/>
        <s v="September"/>
        <s v="October"/>
        <s v="November"/>
        <s v="December"/>
      </sharedItems>
    </cacheField>
  </cacheFields>
  <extLst>
    <ext xmlns:x14="http://schemas.microsoft.com/office/spreadsheetml/2009/9/main" uri="{725AE2AE-9491-48be-B2B4-4EB974FC3084}">
      <x14:pivotCacheDefinition pivotCacheId="5712528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XN00108"/>
    <x v="0"/>
    <x v="0"/>
    <s v="SEK"/>
    <x v="0"/>
    <x v="0"/>
    <n v="280.48"/>
    <x v="0"/>
    <x v="0"/>
    <n v="2.5"/>
    <n v="8.7400000000000005E-2"/>
    <n v="0"/>
    <n v="0"/>
    <n v="0"/>
    <x v="0"/>
  </r>
  <r>
    <s v="TXN00929"/>
    <x v="1"/>
    <x v="1"/>
    <s v="NOK"/>
    <x v="0"/>
    <x v="1"/>
    <n v="4887.84"/>
    <x v="1"/>
    <x v="0"/>
    <n v="2.5"/>
    <n v="8.5999999999999993E-2"/>
    <n v="10.833030000000001"/>
    <n v="422.47398600000008"/>
    <n v="433.30701600000009"/>
    <x v="0"/>
  </r>
  <r>
    <s v="TXN00542"/>
    <x v="2"/>
    <x v="2"/>
    <s v="EUR"/>
    <x v="0"/>
    <x v="1"/>
    <n v="4202.1499999999996"/>
    <x v="1"/>
    <x v="0"/>
    <n v="2.5"/>
    <n v="1"/>
    <n v="105.05"/>
    <n v="4097.1000000000004"/>
    <n v="4202.1500000000005"/>
    <x v="0"/>
  </r>
  <r>
    <s v="TXN00520"/>
    <x v="3"/>
    <x v="3"/>
    <s v="EUR"/>
    <x v="1"/>
    <x v="2"/>
    <n v="4643.8500000000004"/>
    <x v="0"/>
    <x v="0"/>
    <n v="2.9"/>
    <n v="1"/>
    <n v="0"/>
    <n v="0"/>
    <n v="0"/>
    <x v="0"/>
  </r>
  <r>
    <s v="TXN00794"/>
    <x v="4"/>
    <x v="4"/>
    <s v="GBP"/>
    <x v="2"/>
    <x v="1"/>
    <n v="2086.9499999999998"/>
    <x v="2"/>
    <x v="1"/>
    <n v="1.9"/>
    <n v="1.1801999999999999"/>
    <n v="0"/>
    <n v="0"/>
    <n v="0"/>
    <x v="0"/>
  </r>
  <r>
    <s v="TXN00712"/>
    <x v="5"/>
    <x v="5"/>
    <s v="PLN"/>
    <x v="3"/>
    <x v="0"/>
    <n v="3624.74"/>
    <x v="0"/>
    <x v="0"/>
    <n v="3.2"/>
    <n v="0.23269999999999999"/>
    <n v="0"/>
    <n v="0"/>
    <n v="0"/>
    <x v="0"/>
  </r>
  <r>
    <s v="TXN00652"/>
    <x v="6"/>
    <x v="2"/>
    <s v="EUR"/>
    <x v="3"/>
    <x v="3"/>
    <n v="3859.9"/>
    <x v="1"/>
    <x v="0"/>
    <n v="3.2"/>
    <n v="1"/>
    <n v="123.52"/>
    <n v="3736.38"/>
    <n v="3859.9"/>
    <x v="0"/>
  </r>
  <r>
    <s v="TXN00600"/>
    <x v="7"/>
    <x v="6"/>
    <s v="EUR"/>
    <x v="4"/>
    <x v="4"/>
    <n v="2674.57"/>
    <x v="1"/>
    <x v="0"/>
    <n v="2.1"/>
    <n v="1"/>
    <n v="56.17"/>
    <n v="2618.4"/>
    <n v="2674.57"/>
    <x v="0"/>
  </r>
  <r>
    <s v="TXN00388"/>
    <x v="8"/>
    <x v="7"/>
    <s v="EUR"/>
    <x v="2"/>
    <x v="1"/>
    <n v="3700.48"/>
    <x v="1"/>
    <x v="0"/>
    <n v="1.9"/>
    <n v="1"/>
    <n v="70.31"/>
    <n v="3630.17"/>
    <n v="3700.48"/>
    <x v="0"/>
  </r>
  <r>
    <s v="TXN00617"/>
    <x v="9"/>
    <x v="7"/>
    <s v="EUR"/>
    <x v="2"/>
    <x v="2"/>
    <n v="3985.87"/>
    <x v="0"/>
    <x v="0"/>
    <n v="1.9"/>
    <n v="1"/>
    <n v="0"/>
    <n v="0"/>
    <n v="0"/>
    <x v="0"/>
  </r>
  <r>
    <s v="TXN00494"/>
    <x v="10"/>
    <x v="3"/>
    <s v="EUR"/>
    <x v="2"/>
    <x v="0"/>
    <n v="4260.84"/>
    <x v="1"/>
    <x v="0"/>
    <n v="1.9"/>
    <n v="1"/>
    <n v="80.959999999999994"/>
    <n v="4179.88"/>
    <n v="4260.84"/>
    <x v="0"/>
  </r>
  <r>
    <s v="TXN00643"/>
    <x v="11"/>
    <x v="6"/>
    <s v="EUR"/>
    <x v="1"/>
    <x v="0"/>
    <n v="4007.09"/>
    <x v="1"/>
    <x v="0"/>
    <n v="2.9"/>
    <n v="1"/>
    <n v="116.21"/>
    <n v="3890.88"/>
    <n v="4007.09"/>
    <x v="0"/>
  </r>
  <r>
    <s v="TXN00630"/>
    <x v="12"/>
    <x v="7"/>
    <s v="EUR"/>
    <x v="2"/>
    <x v="3"/>
    <n v="1985.08"/>
    <x v="1"/>
    <x v="0"/>
    <n v="1.9"/>
    <n v="1"/>
    <n v="37.72"/>
    <n v="1947.36"/>
    <n v="1985.08"/>
    <x v="0"/>
  </r>
  <r>
    <s v="TXN00292"/>
    <x v="13"/>
    <x v="2"/>
    <s v="EUR"/>
    <x v="1"/>
    <x v="0"/>
    <n v="4573.0600000000004"/>
    <x v="0"/>
    <x v="0"/>
    <n v="2.9"/>
    <n v="1"/>
    <n v="0"/>
    <n v="0"/>
    <n v="0"/>
    <x v="0"/>
  </r>
  <r>
    <s v="TXN00726"/>
    <x v="14"/>
    <x v="0"/>
    <s v="SEK"/>
    <x v="1"/>
    <x v="2"/>
    <n v="2717.22"/>
    <x v="0"/>
    <x v="0"/>
    <n v="2.9"/>
    <n v="8.7400000000000005E-2"/>
    <n v="0"/>
    <n v="0"/>
    <n v="0"/>
    <x v="0"/>
  </r>
  <r>
    <s v="TXN00265"/>
    <x v="15"/>
    <x v="7"/>
    <s v="EUR"/>
    <x v="2"/>
    <x v="2"/>
    <n v="885.72"/>
    <x v="2"/>
    <x v="2"/>
    <n v="1.9"/>
    <n v="1"/>
    <n v="0"/>
    <n v="0"/>
    <n v="0"/>
    <x v="0"/>
  </r>
  <r>
    <s v="TXN00282"/>
    <x v="16"/>
    <x v="4"/>
    <s v="GBP"/>
    <x v="1"/>
    <x v="4"/>
    <n v="177.55"/>
    <x v="0"/>
    <x v="0"/>
    <n v="2.9"/>
    <n v="1.1801999999999999"/>
    <n v="0"/>
    <n v="0"/>
    <n v="0"/>
    <x v="0"/>
  </r>
  <r>
    <s v="TXN00860"/>
    <x v="17"/>
    <x v="8"/>
    <s v="EUR"/>
    <x v="1"/>
    <x v="2"/>
    <n v="548.01"/>
    <x v="0"/>
    <x v="0"/>
    <n v="2.9"/>
    <n v="1"/>
    <n v="0"/>
    <n v="0"/>
    <n v="0"/>
    <x v="0"/>
  </r>
  <r>
    <s v="TXN00545"/>
    <x v="18"/>
    <x v="9"/>
    <s v="EUR"/>
    <x v="2"/>
    <x v="4"/>
    <n v="2031.62"/>
    <x v="0"/>
    <x v="0"/>
    <n v="1.9"/>
    <n v="1"/>
    <n v="0"/>
    <n v="0"/>
    <n v="0"/>
    <x v="0"/>
  </r>
  <r>
    <s v="TXN00896"/>
    <x v="19"/>
    <x v="0"/>
    <s v="SEK"/>
    <x v="4"/>
    <x v="4"/>
    <n v="2501.0300000000002"/>
    <x v="2"/>
    <x v="3"/>
    <n v="2.1"/>
    <n v="8.7400000000000005E-2"/>
    <n v="0"/>
    <n v="0"/>
    <n v="0"/>
    <x v="0"/>
  </r>
  <r>
    <s v="TXN00920"/>
    <x v="20"/>
    <x v="0"/>
    <s v="SEK"/>
    <x v="2"/>
    <x v="2"/>
    <n v="4535.16"/>
    <x v="2"/>
    <x v="1"/>
    <n v="1.9"/>
    <n v="8.7400000000000005E-2"/>
    <n v="0"/>
    <n v="0"/>
    <n v="0"/>
    <x v="0"/>
  </r>
  <r>
    <s v="TXN00426"/>
    <x v="21"/>
    <x v="4"/>
    <s v="GBP"/>
    <x v="1"/>
    <x v="1"/>
    <n v="858.82"/>
    <x v="2"/>
    <x v="1"/>
    <n v="2.9"/>
    <n v="1.1801999999999999"/>
    <n v="0"/>
    <n v="0"/>
    <n v="0"/>
    <x v="0"/>
  </r>
  <r>
    <s v="TXN00634"/>
    <x v="22"/>
    <x v="5"/>
    <s v="PLN"/>
    <x v="4"/>
    <x v="1"/>
    <n v="4494.33"/>
    <x v="2"/>
    <x v="2"/>
    <n v="2.1"/>
    <n v="0.23269999999999999"/>
    <n v="0"/>
    <n v="0"/>
    <n v="0"/>
    <x v="0"/>
  </r>
  <r>
    <s v="TXN00280"/>
    <x v="23"/>
    <x v="0"/>
    <s v="SEK"/>
    <x v="0"/>
    <x v="4"/>
    <n v="1902.59"/>
    <x v="1"/>
    <x v="0"/>
    <n v="2.5"/>
    <n v="8.7400000000000005E-2"/>
    <n v="4.4097632000000004"/>
    <n v="171.99838159999999"/>
    <n v="176.4081448"/>
    <x v="0"/>
  </r>
  <r>
    <s v="TXN00724"/>
    <x v="24"/>
    <x v="7"/>
    <s v="EUR"/>
    <x v="4"/>
    <x v="1"/>
    <n v="1010.77"/>
    <x v="1"/>
    <x v="0"/>
    <n v="2.1"/>
    <n v="1"/>
    <n v="21.23"/>
    <n v="989.54"/>
    <n v="1010.77"/>
    <x v="0"/>
  </r>
  <r>
    <s v="TXN00047"/>
    <x v="25"/>
    <x v="5"/>
    <s v="PLN"/>
    <x v="0"/>
    <x v="2"/>
    <n v="1341.36"/>
    <x v="1"/>
    <x v="0"/>
    <n v="2.5"/>
    <n v="0.23269999999999999"/>
    <n v="7.8057840000000001"/>
    <n v="304.46282400000001"/>
    <n v="312.26860800000003"/>
    <x v="0"/>
  </r>
  <r>
    <s v="TXN00526"/>
    <x v="26"/>
    <x v="5"/>
    <s v="PLN"/>
    <x v="2"/>
    <x v="4"/>
    <n v="2233.33"/>
    <x v="1"/>
    <x v="0"/>
    <n v="1.9"/>
    <n v="0.23269999999999999"/>
    <n v="9.8777039999999996"/>
    <n v="510.04152000000005"/>
    <n v="519.9192240000001"/>
    <x v="0"/>
  </r>
  <r>
    <s v="TXN00049"/>
    <x v="27"/>
    <x v="8"/>
    <s v="EUR"/>
    <x v="3"/>
    <x v="1"/>
    <n v="4323.12"/>
    <x v="1"/>
    <x v="0"/>
    <n v="3.2"/>
    <n v="1"/>
    <n v="138.34"/>
    <n v="4184.78"/>
    <n v="4323.12"/>
    <x v="0"/>
  </r>
  <r>
    <s v="TXN00848"/>
    <x v="28"/>
    <x v="7"/>
    <s v="EUR"/>
    <x v="0"/>
    <x v="3"/>
    <n v="2998.47"/>
    <x v="1"/>
    <x v="0"/>
    <n v="2.5"/>
    <n v="1"/>
    <n v="74.959999999999994"/>
    <n v="2923.51"/>
    <n v="2998.4700000000003"/>
    <x v="0"/>
  </r>
  <r>
    <s v="TXN00404"/>
    <x v="29"/>
    <x v="8"/>
    <s v="EUR"/>
    <x v="4"/>
    <x v="1"/>
    <n v="1081.43"/>
    <x v="1"/>
    <x v="0"/>
    <n v="2.1"/>
    <n v="1"/>
    <n v="22.71"/>
    <n v="1058.72"/>
    <n v="1081.43"/>
    <x v="0"/>
  </r>
  <r>
    <s v="TXN00980"/>
    <x v="30"/>
    <x v="9"/>
    <s v="EUR"/>
    <x v="2"/>
    <x v="3"/>
    <n v="433.04"/>
    <x v="1"/>
    <x v="0"/>
    <n v="1.9"/>
    <n v="1"/>
    <n v="8.23"/>
    <n v="424.81"/>
    <n v="433.04"/>
    <x v="0"/>
  </r>
  <r>
    <s v="TXN00641"/>
    <x v="31"/>
    <x v="6"/>
    <s v="EUR"/>
    <x v="4"/>
    <x v="3"/>
    <n v="168.77"/>
    <x v="2"/>
    <x v="2"/>
    <n v="2.1"/>
    <n v="1"/>
    <n v="0"/>
    <n v="0"/>
    <n v="0"/>
    <x v="0"/>
  </r>
  <r>
    <s v="TXN00011"/>
    <x v="32"/>
    <x v="7"/>
    <s v="EUR"/>
    <x v="1"/>
    <x v="2"/>
    <n v="4566.55"/>
    <x v="0"/>
    <x v="0"/>
    <n v="2.9"/>
    <n v="1"/>
    <n v="0"/>
    <n v="0"/>
    <n v="0"/>
    <x v="0"/>
  </r>
  <r>
    <s v="TXN00879"/>
    <x v="33"/>
    <x v="4"/>
    <s v="GBP"/>
    <x v="0"/>
    <x v="0"/>
    <n v="1579.65"/>
    <x v="2"/>
    <x v="2"/>
    <n v="2.5"/>
    <n v="1.1801999999999999"/>
    <n v="0"/>
    <n v="0"/>
    <n v="0"/>
    <x v="0"/>
  </r>
  <r>
    <s v="TXN00996"/>
    <x v="34"/>
    <x v="0"/>
    <s v="SEK"/>
    <x v="3"/>
    <x v="3"/>
    <n v="3011.99"/>
    <x v="2"/>
    <x v="4"/>
    <n v="3.2"/>
    <n v="8.7400000000000005E-2"/>
    <n v="0"/>
    <n v="0"/>
    <n v="0"/>
    <x v="0"/>
  </r>
  <r>
    <s v="TXN00215"/>
    <x v="35"/>
    <x v="2"/>
    <s v="EUR"/>
    <x v="3"/>
    <x v="1"/>
    <n v="1920.44"/>
    <x v="0"/>
    <x v="0"/>
    <n v="3.2"/>
    <n v="1"/>
    <n v="0"/>
    <n v="0"/>
    <n v="0"/>
    <x v="0"/>
  </r>
  <r>
    <s v="TXN00627"/>
    <x v="36"/>
    <x v="4"/>
    <s v="GBP"/>
    <x v="2"/>
    <x v="2"/>
    <n v="2369.4"/>
    <x v="1"/>
    <x v="0"/>
    <n v="1.9"/>
    <n v="1.1801999999999999"/>
    <n v="51.727980000000002"/>
    <n v="2670.7126200000002"/>
    <n v="2722.4406000000004"/>
    <x v="0"/>
  </r>
  <r>
    <s v="TXN00612"/>
    <x v="37"/>
    <x v="5"/>
    <s v="PLN"/>
    <x v="0"/>
    <x v="0"/>
    <n v="4875.16"/>
    <x v="0"/>
    <x v="0"/>
    <n v="2.5"/>
    <n v="0.23269999999999999"/>
    <n v="0"/>
    <n v="0"/>
    <n v="0"/>
    <x v="0"/>
  </r>
  <r>
    <s v="TXN00118"/>
    <x v="38"/>
    <x v="1"/>
    <s v="NOK"/>
    <x v="3"/>
    <x v="3"/>
    <n v="4372.21"/>
    <x v="2"/>
    <x v="4"/>
    <n v="3.2"/>
    <n v="8.5999999999999993E-2"/>
    <n v="0"/>
    <n v="0"/>
    <n v="0"/>
    <x v="0"/>
  </r>
  <r>
    <s v="TXN00207"/>
    <x v="39"/>
    <x v="9"/>
    <s v="EUR"/>
    <x v="4"/>
    <x v="3"/>
    <n v="1584.82"/>
    <x v="1"/>
    <x v="0"/>
    <n v="2.1"/>
    <n v="1"/>
    <n v="33.28"/>
    <n v="1551.54"/>
    <n v="1584.82"/>
    <x v="0"/>
  </r>
  <r>
    <s v="TXN00330"/>
    <x v="40"/>
    <x v="0"/>
    <s v="SEK"/>
    <x v="2"/>
    <x v="3"/>
    <n v="555.75"/>
    <x v="1"/>
    <x v="0"/>
    <n v="1.9"/>
    <n v="8.7400000000000005E-2"/>
    <n v="0.97912319999999997"/>
    <n v="50.550016800000002"/>
    <n v="51.529139999999998"/>
    <x v="0"/>
  </r>
  <r>
    <s v="TXN00963"/>
    <x v="41"/>
    <x v="6"/>
    <s v="EUR"/>
    <x v="2"/>
    <x v="4"/>
    <n v="3625.82"/>
    <x v="2"/>
    <x v="1"/>
    <n v="1.9"/>
    <n v="1"/>
    <n v="0"/>
    <n v="0"/>
    <n v="0"/>
    <x v="0"/>
  </r>
  <r>
    <s v="TXN00546"/>
    <x v="42"/>
    <x v="0"/>
    <s v="SEK"/>
    <x v="2"/>
    <x v="0"/>
    <n v="3273"/>
    <x v="1"/>
    <x v="0"/>
    <n v="1.9"/>
    <n v="8.7400000000000005E-2"/>
    <n v="5.7662567999999998"/>
    <n v="297.70630319999998"/>
    <n v="303.47255999999999"/>
    <x v="0"/>
  </r>
  <r>
    <s v="TXN00385"/>
    <x v="43"/>
    <x v="8"/>
    <s v="EUR"/>
    <x v="4"/>
    <x v="1"/>
    <n v="1248.83"/>
    <x v="1"/>
    <x v="0"/>
    <n v="2.1"/>
    <n v="1"/>
    <n v="26.23"/>
    <n v="1222.5999999999999"/>
    <n v="1248.83"/>
    <x v="0"/>
  </r>
  <r>
    <s v="TXN00048"/>
    <x v="44"/>
    <x v="2"/>
    <s v="EUR"/>
    <x v="0"/>
    <x v="1"/>
    <n v="1532.9"/>
    <x v="1"/>
    <x v="0"/>
    <n v="2.5"/>
    <n v="1"/>
    <n v="38.32"/>
    <n v="1494.58"/>
    <n v="1532.8999999999999"/>
    <x v="0"/>
  </r>
  <r>
    <s v="TXN00181"/>
    <x v="45"/>
    <x v="6"/>
    <s v="EUR"/>
    <x v="0"/>
    <x v="4"/>
    <n v="2618.5100000000002"/>
    <x v="1"/>
    <x v="0"/>
    <n v="2.5"/>
    <n v="1"/>
    <n v="65.459999999999994"/>
    <n v="2553.0500000000002"/>
    <n v="2618.5100000000002"/>
    <x v="0"/>
  </r>
  <r>
    <s v="TXN00550"/>
    <x v="46"/>
    <x v="6"/>
    <s v="EUR"/>
    <x v="4"/>
    <x v="3"/>
    <n v="1329.14"/>
    <x v="1"/>
    <x v="0"/>
    <n v="2.1"/>
    <n v="1"/>
    <n v="27.91"/>
    <n v="1301.23"/>
    <n v="1329.14"/>
    <x v="0"/>
  </r>
  <r>
    <s v="TXN00525"/>
    <x v="47"/>
    <x v="5"/>
    <s v="PLN"/>
    <x v="0"/>
    <x v="3"/>
    <n v="1935.52"/>
    <x v="0"/>
    <x v="0"/>
    <n v="2.5"/>
    <n v="0.23269999999999999"/>
    <n v="0"/>
    <n v="0"/>
    <n v="0"/>
    <x v="0"/>
  </r>
  <r>
    <s v="TXN00256"/>
    <x v="48"/>
    <x v="4"/>
    <s v="GBP"/>
    <x v="3"/>
    <x v="0"/>
    <n v="3283.3"/>
    <x v="2"/>
    <x v="1"/>
    <n v="3.2"/>
    <n v="1.1801999999999999"/>
    <n v="0"/>
    <n v="0"/>
    <n v="0"/>
    <x v="0"/>
  </r>
  <r>
    <s v="TXN00403"/>
    <x v="49"/>
    <x v="3"/>
    <s v="EUR"/>
    <x v="2"/>
    <x v="0"/>
    <n v="4110.21"/>
    <x v="2"/>
    <x v="2"/>
    <n v="1.9"/>
    <n v="1"/>
    <n v="0"/>
    <n v="0"/>
    <n v="0"/>
    <x v="0"/>
  </r>
  <r>
    <s v="TXN00631"/>
    <x v="50"/>
    <x v="6"/>
    <s v="EUR"/>
    <x v="2"/>
    <x v="2"/>
    <n v="1863.28"/>
    <x v="1"/>
    <x v="0"/>
    <n v="1.9"/>
    <n v="1"/>
    <n v="35.4"/>
    <n v="1827.88"/>
    <n v="1863.2800000000002"/>
    <x v="0"/>
  </r>
  <r>
    <s v="TXN00384"/>
    <x v="51"/>
    <x v="9"/>
    <s v="EUR"/>
    <x v="0"/>
    <x v="1"/>
    <n v="1921.07"/>
    <x v="1"/>
    <x v="0"/>
    <n v="2.5"/>
    <n v="1"/>
    <n v="48.03"/>
    <n v="1873.04"/>
    <n v="1921.07"/>
    <x v="0"/>
  </r>
  <r>
    <s v="TXN00811"/>
    <x v="52"/>
    <x v="0"/>
    <s v="SEK"/>
    <x v="1"/>
    <x v="0"/>
    <n v="2660.3"/>
    <x v="2"/>
    <x v="4"/>
    <n v="2.9"/>
    <n v="8.7400000000000005E-2"/>
    <n v="0"/>
    <n v="0"/>
    <n v="0"/>
    <x v="0"/>
  </r>
  <r>
    <s v="TXN00491"/>
    <x v="53"/>
    <x v="5"/>
    <s v="PLN"/>
    <x v="1"/>
    <x v="4"/>
    <n v="3839.97"/>
    <x v="0"/>
    <x v="0"/>
    <n v="2.9"/>
    <n v="0.23269999999999999"/>
    <n v="0"/>
    <n v="0"/>
    <n v="0"/>
    <x v="0"/>
  </r>
  <r>
    <s v="TXN00973"/>
    <x v="54"/>
    <x v="3"/>
    <s v="EUR"/>
    <x v="2"/>
    <x v="4"/>
    <n v="3350.73"/>
    <x v="1"/>
    <x v="0"/>
    <n v="1.9"/>
    <n v="1"/>
    <n v="63.66"/>
    <n v="3287.07"/>
    <n v="3350.73"/>
    <x v="0"/>
  </r>
  <r>
    <s v="TXN00230"/>
    <x v="55"/>
    <x v="1"/>
    <s v="NOK"/>
    <x v="3"/>
    <x v="2"/>
    <n v="3837.13"/>
    <x v="2"/>
    <x v="5"/>
    <n v="3.2"/>
    <n v="8.5999999999999993E-2"/>
    <n v="0"/>
    <n v="0"/>
    <n v="0"/>
    <x v="0"/>
  </r>
  <r>
    <s v="TXN00999"/>
    <x v="56"/>
    <x v="7"/>
    <s v="EUR"/>
    <x v="4"/>
    <x v="2"/>
    <n v="4097.43"/>
    <x v="2"/>
    <x v="4"/>
    <n v="2.1"/>
    <n v="1"/>
    <n v="0"/>
    <n v="0"/>
    <n v="0"/>
    <x v="0"/>
  </r>
  <r>
    <s v="TXN00072"/>
    <x v="57"/>
    <x v="5"/>
    <s v="PLN"/>
    <x v="4"/>
    <x v="0"/>
    <n v="1640.96"/>
    <x v="2"/>
    <x v="3"/>
    <n v="2.1"/>
    <n v="0.23269999999999999"/>
    <n v="0"/>
    <n v="0"/>
    <n v="0"/>
    <x v="0"/>
  </r>
  <r>
    <s v="TXN00062"/>
    <x v="58"/>
    <x v="4"/>
    <s v="GBP"/>
    <x v="0"/>
    <x v="2"/>
    <n v="4009.07"/>
    <x v="0"/>
    <x v="0"/>
    <n v="2.5"/>
    <n v="1.1801999999999999"/>
    <n v="0"/>
    <n v="0"/>
    <n v="0"/>
    <x v="0"/>
  </r>
  <r>
    <s v="TXN00445"/>
    <x v="59"/>
    <x v="7"/>
    <s v="EUR"/>
    <x v="3"/>
    <x v="3"/>
    <n v="1695.95"/>
    <x v="1"/>
    <x v="0"/>
    <n v="3.2"/>
    <n v="1"/>
    <n v="54.27"/>
    <n v="1641.68"/>
    <n v="1695.95"/>
    <x v="0"/>
  </r>
  <r>
    <s v="TXN00962"/>
    <x v="60"/>
    <x v="4"/>
    <s v="GBP"/>
    <x v="0"/>
    <x v="0"/>
    <n v="4244.6000000000004"/>
    <x v="0"/>
    <x v="0"/>
    <n v="2.5"/>
    <n v="1.1801999999999999"/>
    <n v="0"/>
    <n v="0"/>
    <n v="0"/>
    <x v="0"/>
  </r>
  <r>
    <s v="TXN00928"/>
    <x v="61"/>
    <x v="2"/>
    <s v="EUR"/>
    <x v="0"/>
    <x v="1"/>
    <n v="4983.7299999999996"/>
    <x v="0"/>
    <x v="0"/>
    <n v="2.5"/>
    <n v="1"/>
    <n v="0"/>
    <n v="0"/>
    <n v="0"/>
    <x v="0"/>
  </r>
  <r>
    <s v="TXN00248"/>
    <x v="62"/>
    <x v="3"/>
    <s v="EUR"/>
    <x v="2"/>
    <x v="4"/>
    <n v="3875.28"/>
    <x v="2"/>
    <x v="1"/>
    <n v="1.9"/>
    <n v="1"/>
    <n v="0"/>
    <n v="0"/>
    <n v="0"/>
    <x v="0"/>
  </r>
  <r>
    <s v="TXN00934"/>
    <x v="63"/>
    <x v="9"/>
    <s v="EUR"/>
    <x v="4"/>
    <x v="2"/>
    <n v="188.95"/>
    <x v="1"/>
    <x v="0"/>
    <n v="2.1"/>
    <n v="1"/>
    <n v="3.97"/>
    <n v="184.98"/>
    <n v="188.95"/>
    <x v="0"/>
  </r>
  <r>
    <s v="TXN00346"/>
    <x v="64"/>
    <x v="6"/>
    <s v="EUR"/>
    <x v="4"/>
    <x v="2"/>
    <n v="4077.93"/>
    <x v="0"/>
    <x v="0"/>
    <n v="2.1"/>
    <n v="1"/>
    <n v="0"/>
    <n v="0"/>
    <n v="0"/>
    <x v="0"/>
  </r>
  <r>
    <s v="TXN00167"/>
    <x v="65"/>
    <x v="7"/>
    <s v="EUR"/>
    <x v="4"/>
    <x v="2"/>
    <n v="3823.16"/>
    <x v="1"/>
    <x v="0"/>
    <n v="2.1"/>
    <n v="1"/>
    <n v="80.290000000000006"/>
    <n v="3742.87"/>
    <n v="3823.16"/>
    <x v="0"/>
  </r>
  <r>
    <s v="TXN00903"/>
    <x v="66"/>
    <x v="1"/>
    <s v="NOK"/>
    <x v="3"/>
    <x v="3"/>
    <n v="4503.87"/>
    <x v="2"/>
    <x v="3"/>
    <n v="3.2"/>
    <n v="8.5999999999999993E-2"/>
    <n v="0"/>
    <n v="0"/>
    <n v="0"/>
    <x v="0"/>
  </r>
  <r>
    <s v="TXN00414"/>
    <x v="67"/>
    <x v="2"/>
    <s v="EUR"/>
    <x v="1"/>
    <x v="4"/>
    <n v="2395.17"/>
    <x v="1"/>
    <x v="0"/>
    <n v="2.9"/>
    <n v="1"/>
    <n v="69.459999999999994"/>
    <n v="2325.71"/>
    <n v="2395.17"/>
    <x v="0"/>
  </r>
  <r>
    <s v="TXN00886"/>
    <x v="68"/>
    <x v="2"/>
    <s v="EUR"/>
    <x v="4"/>
    <x v="1"/>
    <n v="2966.73"/>
    <x v="1"/>
    <x v="0"/>
    <n v="2.1"/>
    <n v="1"/>
    <n v="62.3"/>
    <n v="2904.43"/>
    <n v="2966.73"/>
    <x v="0"/>
  </r>
  <r>
    <s v="TXN00942"/>
    <x v="69"/>
    <x v="0"/>
    <s v="SEK"/>
    <x v="2"/>
    <x v="0"/>
    <n v="471.83"/>
    <x v="1"/>
    <x v="0"/>
    <n v="1.9"/>
    <n v="8.7400000000000005E-2"/>
    <n v="0.83077120000000004"/>
    <n v="42.917306400000001"/>
    <n v="43.748077600000002"/>
    <x v="0"/>
  </r>
  <r>
    <s v="TXN00033"/>
    <x v="70"/>
    <x v="6"/>
    <s v="EUR"/>
    <x v="2"/>
    <x v="4"/>
    <n v="795.59"/>
    <x v="0"/>
    <x v="0"/>
    <n v="1.9"/>
    <n v="1"/>
    <n v="0"/>
    <n v="0"/>
    <n v="0"/>
    <x v="0"/>
  </r>
  <r>
    <s v="TXN00020"/>
    <x v="71"/>
    <x v="1"/>
    <s v="NOK"/>
    <x v="1"/>
    <x v="3"/>
    <n v="3662.22"/>
    <x v="1"/>
    <x v="0"/>
    <n v="2.9"/>
    <n v="8.5999999999999993E-2"/>
    <n v="9.4146300000000007"/>
    <n v="315.241173"/>
    <n v="324.65580299999999"/>
    <x v="0"/>
  </r>
  <r>
    <s v="TXN00275"/>
    <x v="72"/>
    <x v="7"/>
    <s v="EUR"/>
    <x v="1"/>
    <x v="0"/>
    <n v="1279.74"/>
    <x v="1"/>
    <x v="0"/>
    <n v="2.9"/>
    <n v="1"/>
    <n v="37.11"/>
    <n v="1242.6300000000001"/>
    <n v="1279.74"/>
    <x v="0"/>
  </r>
  <r>
    <s v="TXN00884"/>
    <x v="73"/>
    <x v="9"/>
    <s v="EUR"/>
    <x v="4"/>
    <x v="1"/>
    <n v="1750.9"/>
    <x v="0"/>
    <x v="0"/>
    <n v="2.1"/>
    <n v="1"/>
    <n v="0"/>
    <n v="0"/>
    <n v="0"/>
    <x v="1"/>
  </r>
  <r>
    <s v="TXN00744"/>
    <x v="74"/>
    <x v="0"/>
    <s v="SEK"/>
    <x v="1"/>
    <x v="3"/>
    <n v="3519.74"/>
    <x v="1"/>
    <x v="0"/>
    <n v="2.9"/>
    <n v="8.7400000000000005E-2"/>
    <n v="9.4639303999999989"/>
    <n v="316.8863624"/>
    <n v="326.35029279999998"/>
    <x v="1"/>
  </r>
  <r>
    <s v="TXN00964"/>
    <x v="75"/>
    <x v="8"/>
    <s v="EUR"/>
    <x v="2"/>
    <x v="1"/>
    <n v="2770.75"/>
    <x v="1"/>
    <x v="0"/>
    <n v="1.9"/>
    <n v="1"/>
    <n v="52.64"/>
    <n v="2718.11"/>
    <n v="2770.75"/>
    <x v="1"/>
  </r>
  <r>
    <s v="TXN00757"/>
    <x v="76"/>
    <x v="1"/>
    <s v="NOK"/>
    <x v="4"/>
    <x v="4"/>
    <n v="267.58"/>
    <x v="1"/>
    <x v="0"/>
    <n v="2.1"/>
    <n v="8.5999999999999993E-2"/>
    <n v="0.49821300000000007"/>
    <n v="23.222753999999998"/>
    <n v="23.720966999999998"/>
    <x v="1"/>
  </r>
  <r>
    <s v="TXN00201"/>
    <x v="77"/>
    <x v="6"/>
    <s v="EUR"/>
    <x v="2"/>
    <x v="4"/>
    <n v="92.01"/>
    <x v="0"/>
    <x v="0"/>
    <n v="1.9"/>
    <n v="1"/>
    <n v="0"/>
    <n v="0"/>
    <n v="0"/>
    <x v="1"/>
  </r>
  <r>
    <s v="TXN00790"/>
    <x v="78"/>
    <x v="5"/>
    <s v="PLN"/>
    <x v="0"/>
    <x v="1"/>
    <n v="612.79999999999995"/>
    <x v="0"/>
    <x v="0"/>
    <n v="2.5"/>
    <n v="0.23269999999999999"/>
    <n v="0"/>
    <n v="0"/>
    <n v="0"/>
    <x v="1"/>
  </r>
  <r>
    <s v="TXN00015"/>
    <x v="79"/>
    <x v="1"/>
    <s v="NOK"/>
    <x v="0"/>
    <x v="4"/>
    <n v="1264.56"/>
    <x v="0"/>
    <x v="0"/>
    <n v="2.5"/>
    <n v="8.5999999999999993E-2"/>
    <n v="0"/>
    <n v="0"/>
    <n v="0"/>
    <x v="1"/>
  </r>
  <r>
    <s v="TXN00899"/>
    <x v="80"/>
    <x v="8"/>
    <s v="EUR"/>
    <x v="3"/>
    <x v="1"/>
    <n v="3233.75"/>
    <x v="1"/>
    <x v="0"/>
    <n v="3.2"/>
    <n v="1"/>
    <n v="103.48"/>
    <n v="3130.27"/>
    <n v="3233.75"/>
    <x v="1"/>
  </r>
  <r>
    <s v="TXN00402"/>
    <x v="81"/>
    <x v="6"/>
    <s v="EUR"/>
    <x v="4"/>
    <x v="3"/>
    <n v="4526.34"/>
    <x v="1"/>
    <x v="0"/>
    <n v="2.1"/>
    <n v="1"/>
    <n v="95.05"/>
    <n v="4431.29"/>
    <n v="4526.34"/>
    <x v="1"/>
  </r>
  <r>
    <s v="TXN00336"/>
    <x v="82"/>
    <x v="4"/>
    <s v="GBP"/>
    <x v="1"/>
    <x v="1"/>
    <n v="3243.37"/>
    <x v="1"/>
    <x v="0"/>
    <n v="2.9"/>
    <n v="1.1801999999999999"/>
    <n v="108.07494"/>
    <n v="3618.55719"/>
    <n v="3726.63213"/>
    <x v="1"/>
  </r>
  <r>
    <s v="TXN00671"/>
    <x v="83"/>
    <x v="7"/>
    <s v="EUR"/>
    <x v="3"/>
    <x v="3"/>
    <n v="105.2"/>
    <x v="2"/>
    <x v="1"/>
    <n v="3.2"/>
    <n v="1"/>
    <n v="0"/>
    <n v="0"/>
    <n v="0"/>
    <x v="1"/>
  </r>
  <r>
    <s v="TXN00162"/>
    <x v="84"/>
    <x v="9"/>
    <s v="EUR"/>
    <x v="1"/>
    <x v="4"/>
    <n v="1083.51"/>
    <x v="2"/>
    <x v="2"/>
    <n v="2.9"/>
    <n v="1"/>
    <n v="0"/>
    <n v="0"/>
    <n v="0"/>
    <x v="1"/>
  </r>
  <r>
    <s v="TXN00114"/>
    <x v="85"/>
    <x v="8"/>
    <s v="EUR"/>
    <x v="3"/>
    <x v="4"/>
    <n v="1343.19"/>
    <x v="1"/>
    <x v="0"/>
    <n v="3.2"/>
    <n v="1"/>
    <n v="42.98"/>
    <n v="1300.21"/>
    <n v="1343.19"/>
    <x v="1"/>
  </r>
  <r>
    <s v="TXN00787"/>
    <x v="86"/>
    <x v="3"/>
    <s v="EUR"/>
    <x v="0"/>
    <x v="3"/>
    <n v="2361.39"/>
    <x v="0"/>
    <x v="0"/>
    <n v="2.5"/>
    <n v="1"/>
    <n v="0"/>
    <n v="0"/>
    <n v="0"/>
    <x v="1"/>
  </r>
  <r>
    <s v="TXN00606"/>
    <x v="87"/>
    <x v="5"/>
    <s v="PLN"/>
    <x v="4"/>
    <x v="1"/>
    <n v="1591.22"/>
    <x v="1"/>
    <x v="0"/>
    <n v="2.1"/>
    <n v="0.23269999999999999"/>
    <n v="7.7801760000000009"/>
    <n v="362.65584000000001"/>
    <n v="370.436016"/>
    <x v="1"/>
  </r>
  <r>
    <s v="TXN00645"/>
    <x v="88"/>
    <x v="2"/>
    <s v="EUR"/>
    <x v="2"/>
    <x v="3"/>
    <n v="515.11"/>
    <x v="1"/>
    <x v="0"/>
    <n v="1.9"/>
    <n v="1"/>
    <n v="9.7899999999999991"/>
    <n v="505.32"/>
    <n v="515.11"/>
    <x v="1"/>
  </r>
  <r>
    <s v="TXN00169"/>
    <x v="89"/>
    <x v="9"/>
    <s v="EUR"/>
    <x v="0"/>
    <x v="3"/>
    <n v="2304.17"/>
    <x v="1"/>
    <x v="0"/>
    <n v="2.5"/>
    <n v="1"/>
    <n v="57.6"/>
    <n v="2246.5700000000002"/>
    <n v="2304.17"/>
    <x v="1"/>
  </r>
  <r>
    <s v="TXN00025"/>
    <x v="90"/>
    <x v="7"/>
    <s v="EUR"/>
    <x v="0"/>
    <x v="2"/>
    <n v="2700.78"/>
    <x v="0"/>
    <x v="0"/>
    <n v="2.5"/>
    <n v="1"/>
    <n v="0"/>
    <n v="0"/>
    <n v="0"/>
    <x v="1"/>
  </r>
  <r>
    <s v="TXN00373"/>
    <x v="91"/>
    <x v="9"/>
    <s v="EUR"/>
    <x v="3"/>
    <x v="1"/>
    <n v="668.59"/>
    <x v="0"/>
    <x v="0"/>
    <n v="3.2"/>
    <n v="1"/>
    <n v="0"/>
    <n v="0"/>
    <n v="0"/>
    <x v="1"/>
  </r>
  <r>
    <s v="TXN00315"/>
    <x v="92"/>
    <x v="3"/>
    <s v="EUR"/>
    <x v="0"/>
    <x v="2"/>
    <n v="3700.88"/>
    <x v="1"/>
    <x v="0"/>
    <n v="2.5"/>
    <n v="1"/>
    <n v="92.52"/>
    <n v="3608.36"/>
    <n v="3700.88"/>
    <x v="1"/>
  </r>
  <r>
    <s v="TXN00224"/>
    <x v="93"/>
    <x v="4"/>
    <s v="GBP"/>
    <x v="0"/>
    <x v="0"/>
    <n v="3403.74"/>
    <x v="1"/>
    <x v="0"/>
    <n v="2.5"/>
    <n v="1.1801999999999999"/>
    <n v="97.768410000000003"/>
    <n v="3813.1288500000001"/>
    <n v="3910.8972600000002"/>
    <x v="1"/>
  </r>
  <r>
    <s v="TXN00291"/>
    <x v="94"/>
    <x v="1"/>
    <s v="NOK"/>
    <x v="2"/>
    <x v="2"/>
    <n v="2402.1799999999998"/>
    <x v="1"/>
    <x v="0"/>
    <n v="1.9"/>
    <n v="8.5999999999999993E-2"/>
    <n v="4.0459860000000001"/>
    <n v="208.90727100000001"/>
    <n v="212.95325700000001"/>
    <x v="1"/>
  </r>
  <r>
    <s v="TXN00241"/>
    <x v="95"/>
    <x v="6"/>
    <s v="EUR"/>
    <x v="2"/>
    <x v="1"/>
    <n v="4128.3"/>
    <x v="0"/>
    <x v="0"/>
    <n v="1.9"/>
    <n v="1"/>
    <n v="0"/>
    <n v="0"/>
    <n v="0"/>
    <x v="1"/>
  </r>
  <r>
    <s v="TXN00427"/>
    <x v="96"/>
    <x v="4"/>
    <s v="GBP"/>
    <x v="3"/>
    <x v="4"/>
    <n v="4926.53"/>
    <x v="2"/>
    <x v="4"/>
    <n v="3.2"/>
    <n v="1.1801999999999999"/>
    <n v="0"/>
    <n v="0"/>
    <n v="0"/>
    <x v="1"/>
  </r>
  <r>
    <s v="TXN00357"/>
    <x v="97"/>
    <x v="4"/>
    <s v="GBP"/>
    <x v="0"/>
    <x v="4"/>
    <n v="3751.51"/>
    <x v="1"/>
    <x v="0"/>
    <n v="2.5"/>
    <n v="1.1801999999999999"/>
    <n v="107.76471000000001"/>
    <n v="4202.7202799999995"/>
    <n v="4310.4849899999999"/>
    <x v="1"/>
  </r>
  <r>
    <s v="TXN00300"/>
    <x v="98"/>
    <x v="9"/>
    <s v="EUR"/>
    <x v="0"/>
    <x v="2"/>
    <n v="4214.3"/>
    <x v="1"/>
    <x v="0"/>
    <n v="2.5"/>
    <n v="1"/>
    <n v="105.36"/>
    <n v="4108.9399999999996"/>
    <n v="4214.2999999999993"/>
    <x v="1"/>
  </r>
  <r>
    <s v="TXN00188"/>
    <x v="99"/>
    <x v="4"/>
    <s v="GBP"/>
    <x v="2"/>
    <x v="4"/>
    <n v="4177.25"/>
    <x v="0"/>
    <x v="0"/>
    <n v="1.9"/>
    <n v="1.1801999999999999"/>
    <n v="0"/>
    <n v="0"/>
    <n v="0"/>
    <x v="1"/>
  </r>
  <r>
    <s v="TXN00386"/>
    <x v="100"/>
    <x v="4"/>
    <s v="GBP"/>
    <x v="2"/>
    <x v="3"/>
    <n v="904.93"/>
    <x v="0"/>
    <x v="0"/>
    <n v="1.9"/>
    <n v="1.1801999999999999"/>
    <n v="0"/>
    <n v="0"/>
    <n v="0"/>
    <x v="1"/>
  </r>
  <r>
    <s v="TXN00894"/>
    <x v="101"/>
    <x v="7"/>
    <s v="EUR"/>
    <x v="2"/>
    <x v="1"/>
    <n v="2170.2199999999998"/>
    <x v="0"/>
    <x v="0"/>
    <n v="1.9"/>
    <n v="1"/>
    <n v="0"/>
    <n v="0"/>
    <n v="0"/>
    <x v="1"/>
  </r>
  <r>
    <s v="TXN00211"/>
    <x v="102"/>
    <x v="3"/>
    <s v="EUR"/>
    <x v="2"/>
    <x v="1"/>
    <n v="1612.85"/>
    <x v="1"/>
    <x v="0"/>
    <n v="1.9"/>
    <n v="1"/>
    <n v="30.64"/>
    <n v="1582.21"/>
    <n v="1612.8500000000001"/>
    <x v="1"/>
  </r>
  <r>
    <s v="TXN00576"/>
    <x v="103"/>
    <x v="8"/>
    <s v="EUR"/>
    <x v="0"/>
    <x v="4"/>
    <n v="3284.31"/>
    <x v="1"/>
    <x v="0"/>
    <n v="2.5"/>
    <n v="1"/>
    <n v="82.11"/>
    <n v="3202.2"/>
    <n v="3284.31"/>
    <x v="1"/>
  </r>
  <r>
    <s v="TXN00992"/>
    <x v="104"/>
    <x v="8"/>
    <s v="EUR"/>
    <x v="4"/>
    <x v="0"/>
    <n v="1081.77"/>
    <x v="1"/>
    <x v="0"/>
    <n v="2.1"/>
    <n v="1"/>
    <n v="22.72"/>
    <n v="1059.05"/>
    <n v="1081.77"/>
    <x v="1"/>
  </r>
  <r>
    <s v="TXN00625"/>
    <x v="105"/>
    <x v="7"/>
    <s v="EUR"/>
    <x v="0"/>
    <x v="3"/>
    <n v="2720.53"/>
    <x v="1"/>
    <x v="0"/>
    <n v="2.5"/>
    <n v="1"/>
    <n v="68.010000000000005"/>
    <n v="2652.52"/>
    <n v="2720.53"/>
    <x v="1"/>
  </r>
  <r>
    <s v="TXN00568"/>
    <x v="106"/>
    <x v="0"/>
    <s v="SEK"/>
    <x v="0"/>
    <x v="1"/>
    <n v="953.21"/>
    <x v="1"/>
    <x v="0"/>
    <n v="2.5"/>
    <n v="8.7400000000000005E-2"/>
    <n v="2.2095175999999999"/>
    <n v="86.172113600000003"/>
    <n v="88.381631200000001"/>
    <x v="1"/>
  </r>
  <r>
    <s v="TXN00307"/>
    <x v="107"/>
    <x v="8"/>
    <s v="EUR"/>
    <x v="3"/>
    <x v="4"/>
    <n v="4886.87"/>
    <x v="1"/>
    <x v="0"/>
    <n v="3.2"/>
    <n v="1"/>
    <n v="156.38"/>
    <n v="4730.49"/>
    <n v="4886.87"/>
    <x v="1"/>
  </r>
  <r>
    <s v="TXN00978"/>
    <x v="108"/>
    <x v="8"/>
    <s v="EUR"/>
    <x v="3"/>
    <x v="2"/>
    <n v="766.54"/>
    <x v="0"/>
    <x v="0"/>
    <n v="3.2"/>
    <n v="1"/>
    <n v="0"/>
    <n v="0"/>
    <n v="0"/>
    <x v="1"/>
  </r>
  <r>
    <s v="TXN00393"/>
    <x v="109"/>
    <x v="0"/>
    <s v="SEK"/>
    <x v="4"/>
    <x v="0"/>
    <n v="383.4"/>
    <x v="0"/>
    <x v="0"/>
    <n v="2.1"/>
    <n v="8.7400000000000005E-2"/>
    <n v="0"/>
    <n v="0"/>
    <n v="0"/>
    <x v="1"/>
  </r>
  <r>
    <s v="TXN00702"/>
    <x v="110"/>
    <x v="8"/>
    <s v="EUR"/>
    <x v="4"/>
    <x v="2"/>
    <n v="3363.73"/>
    <x v="0"/>
    <x v="0"/>
    <n v="2.1"/>
    <n v="1"/>
    <n v="0"/>
    <n v="0"/>
    <n v="0"/>
    <x v="1"/>
  </r>
  <r>
    <s v="TXN00369"/>
    <x v="111"/>
    <x v="4"/>
    <s v="GBP"/>
    <x v="2"/>
    <x v="0"/>
    <n v="1764.16"/>
    <x v="2"/>
    <x v="3"/>
    <n v="1.9"/>
    <n v="1.1801999999999999"/>
    <n v="0"/>
    <n v="0"/>
    <n v="0"/>
    <x v="1"/>
  </r>
  <r>
    <s v="TXN00317"/>
    <x v="112"/>
    <x v="6"/>
    <s v="EUR"/>
    <x v="2"/>
    <x v="4"/>
    <n v="2567.08"/>
    <x v="1"/>
    <x v="0"/>
    <n v="1.9"/>
    <n v="1"/>
    <n v="48.77"/>
    <n v="2518.31"/>
    <n v="2567.08"/>
    <x v="1"/>
  </r>
  <r>
    <s v="TXN00844"/>
    <x v="113"/>
    <x v="7"/>
    <s v="EUR"/>
    <x v="0"/>
    <x v="2"/>
    <n v="2783.51"/>
    <x v="0"/>
    <x v="0"/>
    <n v="2.5"/>
    <n v="1"/>
    <n v="0"/>
    <n v="0"/>
    <n v="0"/>
    <x v="1"/>
  </r>
  <r>
    <s v="TXN00318"/>
    <x v="114"/>
    <x v="4"/>
    <s v="GBP"/>
    <x v="2"/>
    <x v="4"/>
    <n v="3924.35"/>
    <x v="2"/>
    <x v="4"/>
    <n v="1.9"/>
    <n v="1.1801999999999999"/>
    <n v="0"/>
    <n v="0"/>
    <n v="0"/>
    <x v="1"/>
  </r>
  <r>
    <s v="TXN00014"/>
    <x v="115"/>
    <x v="4"/>
    <s v="GBP"/>
    <x v="4"/>
    <x v="2"/>
    <n v="3962.48"/>
    <x v="2"/>
    <x v="5"/>
    <n v="2.1"/>
    <n v="1.1801999999999999"/>
    <n v="0"/>
    <n v="0"/>
    <n v="0"/>
    <x v="1"/>
  </r>
  <r>
    <s v="TXN00156"/>
    <x v="116"/>
    <x v="8"/>
    <s v="EUR"/>
    <x v="1"/>
    <x v="1"/>
    <n v="4060.73"/>
    <x v="0"/>
    <x v="0"/>
    <n v="2.9"/>
    <n v="1"/>
    <n v="0"/>
    <n v="0"/>
    <n v="0"/>
    <x v="1"/>
  </r>
  <r>
    <s v="TXN00694"/>
    <x v="117"/>
    <x v="6"/>
    <s v="EUR"/>
    <x v="3"/>
    <x v="3"/>
    <n v="2623.85"/>
    <x v="2"/>
    <x v="5"/>
    <n v="3.2"/>
    <n v="1"/>
    <n v="0"/>
    <n v="0"/>
    <n v="0"/>
    <x v="1"/>
  </r>
  <r>
    <s v="TXN00483"/>
    <x v="118"/>
    <x v="4"/>
    <s v="GBP"/>
    <x v="3"/>
    <x v="2"/>
    <n v="2289.19"/>
    <x v="1"/>
    <x v="0"/>
    <n v="3.2"/>
    <n v="1.1801999999999999"/>
    <n v="84.164249999999996"/>
    <n v="2546.1150600000001"/>
    <n v="2630.2793099999999"/>
    <x v="1"/>
  </r>
  <r>
    <s v="TXN00274"/>
    <x v="119"/>
    <x v="9"/>
    <s v="EUR"/>
    <x v="0"/>
    <x v="2"/>
    <n v="2571.11"/>
    <x v="2"/>
    <x v="5"/>
    <n v="2.5"/>
    <n v="1"/>
    <n v="0"/>
    <n v="0"/>
    <n v="0"/>
    <x v="1"/>
  </r>
  <r>
    <s v="TXN00498"/>
    <x v="120"/>
    <x v="7"/>
    <s v="EUR"/>
    <x v="2"/>
    <x v="4"/>
    <n v="1042.19"/>
    <x v="2"/>
    <x v="3"/>
    <n v="1.9"/>
    <n v="1"/>
    <n v="0"/>
    <n v="0"/>
    <n v="0"/>
    <x v="1"/>
  </r>
  <r>
    <s v="TXN00144"/>
    <x v="121"/>
    <x v="1"/>
    <s v="NOK"/>
    <x v="1"/>
    <x v="3"/>
    <n v="3936.11"/>
    <x v="1"/>
    <x v="0"/>
    <n v="2.9"/>
    <n v="8.5999999999999993E-2"/>
    <n v="10.119397500000002"/>
    <n v="338.816754"/>
    <n v="348.93615149999999"/>
    <x v="1"/>
  </r>
  <r>
    <s v="TXN00392"/>
    <x v="122"/>
    <x v="2"/>
    <s v="EUR"/>
    <x v="2"/>
    <x v="0"/>
    <n v="3507.23"/>
    <x v="1"/>
    <x v="0"/>
    <n v="1.9"/>
    <n v="1"/>
    <n v="66.64"/>
    <n v="3440.59"/>
    <n v="3507.23"/>
    <x v="1"/>
  </r>
  <r>
    <s v="TXN00030"/>
    <x v="123"/>
    <x v="8"/>
    <s v="EUR"/>
    <x v="0"/>
    <x v="0"/>
    <n v="1076.5999999999999"/>
    <x v="2"/>
    <x v="4"/>
    <n v="2.5"/>
    <n v="1"/>
    <n v="0"/>
    <n v="0"/>
    <n v="0"/>
    <x v="1"/>
  </r>
  <r>
    <s v="TXN00523"/>
    <x v="124"/>
    <x v="2"/>
    <s v="EUR"/>
    <x v="3"/>
    <x v="1"/>
    <n v="1810.38"/>
    <x v="1"/>
    <x v="0"/>
    <n v="3.2"/>
    <n v="1"/>
    <n v="57.93"/>
    <n v="1752.45"/>
    <n v="1810.38"/>
    <x v="1"/>
  </r>
  <r>
    <s v="TXN00005"/>
    <x v="125"/>
    <x v="5"/>
    <s v="PLN"/>
    <x v="3"/>
    <x v="4"/>
    <n v="1329.96"/>
    <x v="1"/>
    <x v="0"/>
    <n v="3.2"/>
    <n v="0.23269999999999999"/>
    <n v="9.9079680000000003"/>
    <n v="299.70672000000002"/>
    <n v="309.614688"/>
    <x v="1"/>
  </r>
  <r>
    <s v="TXN00306"/>
    <x v="126"/>
    <x v="8"/>
    <s v="EUR"/>
    <x v="2"/>
    <x v="0"/>
    <n v="290.01"/>
    <x v="1"/>
    <x v="0"/>
    <n v="1.9"/>
    <n v="1"/>
    <n v="5.51"/>
    <n v="284.5"/>
    <n v="290.01"/>
    <x v="1"/>
  </r>
  <r>
    <s v="TXN00720"/>
    <x v="127"/>
    <x v="9"/>
    <s v="EUR"/>
    <x v="0"/>
    <x v="4"/>
    <n v="778.85"/>
    <x v="1"/>
    <x v="0"/>
    <n v="2.5"/>
    <n v="1"/>
    <n v="19.47"/>
    <n v="759.38"/>
    <n v="778.85"/>
    <x v="1"/>
  </r>
  <r>
    <s v="TXN00565"/>
    <x v="128"/>
    <x v="3"/>
    <s v="EUR"/>
    <x v="2"/>
    <x v="4"/>
    <n v="4139.33"/>
    <x v="2"/>
    <x v="5"/>
    <n v="1.9"/>
    <n v="1"/>
    <n v="0"/>
    <n v="0"/>
    <n v="0"/>
    <x v="1"/>
  </r>
  <r>
    <s v="TXN00653"/>
    <x v="129"/>
    <x v="5"/>
    <s v="PLN"/>
    <x v="4"/>
    <x v="2"/>
    <n v="1332.29"/>
    <x v="0"/>
    <x v="0"/>
    <n v="2.1"/>
    <n v="0.23269999999999999"/>
    <n v="0"/>
    <n v="0"/>
    <n v="0"/>
    <x v="1"/>
  </r>
  <r>
    <s v="TXN00155"/>
    <x v="130"/>
    <x v="5"/>
    <s v="PLN"/>
    <x v="3"/>
    <x v="1"/>
    <n v="4768.43"/>
    <x v="2"/>
    <x v="4"/>
    <n v="3.2"/>
    <n v="0.23269999999999999"/>
    <n v="0"/>
    <n v="0"/>
    <n v="0"/>
    <x v="1"/>
  </r>
  <r>
    <s v="TXN00430"/>
    <x v="131"/>
    <x v="1"/>
    <s v="NOK"/>
    <x v="2"/>
    <x v="0"/>
    <n v="776.41"/>
    <x v="1"/>
    <x v="0"/>
    <n v="1.9"/>
    <n v="8.5999999999999993E-2"/>
    <n v="1.3075875000000001"/>
    <n v="67.521158999999997"/>
    <n v="68.828746499999994"/>
    <x v="1"/>
  </r>
  <r>
    <s v="TXN00803"/>
    <x v="132"/>
    <x v="8"/>
    <s v="EUR"/>
    <x v="4"/>
    <x v="0"/>
    <n v="4457.91"/>
    <x v="1"/>
    <x v="0"/>
    <n v="2.1"/>
    <n v="1"/>
    <n v="93.62"/>
    <n v="4364.29"/>
    <n v="4457.91"/>
    <x v="1"/>
  </r>
  <r>
    <s v="TXN00312"/>
    <x v="133"/>
    <x v="4"/>
    <s v="GBP"/>
    <x v="3"/>
    <x v="4"/>
    <n v="3847.34"/>
    <x v="0"/>
    <x v="0"/>
    <n v="3.2"/>
    <n v="1.1801999999999999"/>
    <n v="0"/>
    <n v="0"/>
    <n v="0"/>
    <x v="1"/>
  </r>
  <r>
    <s v="TXN00122"/>
    <x v="134"/>
    <x v="4"/>
    <s v="GBP"/>
    <x v="0"/>
    <x v="2"/>
    <n v="3473.07"/>
    <x v="1"/>
    <x v="0"/>
    <n v="2.5"/>
    <n v="1.1801999999999999"/>
    <n v="99.767669999999995"/>
    <n v="3890.7897599999997"/>
    <n v="3990.5574299999998"/>
    <x v="1"/>
  </r>
  <r>
    <s v="TXN00361"/>
    <x v="135"/>
    <x v="6"/>
    <s v="EUR"/>
    <x v="1"/>
    <x v="3"/>
    <n v="4647.87"/>
    <x v="1"/>
    <x v="0"/>
    <n v="2.9"/>
    <n v="1"/>
    <n v="134.79"/>
    <n v="4513.08"/>
    <n v="4647.87"/>
    <x v="1"/>
  </r>
  <r>
    <s v="TXN00417"/>
    <x v="136"/>
    <x v="5"/>
    <s v="PLN"/>
    <x v="4"/>
    <x v="2"/>
    <n v="3664.44"/>
    <x v="2"/>
    <x v="2"/>
    <n v="2.1"/>
    <n v="0.23269999999999999"/>
    <n v="0"/>
    <n v="0"/>
    <n v="0"/>
    <x v="1"/>
  </r>
  <r>
    <s v="TXN00008"/>
    <x v="137"/>
    <x v="6"/>
    <s v="EUR"/>
    <x v="3"/>
    <x v="2"/>
    <n v="1857.2"/>
    <x v="1"/>
    <x v="0"/>
    <n v="3.2"/>
    <n v="1"/>
    <n v="59.43"/>
    <n v="1797.77"/>
    <n v="1857.2"/>
    <x v="1"/>
  </r>
  <r>
    <s v="TXN00391"/>
    <x v="138"/>
    <x v="2"/>
    <s v="EUR"/>
    <x v="0"/>
    <x v="0"/>
    <n v="4806.3100000000004"/>
    <x v="1"/>
    <x v="0"/>
    <n v="2.5"/>
    <n v="1"/>
    <n v="120.16"/>
    <n v="4686.1499999999996"/>
    <n v="4806.3099999999995"/>
    <x v="1"/>
  </r>
  <r>
    <s v="TXN00334"/>
    <x v="139"/>
    <x v="4"/>
    <s v="GBP"/>
    <x v="1"/>
    <x v="2"/>
    <n v="1748.16"/>
    <x v="1"/>
    <x v="0"/>
    <n v="2.9"/>
    <n v="1.1801999999999999"/>
    <n v="58.254300000000008"/>
    <n v="1950.3815400000001"/>
    <n v="2008.6358400000001"/>
    <x v="1"/>
  </r>
  <r>
    <s v="TXN00332"/>
    <x v="140"/>
    <x v="7"/>
    <s v="EUR"/>
    <x v="4"/>
    <x v="4"/>
    <n v="3736.8"/>
    <x v="0"/>
    <x v="0"/>
    <n v="2.1"/>
    <n v="1"/>
    <n v="0"/>
    <n v="0"/>
    <n v="0"/>
    <x v="1"/>
  </r>
  <r>
    <s v="TXN00316"/>
    <x v="141"/>
    <x v="7"/>
    <s v="EUR"/>
    <x v="0"/>
    <x v="1"/>
    <n v="3809.12"/>
    <x v="1"/>
    <x v="0"/>
    <n v="2.5"/>
    <n v="1"/>
    <n v="95.23"/>
    <n v="3713.89"/>
    <n v="3809.12"/>
    <x v="1"/>
  </r>
  <r>
    <s v="TXN00583"/>
    <x v="142"/>
    <x v="0"/>
    <s v="SEK"/>
    <x v="3"/>
    <x v="1"/>
    <n v="4735.6099999999997"/>
    <x v="0"/>
    <x v="0"/>
    <n v="3.2"/>
    <n v="8.7400000000000005E-2"/>
    <n v="0"/>
    <n v="0"/>
    <n v="0"/>
    <x v="1"/>
  </r>
  <r>
    <s v="TXN00647"/>
    <x v="143"/>
    <x v="5"/>
    <s v="PLN"/>
    <x v="0"/>
    <x v="0"/>
    <n v="4415.29"/>
    <x v="1"/>
    <x v="0"/>
    <n v="2.5"/>
    <n v="0.23269999999999999"/>
    <n v="25.696463999999999"/>
    <n v="1002.183048"/>
    <n v="1027.879512"/>
    <x v="1"/>
  </r>
  <r>
    <s v="TXN00706"/>
    <x v="144"/>
    <x v="0"/>
    <s v="SEK"/>
    <x v="1"/>
    <x v="0"/>
    <n v="3623.13"/>
    <x v="0"/>
    <x v="0"/>
    <n v="2.9"/>
    <n v="8.7400000000000005E-2"/>
    <n v="0"/>
    <n v="0"/>
    <n v="0"/>
    <x v="1"/>
  </r>
  <r>
    <s v="TXN00818"/>
    <x v="145"/>
    <x v="6"/>
    <s v="EUR"/>
    <x v="2"/>
    <x v="3"/>
    <n v="1834.2"/>
    <x v="1"/>
    <x v="0"/>
    <n v="1.9"/>
    <n v="1"/>
    <n v="34.85"/>
    <n v="1799.35"/>
    <n v="1834.1999999999998"/>
    <x v="1"/>
  </r>
  <r>
    <s v="TXN00416"/>
    <x v="146"/>
    <x v="5"/>
    <s v="PLN"/>
    <x v="1"/>
    <x v="1"/>
    <n v="3525.64"/>
    <x v="2"/>
    <x v="5"/>
    <n v="2.9"/>
    <n v="0.23269999999999999"/>
    <n v="0"/>
    <n v="0"/>
    <n v="0"/>
    <x v="1"/>
  </r>
  <r>
    <s v="TXN00773"/>
    <x v="147"/>
    <x v="7"/>
    <s v="EUR"/>
    <x v="3"/>
    <x v="0"/>
    <n v="3305.78"/>
    <x v="1"/>
    <x v="0"/>
    <n v="3.2"/>
    <n v="1"/>
    <n v="105.78"/>
    <n v="3200"/>
    <n v="3305.78"/>
    <x v="1"/>
  </r>
  <r>
    <s v="TXN00958"/>
    <x v="148"/>
    <x v="2"/>
    <s v="EUR"/>
    <x v="1"/>
    <x v="2"/>
    <n v="2410.77"/>
    <x v="1"/>
    <x v="0"/>
    <n v="2.9"/>
    <n v="1"/>
    <n v="69.91"/>
    <n v="2340.86"/>
    <n v="2410.77"/>
    <x v="1"/>
  </r>
  <r>
    <s v="TXN00441"/>
    <x v="149"/>
    <x v="3"/>
    <s v="EUR"/>
    <x v="2"/>
    <x v="4"/>
    <n v="2917.56"/>
    <x v="1"/>
    <x v="0"/>
    <n v="1.9"/>
    <n v="1"/>
    <n v="55.43"/>
    <n v="2862.13"/>
    <n v="2917.56"/>
    <x v="1"/>
  </r>
  <r>
    <s v="TXN00887"/>
    <x v="150"/>
    <x v="9"/>
    <s v="EUR"/>
    <x v="2"/>
    <x v="1"/>
    <n v="196.51"/>
    <x v="2"/>
    <x v="5"/>
    <n v="1.9"/>
    <n v="1"/>
    <n v="0"/>
    <n v="0"/>
    <n v="0"/>
    <x v="1"/>
  </r>
  <r>
    <s v="TXN00738"/>
    <x v="151"/>
    <x v="6"/>
    <s v="EUR"/>
    <x v="3"/>
    <x v="4"/>
    <n v="497.29"/>
    <x v="2"/>
    <x v="1"/>
    <n v="3.2"/>
    <n v="1"/>
    <n v="0"/>
    <n v="0"/>
    <n v="0"/>
    <x v="1"/>
  </r>
  <r>
    <s v="TXN00972"/>
    <x v="152"/>
    <x v="4"/>
    <s v="GBP"/>
    <x v="2"/>
    <x v="2"/>
    <n v="2436.96"/>
    <x v="1"/>
    <x v="0"/>
    <n v="1.9"/>
    <n v="1.1801999999999999"/>
    <n v="53.198699999999995"/>
    <n v="2746.86834"/>
    <n v="2800.0670399999999"/>
    <x v="1"/>
  </r>
  <r>
    <s v="TXN00485"/>
    <x v="153"/>
    <x v="9"/>
    <s v="EUR"/>
    <x v="1"/>
    <x v="2"/>
    <n v="3320.14"/>
    <x v="1"/>
    <x v="0"/>
    <n v="2.9"/>
    <n v="1"/>
    <n v="96.28"/>
    <n v="3223.86"/>
    <n v="3320.1400000000003"/>
    <x v="1"/>
  </r>
  <r>
    <s v="TXN00381"/>
    <x v="154"/>
    <x v="8"/>
    <s v="EUR"/>
    <x v="3"/>
    <x v="4"/>
    <n v="328.72"/>
    <x v="0"/>
    <x v="0"/>
    <n v="3.2"/>
    <n v="1"/>
    <n v="0"/>
    <n v="0"/>
    <n v="0"/>
    <x v="2"/>
  </r>
  <r>
    <s v="TXN00343"/>
    <x v="155"/>
    <x v="4"/>
    <s v="GBP"/>
    <x v="4"/>
    <x v="1"/>
    <n v="3470.25"/>
    <x v="0"/>
    <x v="0"/>
    <n v="2.1"/>
    <n v="1.1801999999999999"/>
    <n v="0"/>
    <n v="0"/>
    <n v="0"/>
    <x v="2"/>
  </r>
  <r>
    <s v="TXN00112"/>
    <x v="156"/>
    <x v="3"/>
    <s v="EUR"/>
    <x v="0"/>
    <x v="1"/>
    <n v="2549.27"/>
    <x v="1"/>
    <x v="0"/>
    <n v="2.5"/>
    <n v="1"/>
    <n v="63.73"/>
    <n v="2485.54"/>
    <n v="2549.27"/>
    <x v="2"/>
  </r>
  <r>
    <s v="TXN00168"/>
    <x v="157"/>
    <x v="8"/>
    <s v="EUR"/>
    <x v="4"/>
    <x v="2"/>
    <n v="1907.24"/>
    <x v="1"/>
    <x v="0"/>
    <n v="2.1"/>
    <n v="1"/>
    <n v="40.049999999999997"/>
    <n v="1867.19"/>
    <n v="1907.24"/>
    <x v="2"/>
  </r>
  <r>
    <s v="TXN00657"/>
    <x v="158"/>
    <x v="1"/>
    <s v="NOK"/>
    <x v="1"/>
    <x v="0"/>
    <n v="280.10000000000002"/>
    <x v="0"/>
    <x v="0"/>
    <n v="2.9"/>
    <n v="8.5999999999999993E-2"/>
    <n v="0"/>
    <n v="0"/>
    <n v="0"/>
    <x v="2"/>
  </r>
  <r>
    <s v="TXN00997"/>
    <x v="159"/>
    <x v="7"/>
    <s v="EUR"/>
    <x v="1"/>
    <x v="4"/>
    <n v="774.99"/>
    <x v="1"/>
    <x v="0"/>
    <n v="2.9"/>
    <n v="1"/>
    <n v="22.47"/>
    <n v="752.52"/>
    <n v="774.99"/>
    <x v="2"/>
  </r>
  <r>
    <s v="TXN00438"/>
    <x v="160"/>
    <x v="3"/>
    <s v="EUR"/>
    <x v="4"/>
    <x v="2"/>
    <n v="639.66999999999996"/>
    <x v="2"/>
    <x v="4"/>
    <n v="2.1"/>
    <n v="1"/>
    <n v="0"/>
    <n v="0"/>
    <n v="0"/>
    <x v="2"/>
  </r>
  <r>
    <s v="TXN00833"/>
    <x v="161"/>
    <x v="6"/>
    <s v="EUR"/>
    <x v="4"/>
    <x v="0"/>
    <n v="4639.78"/>
    <x v="1"/>
    <x v="0"/>
    <n v="2.1"/>
    <n v="1"/>
    <n v="97.44"/>
    <n v="4542.34"/>
    <n v="4639.78"/>
    <x v="2"/>
  </r>
  <r>
    <s v="TXN00875"/>
    <x v="162"/>
    <x v="6"/>
    <s v="EUR"/>
    <x v="4"/>
    <x v="2"/>
    <n v="158.32"/>
    <x v="1"/>
    <x v="0"/>
    <n v="2.1"/>
    <n v="1"/>
    <n v="3.32"/>
    <n v="155"/>
    <n v="158.32"/>
    <x v="2"/>
  </r>
  <r>
    <s v="TXN01000"/>
    <x v="163"/>
    <x v="4"/>
    <s v="GBP"/>
    <x v="1"/>
    <x v="0"/>
    <n v="2411.0700000000002"/>
    <x v="1"/>
    <x v="0"/>
    <n v="2.9"/>
    <n v="1.1801999999999999"/>
    <n v="80.338080000000005"/>
    <n v="2689.98135"/>
    <n v="2770.31943"/>
    <x v="2"/>
  </r>
  <r>
    <s v="TXN00255"/>
    <x v="164"/>
    <x v="0"/>
    <s v="SEK"/>
    <x v="0"/>
    <x v="0"/>
    <n v="4093.7"/>
    <x v="1"/>
    <x v="0"/>
    <n v="2.5"/>
    <n v="8.7400000000000005E-2"/>
    <n v="9.4889647999999998"/>
    <n v="370.07889920000002"/>
    <n v="379.56786400000004"/>
    <x v="2"/>
  </r>
  <r>
    <s v="TXN00535"/>
    <x v="165"/>
    <x v="1"/>
    <s v="NOK"/>
    <x v="2"/>
    <x v="0"/>
    <n v="2690.39"/>
    <x v="1"/>
    <x v="0"/>
    <n v="1.9"/>
    <n v="8.5999999999999993E-2"/>
    <n v="4.5317879999999997"/>
    <n v="233.97128550000002"/>
    <n v="238.50307350000003"/>
    <x v="2"/>
  </r>
  <r>
    <s v="TXN00862"/>
    <x v="166"/>
    <x v="1"/>
    <s v="NOK"/>
    <x v="4"/>
    <x v="2"/>
    <n v="3356.3"/>
    <x v="1"/>
    <x v="0"/>
    <n v="2.1"/>
    <n v="8.5999999999999993E-2"/>
    <n v="6.2480520000000004"/>
    <n v="291.28794300000004"/>
    <n v="297.53599500000001"/>
    <x v="2"/>
  </r>
  <r>
    <s v="TXN00152"/>
    <x v="167"/>
    <x v="1"/>
    <s v="NOK"/>
    <x v="2"/>
    <x v="1"/>
    <n v="1910.71"/>
    <x v="0"/>
    <x v="0"/>
    <n v="1.9"/>
    <n v="8.5999999999999993E-2"/>
    <n v="0"/>
    <n v="0"/>
    <n v="0"/>
    <x v="2"/>
  </r>
  <r>
    <s v="TXN00633"/>
    <x v="168"/>
    <x v="5"/>
    <s v="PLN"/>
    <x v="2"/>
    <x v="1"/>
    <n v="4029.57"/>
    <x v="2"/>
    <x v="1"/>
    <n v="1.9"/>
    <n v="0.23269999999999999"/>
    <n v="0"/>
    <n v="0"/>
    <n v="0"/>
    <x v="2"/>
  </r>
  <r>
    <s v="TXN00228"/>
    <x v="169"/>
    <x v="1"/>
    <s v="NOK"/>
    <x v="2"/>
    <x v="3"/>
    <n v="2517.84"/>
    <x v="1"/>
    <x v="0"/>
    <n v="1.9"/>
    <n v="8.5999999999999993E-2"/>
    <n v="4.241016000000001"/>
    <n v="218.96550000000002"/>
    <n v="223.20651600000002"/>
    <x v="2"/>
  </r>
  <r>
    <s v="TXN00806"/>
    <x v="170"/>
    <x v="1"/>
    <s v="NOK"/>
    <x v="1"/>
    <x v="1"/>
    <n v="691.14"/>
    <x v="2"/>
    <x v="2"/>
    <n v="2.9"/>
    <n v="8.5999999999999993E-2"/>
    <n v="0"/>
    <n v="0"/>
    <n v="0"/>
    <x v="2"/>
  </r>
  <r>
    <s v="TXN00506"/>
    <x v="171"/>
    <x v="1"/>
    <s v="NOK"/>
    <x v="2"/>
    <x v="1"/>
    <n v="2525.5100000000002"/>
    <x v="2"/>
    <x v="2"/>
    <n v="1.9"/>
    <n v="8.5999999999999993E-2"/>
    <n v="0"/>
    <n v="0"/>
    <n v="0"/>
    <x v="2"/>
  </r>
  <r>
    <s v="TXN00242"/>
    <x v="172"/>
    <x v="5"/>
    <s v="PLN"/>
    <x v="3"/>
    <x v="4"/>
    <n v="4695.3500000000004"/>
    <x v="1"/>
    <x v="0"/>
    <n v="3.2"/>
    <n v="0.23269999999999999"/>
    <n v="34.978200000000001"/>
    <n v="1058.0992800000001"/>
    <n v="1093.0774800000002"/>
    <x v="2"/>
  </r>
  <r>
    <s v="TXN00932"/>
    <x v="173"/>
    <x v="7"/>
    <s v="EUR"/>
    <x v="3"/>
    <x v="0"/>
    <n v="1421.8"/>
    <x v="1"/>
    <x v="0"/>
    <n v="3.2"/>
    <n v="1"/>
    <n v="45.5"/>
    <n v="1376.3"/>
    <n v="1421.8"/>
    <x v="2"/>
  </r>
  <r>
    <s v="TXN00021"/>
    <x v="174"/>
    <x v="0"/>
    <s v="SEK"/>
    <x v="4"/>
    <x v="1"/>
    <n v="2643.09"/>
    <x v="0"/>
    <x v="0"/>
    <n v="2.1"/>
    <n v="8.7400000000000005E-2"/>
    <n v="0"/>
    <n v="0"/>
    <n v="0"/>
    <x v="2"/>
  </r>
  <r>
    <s v="TXN00472"/>
    <x v="175"/>
    <x v="0"/>
    <s v="SEK"/>
    <x v="2"/>
    <x v="1"/>
    <n v="843.43"/>
    <x v="1"/>
    <x v="0"/>
    <n v="1.9"/>
    <n v="8.7400000000000005E-2"/>
    <n v="1.4863016"/>
    <n v="76.716527999999997"/>
    <n v="78.202829600000001"/>
    <x v="2"/>
  </r>
  <r>
    <s v="TXN00415"/>
    <x v="176"/>
    <x v="3"/>
    <s v="EUR"/>
    <x v="3"/>
    <x v="3"/>
    <n v="119.35"/>
    <x v="0"/>
    <x v="0"/>
    <n v="3.2"/>
    <n v="1"/>
    <n v="0"/>
    <n v="0"/>
    <n v="0"/>
    <x v="2"/>
  </r>
  <r>
    <s v="TXN00708"/>
    <x v="177"/>
    <x v="6"/>
    <s v="EUR"/>
    <x v="2"/>
    <x v="0"/>
    <n v="2467.6"/>
    <x v="1"/>
    <x v="0"/>
    <n v="1.9"/>
    <n v="1"/>
    <n v="46.88"/>
    <n v="2420.7199999999998"/>
    <n v="2467.6"/>
    <x v="2"/>
  </r>
  <r>
    <s v="TXN00931"/>
    <x v="178"/>
    <x v="0"/>
    <s v="SEK"/>
    <x v="0"/>
    <x v="2"/>
    <n v="1309.43"/>
    <x v="1"/>
    <x v="0"/>
    <n v="2.5"/>
    <n v="8.7400000000000005E-2"/>
    <n v="3.0356528000000003"/>
    <n v="118.3746968"/>
    <n v="121.41034959999999"/>
    <x v="2"/>
  </r>
  <r>
    <s v="TXN00731"/>
    <x v="179"/>
    <x v="6"/>
    <s v="EUR"/>
    <x v="1"/>
    <x v="0"/>
    <n v="1558.85"/>
    <x v="2"/>
    <x v="2"/>
    <n v="2.9"/>
    <n v="1"/>
    <n v="0"/>
    <n v="0"/>
    <n v="0"/>
    <x v="2"/>
  </r>
  <r>
    <s v="TXN00682"/>
    <x v="180"/>
    <x v="1"/>
    <s v="NOK"/>
    <x v="2"/>
    <x v="1"/>
    <n v="3031.97"/>
    <x v="0"/>
    <x v="0"/>
    <n v="1.9"/>
    <n v="8.5999999999999993E-2"/>
    <n v="0"/>
    <n v="0"/>
    <n v="0"/>
    <x v="2"/>
  </r>
  <r>
    <s v="TXN00813"/>
    <x v="181"/>
    <x v="2"/>
    <s v="EUR"/>
    <x v="1"/>
    <x v="3"/>
    <n v="2404.12"/>
    <x v="1"/>
    <x v="0"/>
    <n v="2.9"/>
    <n v="1"/>
    <n v="69.72"/>
    <n v="2334.4"/>
    <n v="2404.12"/>
    <x v="2"/>
  </r>
  <r>
    <s v="TXN00759"/>
    <x v="182"/>
    <x v="7"/>
    <s v="EUR"/>
    <x v="3"/>
    <x v="3"/>
    <n v="3709.73"/>
    <x v="0"/>
    <x v="0"/>
    <n v="3.2"/>
    <n v="1"/>
    <n v="0"/>
    <n v="0"/>
    <n v="0"/>
    <x v="2"/>
  </r>
  <r>
    <s v="TXN00455"/>
    <x v="183"/>
    <x v="1"/>
    <s v="NOK"/>
    <x v="1"/>
    <x v="2"/>
    <n v="1269.43"/>
    <x v="1"/>
    <x v="0"/>
    <n v="2.9"/>
    <n v="8.5999999999999993E-2"/>
    <n v="3.2632065000000003"/>
    <n v="109.27176299999999"/>
    <n v="112.53496949999999"/>
    <x v="2"/>
  </r>
  <r>
    <s v="TXN00488"/>
    <x v="184"/>
    <x v="9"/>
    <s v="EUR"/>
    <x v="4"/>
    <x v="3"/>
    <n v="2085.98"/>
    <x v="0"/>
    <x v="0"/>
    <n v="2.1"/>
    <n v="1"/>
    <n v="0"/>
    <n v="0"/>
    <n v="0"/>
    <x v="2"/>
  </r>
  <r>
    <s v="TXN00793"/>
    <x v="185"/>
    <x v="1"/>
    <s v="NOK"/>
    <x v="0"/>
    <x v="2"/>
    <n v="88"/>
    <x v="2"/>
    <x v="4"/>
    <n v="2.5"/>
    <n v="8.5999999999999993E-2"/>
    <n v="0"/>
    <n v="0"/>
    <n v="0"/>
    <x v="2"/>
  </r>
  <r>
    <s v="TXN00508"/>
    <x v="186"/>
    <x v="1"/>
    <s v="NOK"/>
    <x v="2"/>
    <x v="1"/>
    <n v="4216.9399999999996"/>
    <x v="0"/>
    <x v="0"/>
    <n v="1.9"/>
    <n v="8.5999999999999993E-2"/>
    <n v="0"/>
    <n v="0"/>
    <n v="0"/>
    <x v="2"/>
  </r>
  <r>
    <s v="TXN00621"/>
    <x v="187"/>
    <x v="6"/>
    <s v="EUR"/>
    <x v="2"/>
    <x v="0"/>
    <n v="1367.95"/>
    <x v="0"/>
    <x v="0"/>
    <n v="1.9"/>
    <n v="1"/>
    <n v="0"/>
    <n v="0"/>
    <n v="0"/>
    <x v="2"/>
  </r>
  <r>
    <s v="TXN00449"/>
    <x v="188"/>
    <x v="1"/>
    <s v="NOK"/>
    <x v="1"/>
    <x v="2"/>
    <n v="971.89"/>
    <x v="1"/>
    <x v="0"/>
    <n v="2.9"/>
    <n v="8.5999999999999993E-2"/>
    <n v="2.498157"/>
    <n v="83.659891500000015"/>
    <n v="86.158048500000021"/>
    <x v="2"/>
  </r>
  <r>
    <s v="TXN00066"/>
    <x v="189"/>
    <x v="8"/>
    <s v="EUR"/>
    <x v="4"/>
    <x v="2"/>
    <n v="330.5"/>
    <x v="2"/>
    <x v="3"/>
    <n v="2.1"/>
    <n v="1"/>
    <n v="0"/>
    <n v="0"/>
    <n v="0"/>
    <x v="2"/>
  </r>
  <r>
    <s v="TXN00467"/>
    <x v="190"/>
    <x v="8"/>
    <s v="EUR"/>
    <x v="2"/>
    <x v="0"/>
    <n v="724.69"/>
    <x v="1"/>
    <x v="0"/>
    <n v="1.9"/>
    <n v="1"/>
    <n v="13.77"/>
    <n v="710.92"/>
    <n v="724.68999999999994"/>
    <x v="2"/>
  </r>
  <r>
    <s v="TXN00367"/>
    <x v="191"/>
    <x v="3"/>
    <s v="EUR"/>
    <x v="4"/>
    <x v="3"/>
    <n v="2657.24"/>
    <x v="1"/>
    <x v="0"/>
    <n v="2.1"/>
    <n v="1"/>
    <n v="55.8"/>
    <n v="2601.44"/>
    <n v="2657.2400000000002"/>
    <x v="2"/>
  </r>
  <r>
    <s v="TXN00784"/>
    <x v="192"/>
    <x v="9"/>
    <s v="EUR"/>
    <x v="2"/>
    <x v="2"/>
    <n v="2451.27"/>
    <x v="1"/>
    <x v="0"/>
    <n v="1.9"/>
    <n v="1"/>
    <n v="46.57"/>
    <n v="2404.6999999999998"/>
    <n v="2451.27"/>
    <x v="2"/>
  </r>
  <r>
    <s v="TXN00370"/>
    <x v="193"/>
    <x v="4"/>
    <s v="GBP"/>
    <x v="4"/>
    <x v="4"/>
    <n v="3008.99"/>
    <x v="0"/>
    <x v="0"/>
    <n v="2.1"/>
    <n v="1.1801999999999999"/>
    <n v="0"/>
    <n v="0"/>
    <n v="0"/>
    <x v="2"/>
  </r>
  <r>
    <s v="TXN00328"/>
    <x v="194"/>
    <x v="2"/>
    <s v="EUR"/>
    <x v="3"/>
    <x v="2"/>
    <n v="3579.03"/>
    <x v="2"/>
    <x v="4"/>
    <n v="3.2"/>
    <n v="1"/>
    <n v="0"/>
    <n v="0"/>
    <n v="0"/>
    <x v="2"/>
  </r>
  <r>
    <s v="TXN00299"/>
    <x v="195"/>
    <x v="6"/>
    <s v="EUR"/>
    <x v="4"/>
    <x v="4"/>
    <n v="4951.71"/>
    <x v="1"/>
    <x v="0"/>
    <n v="2.1"/>
    <n v="1"/>
    <n v="103.99"/>
    <n v="4847.72"/>
    <n v="4951.71"/>
    <x v="2"/>
  </r>
  <r>
    <s v="TXN00235"/>
    <x v="196"/>
    <x v="7"/>
    <s v="EUR"/>
    <x v="0"/>
    <x v="4"/>
    <n v="2096.4899999999998"/>
    <x v="1"/>
    <x v="0"/>
    <n v="2.5"/>
    <n v="1"/>
    <n v="52.41"/>
    <n v="2044.08"/>
    <n v="2096.4899999999998"/>
    <x v="2"/>
  </r>
  <r>
    <s v="TXN00792"/>
    <x v="197"/>
    <x v="5"/>
    <s v="PLN"/>
    <x v="2"/>
    <x v="2"/>
    <n v="2198.92"/>
    <x v="0"/>
    <x v="0"/>
    <n v="1.9"/>
    <n v="0.23269999999999999"/>
    <n v="0"/>
    <n v="0"/>
    <n v="0"/>
    <x v="2"/>
  </r>
  <r>
    <s v="TXN00854"/>
    <x v="198"/>
    <x v="0"/>
    <s v="SEK"/>
    <x v="3"/>
    <x v="1"/>
    <n v="3896.25"/>
    <x v="2"/>
    <x v="3"/>
    <n v="3.2"/>
    <n v="8.7400000000000005E-2"/>
    <n v="0"/>
    <n v="0"/>
    <n v="0"/>
    <x v="2"/>
  </r>
  <r>
    <s v="TXN00843"/>
    <x v="199"/>
    <x v="6"/>
    <s v="EUR"/>
    <x v="2"/>
    <x v="1"/>
    <n v="339.92"/>
    <x v="0"/>
    <x v="0"/>
    <n v="1.9"/>
    <n v="1"/>
    <n v="0"/>
    <n v="0"/>
    <n v="0"/>
    <x v="2"/>
  </r>
  <r>
    <s v="TXN00202"/>
    <x v="200"/>
    <x v="9"/>
    <s v="EUR"/>
    <x v="2"/>
    <x v="1"/>
    <n v="1210.42"/>
    <x v="2"/>
    <x v="1"/>
    <n v="1.9"/>
    <n v="1"/>
    <n v="0"/>
    <n v="0"/>
    <n v="0"/>
    <x v="2"/>
  </r>
  <r>
    <s v="TXN00909"/>
    <x v="201"/>
    <x v="5"/>
    <s v="PLN"/>
    <x v="3"/>
    <x v="3"/>
    <n v="3230.53"/>
    <x v="0"/>
    <x v="0"/>
    <n v="3.2"/>
    <n v="0.23269999999999999"/>
    <n v="0"/>
    <n v="0"/>
    <n v="0"/>
    <x v="2"/>
  </r>
  <r>
    <s v="TXN00575"/>
    <x v="202"/>
    <x v="1"/>
    <s v="NOK"/>
    <x v="0"/>
    <x v="3"/>
    <n v="329.76"/>
    <x v="1"/>
    <x v="0"/>
    <n v="2.5"/>
    <n v="8.5999999999999993E-2"/>
    <n v="0.73047600000000013"/>
    <n v="28.502748"/>
    <n v="29.233224"/>
    <x v="2"/>
  </r>
  <r>
    <s v="TXN00863"/>
    <x v="203"/>
    <x v="1"/>
    <s v="NOK"/>
    <x v="3"/>
    <x v="1"/>
    <n v="811.18"/>
    <x v="0"/>
    <x v="0"/>
    <n v="3.2"/>
    <n v="8.5999999999999993E-2"/>
    <n v="0"/>
    <n v="0"/>
    <n v="0"/>
    <x v="2"/>
  </r>
  <r>
    <s v="TXN00146"/>
    <x v="204"/>
    <x v="7"/>
    <s v="EUR"/>
    <x v="4"/>
    <x v="2"/>
    <n v="2705.68"/>
    <x v="1"/>
    <x v="0"/>
    <n v="2.1"/>
    <n v="1"/>
    <n v="56.82"/>
    <n v="2648.86"/>
    <n v="2705.6800000000003"/>
    <x v="2"/>
  </r>
  <r>
    <s v="TXN00741"/>
    <x v="205"/>
    <x v="6"/>
    <s v="EUR"/>
    <x v="2"/>
    <x v="1"/>
    <n v="1956.01"/>
    <x v="0"/>
    <x v="0"/>
    <n v="1.9"/>
    <n v="1"/>
    <n v="0"/>
    <n v="0"/>
    <n v="0"/>
    <x v="2"/>
  </r>
  <r>
    <s v="TXN00840"/>
    <x v="206"/>
    <x v="8"/>
    <s v="EUR"/>
    <x v="3"/>
    <x v="0"/>
    <n v="1870.43"/>
    <x v="1"/>
    <x v="0"/>
    <n v="3.2"/>
    <n v="1"/>
    <n v="59.85"/>
    <n v="1810.58"/>
    <n v="1870.4299999999998"/>
    <x v="2"/>
  </r>
  <r>
    <s v="TXN00922"/>
    <x v="207"/>
    <x v="3"/>
    <s v="EUR"/>
    <x v="2"/>
    <x v="3"/>
    <n v="80.430000000000007"/>
    <x v="0"/>
    <x v="0"/>
    <n v="1.9"/>
    <n v="1"/>
    <n v="0"/>
    <n v="0"/>
    <n v="0"/>
    <x v="2"/>
  </r>
  <r>
    <s v="TXN00564"/>
    <x v="208"/>
    <x v="3"/>
    <s v="EUR"/>
    <x v="0"/>
    <x v="4"/>
    <n v="3003.07"/>
    <x v="0"/>
    <x v="0"/>
    <n v="2.5"/>
    <n v="1"/>
    <n v="0"/>
    <n v="0"/>
    <n v="0"/>
    <x v="2"/>
  </r>
  <r>
    <s v="TXN00250"/>
    <x v="209"/>
    <x v="2"/>
    <s v="EUR"/>
    <x v="0"/>
    <x v="4"/>
    <n v="3877.11"/>
    <x v="2"/>
    <x v="4"/>
    <n v="2.5"/>
    <n v="1"/>
    <n v="0"/>
    <n v="0"/>
    <n v="0"/>
    <x v="2"/>
  </r>
  <r>
    <s v="TXN00779"/>
    <x v="210"/>
    <x v="8"/>
    <s v="EUR"/>
    <x v="2"/>
    <x v="3"/>
    <n v="2581.7600000000002"/>
    <x v="2"/>
    <x v="2"/>
    <n v="1.9"/>
    <n v="1"/>
    <n v="0"/>
    <n v="0"/>
    <n v="0"/>
    <x v="2"/>
  </r>
  <r>
    <s v="TXN00435"/>
    <x v="211"/>
    <x v="4"/>
    <s v="GBP"/>
    <x v="1"/>
    <x v="1"/>
    <n v="4042.82"/>
    <x v="2"/>
    <x v="5"/>
    <n v="2.9"/>
    <n v="1.1801999999999999"/>
    <n v="0"/>
    <n v="0"/>
    <n v="0"/>
    <x v="2"/>
  </r>
  <r>
    <s v="TXN00396"/>
    <x v="212"/>
    <x v="6"/>
    <s v="EUR"/>
    <x v="0"/>
    <x v="1"/>
    <n v="2038.5"/>
    <x v="0"/>
    <x v="0"/>
    <n v="2.5"/>
    <n v="1"/>
    <n v="0"/>
    <n v="0"/>
    <n v="0"/>
    <x v="2"/>
  </r>
  <r>
    <s v="TXN00032"/>
    <x v="213"/>
    <x v="2"/>
    <s v="EUR"/>
    <x v="1"/>
    <x v="4"/>
    <n v="3681.33"/>
    <x v="1"/>
    <x v="0"/>
    <n v="2.9"/>
    <n v="1"/>
    <n v="106.76"/>
    <n v="3574.57"/>
    <n v="3681.3300000000004"/>
    <x v="2"/>
  </r>
  <r>
    <s v="TXN00714"/>
    <x v="214"/>
    <x v="0"/>
    <s v="SEK"/>
    <x v="3"/>
    <x v="0"/>
    <n v="3922.11"/>
    <x v="2"/>
    <x v="4"/>
    <n v="3.2"/>
    <n v="8.7400000000000005E-2"/>
    <n v="0"/>
    <n v="0"/>
    <n v="0"/>
    <x v="2"/>
  </r>
  <r>
    <s v="TXN00098"/>
    <x v="215"/>
    <x v="6"/>
    <s v="EUR"/>
    <x v="2"/>
    <x v="0"/>
    <n v="1463.38"/>
    <x v="1"/>
    <x v="0"/>
    <n v="1.9"/>
    <n v="1"/>
    <n v="27.8"/>
    <n v="1435.58"/>
    <n v="1463.3799999999999"/>
    <x v="2"/>
  </r>
  <r>
    <s v="TXN00801"/>
    <x v="216"/>
    <x v="0"/>
    <s v="SEK"/>
    <x v="1"/>
    <x v="3"/>
    <n v="4476.45"/>
    <x v="2"/>
    <x v="5"/>
    <n v="2.9"/>
    <n v="8.7400000000000005E-2"/>
    <n v="0"/>
    <n v="0"/>
    <n v="0"/>
    <x v="2"/>
  </r>
  <r>
    <s v="TXN00383"/>
    <x v="217"/>
    <x v="4"/>
    <s v="GBP"/>
    <x v="2"/>
    <x v="3"/>
    <n v="1149.74"/>
    <x v="0"/>
    <x v="0"/>
    <n v="1.9"/>
    <n v="1.1801999999999999"/>
    <n v="0"/>
    <n v="0"/>
    <n v="0"/>
    <x v="2"/>
  </r>
  <r>
    <s v="TXN00632"/>
    <x v="218"/>
    <x v="1"/>
    <s v="NOK"/>
    <x v="3"/>
    <x v="3"/>
    <n v="308.27999999999997"/>
    <x v="1"/>
    <x v="0"/>
    <n v="3.2"/>
    <n v="8.5999999999999993E-2"/>
    <n v="0.874089"/>
    <n v="26.454933000000004"/>
    <n v="27.329022000000005"/>
    <x v="2"/>
  </r>
  <r>
    <s v="TXN00164"/>
    <x v="219"/>
    <x v="4"/>
    <s v="GBP"/>
    <x v="3"/>
    <x v="0"/>
    <n v="3313.07"/>
    <x v="2"/>
    <x v="5"/>
    <n v="3.2"/>
    <n v="1.1801999999999999"/>
    <n v="0"/>
    <n v="0"/>
    <n v="0"/>
    <x v="2"/>
  </r>
  <r>
    <s v="TXN00628"/>
    <x v="220"/>
    <x v="9"/>
    <s v="EUR"/>
    <x v="2"/>
    <x v="4"/>
    <n v="619.49"/>
    <x v="2"/>
    <x v="3"/>
    <n v="1.9"/>
    <n v="1"/>
    <n v="0"/>
    <n v="0"/>
    <n v="0"/>
    <x v="2"/>
  </r>
  <r>
    <s v="TXN00004"/>
    <x v="221"/>
    <x v="5"/>
    <s v="PLN"/>
    <x v="3"/>
    <x v="2"/>
    <n v="1084.42"/>
    <x v="1"/>
    <x v="0"/>
    <n v="3.2"/>
    <n v="0.23269999999999999"/>
    <n v="8.0781600000000005"/>
    <n v="244.37481600000001"/>
    <n v="252.45297600000001"/>
    <x v="2"/>
  </r>
  <r>
    <s v="TXN00537"/>
    <x v="222"/>
    <x v="1"/>
    <s v="NOK"/>
    <x v="3"/>
    <x v="2"/>
    <n v="581.97"/>
    <x v="0"/>
    <x v="0"/>
    <n v="3.2"/>
    <n v="8.5999999999999993E-2"/>
    <n v="0"/>
    <n v="0"/>
    <n v="0"/>
    <x v="2"/>
  </r>
  <r>
    <s v="TXN00193"/>
    <x v="223"/>
    <x v="1"/>
    <s v="NOK"/>
    <x v="4"/>
    <x v="1"/>
    <n v="270.38"/>
    <x v="2"/>
    <x v="3"/>
    <n v="2.1"/>
    <n v="8.5999999999999993E-2"/>
    <n v="0"/>
    <n v="0"/>
    <n v="0"/>
    <x v="2"/>
  </r>
  <r>
    <s v="TXN00043"/>
    <x v="224"/>
    <x v="0"/>
    <s v="SEK"/>
    <x v="0"/>
    <x v="4"/>
    <n v="58.25"/>
    <x v="1"/>
    <x v="0"/>
    <n v="2.5"/>
    <n v="8.7400000000000005E-2"/>
    <n v="0.1353712"/>
    <n v="5.2655687999999996"/>
    <n v="5.4009399999999994"/>
    <x v="2"/>
  </r>
  <r>
    <s v="TXN00851"/>
    <x v="225"/>
    <x v="5"/>
    <s v="PLN"/>
    <x v="0"/>
    <x v="1"/>
    <n v="253.09"/>
    <x v="1"/>
    <x v="0"/>
    <n v="2.5"/>
    <n v="0.23269999999999999"/>
    <n v="1.473624"/>
    <n v="57.445728000000003"/>
    <n v="58.919352000000003"/>
    <x v="2"/>
  </r>
  <r>
    <s v="TXN00855"/>
    <x v="226"/>
    <x v="3"/>
    <s v="EUR"/>
    <x v="2"/>
    <x v="2"/>
    <n v="4159.55"/>
    <x v="0"/>
    <x v="0"/>
    <n v="1.9"/>
    <n v="1"/>
    <n v="0"/>
    <n v="0"/>
    <n v="0"/>
    <x v="2"/>
  </r>
  <r>
    <s v="TXN00696"/>
    <x v="227"/>
    <x v="9"/>
    <s v="EUR"/>
    <x v="0"/>
    <x v="1"/>
    <n v="1554.5"/>
    <x v="2"/>
    <x v="3"/>
    <n v="2.5"/>
    <n v="1"/>
    <n v="0"/>
    <n v="0"/>
    <n v="0"/>
    <x v="2"/>
  </r>
  <r>
    <s v="TXN00245"/>
    <x v="228"/>
    <x v="7"/>
    <s v="EUR"/>
    <x v="2"/>
    <x v="1"/>
    <n v="2541.5"/>
    <x v="0"/>
    <x v="0"/>
    <n v="1.9"/>
    <n v="1"/>
    <n v="0"/>
    <n v="0"/>
    <n v="0"/>
    <x v="2"/>
  </r>
  <r>
    <s v="TXN00380"/>
    <x v="229"/>
    <x v="0"/>
    <s v="SEK"/>
    <x v="2"/>
    <x v="1"/>
    <n v="843.15"/>
    <x v="1"/>
    <x v="0"/>
    <n v="1.9"/>
    <n v="8.7400000000000005E-2"/>
    <n v="1.4853744"/>
    <n v="76.691493600000001"/>
    <n v="78.176867999999999"/>
    <x v="2"/>
  </r>
  <r>
    <s v="TXN00824"/>
    <x v="230"/>
    <x v="3"/>
    <s v="EUR"/>
    <x v="0"/>
    <x v="2"/>
    <n v="4376.22"/>
    <x v="0"/>
    <x v="0"/>
    <n v="2.5"/>
    <n v="1"/>
    <n v="0"/>
    <n v="0"/>
    <n v="0"/>
    <x v="2"/>
  </r>
  <r>
    <s v="TXN00101"/>
    <x v="231"/>
    <x v="1"/>
    <s v="NOK"/>
    <x v="3"/>
    <x v="0"/>
    <n v="630.52"/>
    <x v="1"/>
    <x v="0"/>
    <n v="3.2"/>
    <n v="8.5999999999999993E-2"/>
    <n v="1.7889570000000001"/>
    <n v="54.106641000000003"/>
    <n v="55.895598000000007"/>
    <x v="2"/>
  </r>
  <r>
    <s v="TXN00031"/>
    <x v="232"/>
    <x v="8"/>
    <s v="EUR"/>
    <x v="3"/>
    <x v="0"/>
    <n v="1433.39"/>
    <x v="0"/>
    <x v="0"/>
    <n v="3.2"/>
    <n v="1"/>
    <n v="0"/>
    <n v="0"/>
    <n v="0"/>
    <x v="2"/>
  </r>
  <r>
    <s v="TXN00981"/>
    <x v="233"/>
    <x v="8"/>
    <s v="EUR"/>
    <x v="1"/>
    <x v="2"/>
    <n v="4513.53"/>
    <x v="1"/>
    <x v="0"/>
    <n v="2.9"/>
    <n v="1"/>
    <n v="130.88999999999999"/>
    <n v="4382.6400000000003"/>
    <n v="4513.5300000000007"/>
    <x v="2"/>
  </r>
  <r>
    <s v="TXN00502"/>
    <x v="234"/>
    <x v="8"/>
    <s v="EUR"/>
    <x v="1"/>
    <x v="1"/>
    <n v="3058.15"/>
    <x v="1"/>
    <x v="0"/>
    <n v="2.9"/>
    <n v="1"/>
    <n v="88.69"/>
    <n v="2969.46"/>
    <n v="3058.15"/>
    <x v="2"/>
  </r>
  <r>
    <s v="TXN00609"/>
    <x v="235"/>
    <x v="4"/>
    <s v="GBP"/>
    <x v="1"/>
    <x v="0"/>
    <n v="2746.68"/>
    <x v="1"/>
    <x v="0"/>
    <n v="2.9"/>
    <n v="1.1801999999999999"/>
    <n v="91.51785000000001"/>
    <n v="3064.4174700000003"/>
    <n v="3155.9353200000005"/>
    <x v="2"/>
  </r>
  <r>
    <s v="TXN00764"/>
    <x v="236"/>
    <x v="6"/>
    <s v="EUR"/>
    <x v="3"/>
    <x v="0"/>
    <n v="3733.29"/>
    <x v="0"/>
    <x v="0"/>
    <n v="3.2"/>
    <n v="1"/>
    <n v="0"/>
    <n v="0"/>
    <n v="0"/>
    <x v="2"/>
  </r>
  <r>
    <s v="TXN00076"/>
    <x v="237"/>
    <x v="4"/>
    <s v="GBP"/>
    <x v="4"/>
    <x v="1"/>
    <n v="549.41"/>
    <x v="1"/>
    <x v="0"/>
    <n v="2.1"/>
    <n v="1.1801999999999999"/>
    <n v="13.259459999999999"/>
    <n v="618.01263000000006"/>
    <n v="631.27209000000005"/>
    <x v="2"/>
  </r>
  <r>
    <s v="TXN00975"/>
    <x v="238"/>
    <x v="2"/>
    <s v="EUR"/>
    <x v="3"/>
    <x v="2"/>
    <n v="3644.46"/>
    <x v="2"/>
    <x v="5"/>
    <n v="3.2"/>
    <n v="1"/>
    <n v="0"/>
    <n v="0"/>
    <n v="0"/>
    <x v="2"/>
  </r>
  <r>
    <s v="TXN00331"/>
    <x v="239"/>
    <x v="9"/>
    <s v="EUR"/>
    <x v="2"/>
    <x v="0"/>
    <n v="4834.3900000000003"/>
    <x v="1"/>
    <x v="0"/>
    <n v="1.9"/>
    <n v="1"/>
    <n v="91.85"/>
    <n v="4742.54"/>
    <n v="4834.3900000000003"/>
    <x v="2"/>
  </r>
  <r>
    <s v="TXN00562"/>
    <x v="240"/>
    <x v="5"/>
    <s v="PLN"/>
    <x v="0"/>
    <x v="4"/>
    <n v="2957.07"/>
    <x v="1"/>
    <x v="0"/>
    <n v="2.5"/>
    <n v="0.23269999999999999"/>
    <n v="17.210904000000003"/>
    <n v="671.19499199999996"/>
    <n v="688.40589599999998"/>
    <x v="2"/>
  </r>
  <r>
    <s v="TXN00872"/>
    <x v="241"/>
    <x v="2"/>
    <s v="EUR"/>
    <x v="3"/>
    <x v="2"/>
    <n v="2978.85"/>
    <x v="2"/>
    <x v="4"/>
    <n v="3.2"/>
    <n v="1"/>
    <n v="0"/>
    <n v="0"/>
    <n v="0"/>
    <x v="2"/>
  </r>
  <r>
    <s v="TXN00173"/>
    <x v="242"/>
    <x v="4"/>
    <s v="GBP"/>
    <x v="2"/>
    <x v="4"/>
    <n v="977.58"/>
    <x v="1"/>
    <x v="0"/>
    <n v="1.9"/>
    <n v="1.1801999999999999"/>
    <n v="21.336930000000002"/>
    <n v="1101.9024899999999"/>
    <n v="1123.2394199999999"/>
    <x v="2"/>
  </r>
  <r>
    <s v="TXN00320"/>
    <x v="243"/>
    <x v="7"/>
    <s v="EUR"/>
    <x v="3"/>
    <x v="0"/>
    <n v="738.21"/>
    <x v="1"/>
    <x v="0"/>
    <n v="3.2"/>
    <n v="1"/>
    <n v="23.62"/>
    <n v="714.59"/>
    <n v="738.21"/>
    <x v="2"/>
  </r>
  <r>
    <s v="TXN00469"/>
    <x v="244"/>
    <x v="3"/>
    <s v="EUR"/>
    <x v="0"/>
    <x v="3"/>
    <n v="655.74"/>
    <x v="2"/>
    <x v="2"/>
    <n v="2.5"/>
    <n v="1"/>
    <n v="0"/>
    <n v="0"/>
    <n v="0"/>
    <x v="2"/>
  </r>
  <r>
    <s v="TXN00058"/>
    <x v="245"/>
    <x v="7"/>
    <s v="EUR"/>
    <x v="2"/>
    <x v="4"/>
    <n v="1682.59"/>
    <x v="1"/>
    <x v="0"/>
    <n v="1.9"/>
    <n v="1"/>
    <n v="31.97"/>
    <n v="1650.62"/>
    <n v="1682.59"/>
    <x v="2"/>
  </r>
  <r>
    <s v="TXN00937"/>
    <x v="246"/>
    <x v="7"/>
    <s v="EUR"/>
    <x v="2"/>
    <x v="4"/>
    <n v="1069.8599999999999"/>
    <x v="1"/>
    <x v="0"/>
    <n v="1.9"/>
    <n v="1"/>
    <n v="20.329999999999998"/>
    <n v="1049.53"/>
    <n v="1069.8599999999999"/>
    <x v="2"/>
  </r>
  <r>
    <s v="TXN00561"/>
    <x v="247"/>
    <x v="8"/>
    <s v="EUR"/>
    <x v="2"/>
    <x v="2"/>
    <n v="3975.13"/>
    <x v="1"/>
    <x v="0"/>
    <n v="1.9"/>
    <n v="1"/>
    <n v="75.53"/>
    <n v="3899.6"/>
    <n v="3975.13"/>
    <x v="2"/>
  </r>
  <r>
    <s v="TXN00865"/>
    <x v="248"/>
    <x v="4"/>
    <s v="GBP"/>
    <x v="4"/>
    <x v="4"/>
    <n v="4257.97"/>
    <x v="2"/>
    <x v="3"/>
    <n v="2.1"/>
    <n v="1.1801999999999999"/>
    <n v="0"/>
    <n v="0"/>
    <n v="0"/>
    <x v="2"/>
  </r>
  <r>
    <s v="TXN00171"/>
    <x v="249"/>
    <x v="5"/>
    <s v="PLN"/>
    <x v="1"/>
    <x v="0"/>
    <n v="4223.9799999999996"/>
    <x v="1"/>
    <x v="0"/>
    <n v="2.9"/>
    <n v="0.23269999999999999"/>
    <n v="28.518000000000001"/>
    <n v="954.82454399999995"/>
    <n v="983.34254399999998"/>
    <x v="2"/>
  </r>
  <r>
    <s v="TXN00229"/>
    <x v="250"/>
    <x v="1"/>
    <s v="NOK"/>
    <x v="3"/>
    <x v="4"/>
    <n v="215.56"/>
    <x v="1"/>
    <x v="0"/>
    <n v="3.2"/>
    <n v="8.5999999999999993E-2"/>
    <n v="0.61168500000000003"/>
    <n v="18.497709"/>
    <n v="19.109394000000002"/>
    <x v="2"/>
  </r>
  <r>
    <s v="TXN00220"/>
    <x v="251"/>
    <x v="4"/>
    <s v="GBP"/>
    <x v="3"/>
    <x v="1"/>
    <n v="3550.61"/>
    <x v="0"/>
    <x v="0"/>
    <n v="3.2"/>
    <n v="1.1801999999999999"/>
    <n v="0"/>
    <n v="0"/>
    <n v="0"/>
    <x v="2"/>
  </r>
  <r>
    <s v="TXN00713"/>
    <x v="252"/>
    <x v="5"/>
    <s v="PLN"/>
    <x v="0"/>
    <x v="0"/>
    <n v="3988.3"/>
    <x v="1"/>
    <x v="0"/>
    <n v="2.5"/>
    <n v="0.23269999999999999"/>
    <n v="23.212488"/>
    <n v="905.26375200000007"/>
    <n v="928.47624000000008"/>
    <x v="2"/>
  </r>
  <r>
    <s v="TXN00577"/>
    <x v="253"/>
    <x v="6"/>
    <s v="EUR"/>
    <x v="1"/>
    <x v="2"/>
    <n v="4254.33"/>
    <x v="0"/>
    <x v="0"/>
    <n v="2.9"/>
    <n v="1"/>
    <n v="0"/>
    <n v="0"/>
    <n v="0"/>
    <x v="2"/>
  </r>
  <r>
    <s v="TXN00452"/>
    <x v="254"/>
    <x v="0"/>
    <s v="SEK"/>
    <x v="3"/>
    <x v="1"/>
    <n v="825.93"/>
    <x v="1"/>
    <x v="0"/>
    <n v="3.2"/>
    <n v="8.7400000000000005E-2"/>
    <n v="2.4505895999999998"/>
    <n v="74.129639999999995"/>
    <n v="76.580229599999996"/>
    <x v="2"/>
  </r>
  <r>
    <s v="TXN00693"/>
    <x v="255"/>
    <x v="2"/>
    <s v="EUR"/>
    <x v="0"/>
    <x v="3"/>
    <n v="1257.9100000000001"/>
    <x v="1"/>
    <x v="0"/>
    <n v="2.5"/>
    <n v="1"/>
    <n v="31.45"/>
    <n v="1226.46"/>
    <n v="1257.9100000000001"/>
    <x v="3"/>
  </r>
  <r>
    <s v="TXN00409"/>
    <x v="256"/>
    <x v="1"/>
    <s v="NOK"/>
    <x v="4"/>
    <x v="3"/>
    <n v="4479.87"/>
    <x v="1"/>
    <x v="0"/>
    <n v="2.1"/>
    <n v="8.5999999999999993E-2"/>
    <n v="8.340192"/>
    <n v="388.80028350000003"/>
    <n v="397.14047550000004"/>
    <x v="3"/>
  </r>
  <r>
    <s v="TXN00161"/>
    <x v="257"/>
    <x v="7"/>
    <s v="EUR"/>
    <x v="3"/>
    <x v="1"/>
    <n v="40.47"/>
    <x v="1"/>
    <x v="0"/>
    <n v="3.2"/>
    <n v="1"/>
    <n v="1.3"/>
    <n v="39.17"/>
    <n v="40.47"/>
    <x v="3"/>
  </r>
  <r>
    <s v="TXN00761"/>
    <x v="258"/>
    <x v="9"/>
    <s v="EUR"/>
    <x v="3"/>
    <x v="3"/>
    <n v="4837.05"/>
    <x v="0"/>
    <x v="0"/>
    <n v="3.2"/>
    <n v="1"/>
    <n v="0"/>
    <n v="0"/>
    <n v="0"/>
    <x v="3"/>
  </r>
  <r>
    <s v="TXN00692"/>
    <x v="259"/>
    <x v="0"/>
    <s v="SEK"/>
    <x v="4"/>
    <x v="0"/>
    <n v="2073.66"/>
    <x v="2"/>
    <x v="4"/>
    <n v="2.1"/>
    <n v="8.7400000000000005E-2"/>
    <n v="0"/>
    <n v="0"/>
    <n v="0"/>
    <x v="3"/>
  </r>
  <r>
    <s v="TXN00953"/>
    <x v="260"/>
    <x v="4"/>
    <s v="GBP"/>
    <x v="0"/>
    <x v="1"/>
    <n v="1576.59"/>
    <x v="2"/>
    <x v="2"/>
    <n v="2.5"/>
    <n v="1.1801999999999999"/>
    <n v="0"/>
    <n v="0"/>
    <n v="0"/>
    <x v="3"/>
  </r>
  <r>
    <s v="TXN00638"/>
    <x v="261"/>
    <x v="5"/>
    <s v="PLN"/>
    <x v="2"/>
    <x v="2"/>
    <n v="1610.26"/>
    <x v="1"/>
    <x v="0"/>
    <n v="1.9"/>
    <n v="0.23269999999999999"/>
    <n v="7.1213519999999999"/>
    <n v="367.74717600000002"/>
    <n v="374.86852800000003"/>
    <x v="3"/>
  </r>
  <r>
    <s v="TXN00034"/>
    <x v="262"/>
    <x v="4"/>
    <s v="GBP"/>
    <x v="4"/>
    <x v="0"/>
    <n v="608.23"/>
    <x v="0"/>
    <x v="0"/>
    <n v="2.1"/>
    <n v="1.1801999999999999"/>
    <n v="0"/>
    <n v="0"/>
    <n v="0"/>
    <x v="3"/>
  </r>
  <r>
    <s v="TXN00673"/>
    <x v="263"/>
    <x v="6"/>
    <s v="EUR"/>
    <x v="2"/>
    <x v="3"/>
    <n v="208.36"/>
    <x v="0"/>
    <x v="0"/>
    <n v="1.9"/>
    <n v="1"/>
    <n v="0"/>
    <n v="0"/>
    <n v="0"/>
    <x v="3"/>
  </r>
  <r>
    <s v="TXN00434"/>
    <x v="264"/>
    <x v="7"/>
    <s v="EUR"/>
    <x v="0"/>
    <x v="0"/>
    <n v="1324.37"/>
    <x v="1"/>
    <x v="0"/>
    <n v="2.5"/>
    <n v="1"/>
    <n v="33.11"/>
    <n v="1291.26"/>
    <n v="1324.37"/>
    <x v="3"/>
  </r>
  <r>
    <s v="TXN00210"/>
    <x v="265"/>
    <x v="6"/>
    <s v="EUR"/>
    <x v="3"/>
    <x v="4"/>
    <n v="1340.94"/>
    <x v="1"/>
    <x v="0"/>
    <n v="3.2"/>
    <n v="1"/>
    <n v="42.91"/>
    <n v="1298.03"/>
    <n v="1340.94"/>
    <x v="3"/>
  </r>
  <r>
    <s v="TXN00622"/>
    <x v="266"/>
    <x v="3"/>
    <s v="EUR"/>
    <x v="1"/>
    <x v="4"/>
    <n v="120.43"/>
    <x v="1"/>
    <x v="0"/>
    <n v="2.9"/>
    <n v="1"/>
    <n v="3.49"/>
    <n v="116.94"/>
    <n v="120.42999999999999"/>
    <x v="3"/>
  </r>
  <r>
    <s v="TXN00618"/>
    <x v="267"/>
    <x v="0"/>
    <s v="SEK"/>
    <x v="0"/>
    <x v="0"/>
    <n v="1256.98"/>
    <x v="2"/>
    <x v="2"/>
    <n v="2.5"/>
    <n v="8.7400000000000005E-2"/>
    <n v="0"/>
    <n v="0"/>
    <n v="0"/>
    <x v="3"/>
  </r>
  <r>
    <s v="TXN00646"/>
    <x v="268"/>
    <x v="2"/>
    <s v="EUR"/>
    <x v="2"/>
    <x v="2"/>
    <n v="2796.53"/>
    <x v="0"/>
    <x v="0"/>
    <n v="1.9"/>
    <n v="1"/>
    <n v="0"/>
    <n v="0"/>
    <n v="0"/>
    <x v="3"/>
  </r>
  <r>
    <s v="TXN00429"/>
    <x v="269"/>
    <x v="0"/>
    <s v="SEK"/>
    <x v="2"/>
    <x v="1"/>
    <n v="3306.38"/>
    <x v="1"/>
    <x v="0"/>
    <n v="1.9"/>
    <n v="8.7400000000000005E-2"/>
    <n v="5.8246703999999996"/>
    <n v="300.74288319999999"/>
    <n v="306.5675536"/>
    <x v="3"/>
  </r>
  <r>
    <s v="TXN00639"/>
    <x v="270"/>
    <x v="6"/>
    <s v="EUR"/>
    <x v="2"/>
    <x v="2"/>
    <n v="3069.07"/>
    <x v="1"/>
    <x v="0"/>
    <n v="1.9"/>
    <n v="1"/>
    <n v="58.31"/>
    <n v="3010.76"/>
    <n v="3069.07"/>
    <x v="3"/>
  </r>
  <r>
    <s v="TXN00771"/>
    <x v="271"/>
    <x v="1"/>
    <s v="NOK"/>
    <x v="1"/>
    <x v="3"/>
    <n v="4693.1400000000003"/>
    <x v="1"/>
    <x v="0"/>
    <n v="2.9"/>
    <n v="8.5999999999999993E-2"/>
    <n v="12.065265"/>
    <n v="403.98159600000002"/>
    <n v="416.04686100000004"/>
    <x v="3"/>
  </r>
  <r>
    <s v="TXN00685"/>
    <x v="272"/>
    <x v="8"/>
    <s v="EUR"/>
    <x v="1"/>
    <x v="1"/>
    <n v="4751.49"/>
    <x v="1"/>
    <x v="0"/>
    <n v="2.9"/>
    <n v="1"/>
    <n v="137.79"/>
    <n v="4613.7"/>
    <n v="4751.49"/>
    <x v="3"/>
  </r>
  <r>
    <s v="TXN00253"/>
    <x v="273"/>
    <x v="0"/>
    <s v="SEK"/>
    <x v="3"/>
    <x v="2"/>
    <n v="4708.01"/>
    <x v="1"/>
    <x v="0"/>
    <n v="3.2"/>
    <n v="8.7400000000000005E-2"/>
    <n v="13.9691952"/>
    <n v="422.55749200000002"/>
    <n v="436.52668720000003"/>
    <x v="3"/>
  </r>
  <r>
    <s v="TXN00578"/>
    <x v="274"/>
    <x v="1"/>
    <s v="NOK"/>
    <x v="2"/>
    <x v="4"/>
    <n v="3495.26"/>
    <x v="0"/>
    <x v="0"/>
    <n v="1.9"/>
    <n v="8.5999999999999993E-2"/>
    <n v="0"/>
    <n v="0"/>
    <n v="0"/>
    <x v="3"/>
  </r>
  <r>
    <s v="TXN00518"/>
    <x v="275"/>
    <x v="3"/>
    <s v="EUR"/>
    <x v="1"/>
    <x v="2"/>
    <n v="4812.75"/>
    <x v="0"/>
    <x v="0"/>
    <n v="2.9"/>
    <n v="1"/>
    <n v="0"/>
    <n v="0"/>
    <n v="0"/>
    <x v="3"/>
  </r>
  <r>
    <s v="TXN00838"/>
    <x v="276"/>
    <x v="0"/>
    <s v="SEK"/>
    <x v="0"/>
    <x v="3"/>
    <n v="4879.4399999999996"/>
    <x v="2"/>
    <x v="1"/>
    <n v="2.5"/>
    <n v="8.7400000000000005E-2"/>
    <n v="0"/>
    <n v="0"/>
    <n v="0"/>
    <x v="3"/>
  </r>
  <r>
    <s v="TXN00742"/>
    <x v="277"/>
    <x v="5"/>
    <s v="PLN"/>
    <x v="3"/>
    <x v="4"/>
    <n v="3973.79"/>
    <x v="1"/>
    <x v="0"/>
    <n v="3.2"/>
    <n v="0.23269999999999999"/>
    <n v="29.602848000000002"/>
    <n v="895.49546400000008"/>
    <n v="925.09831200000008"/>
    <x v="3"/>
  </r>
  <r>
    <s v="TXN00919"/>
    <x v="278"/>
    <x v="5"/>
    <s v="PLN"/>
    <x v="4"/>
    <x v="0"/>
    <n v="4383.1899999999996"/>
    <x v="0"/>
    <x v="0"/>
    <n v="2.1"/>
    <n v="0.23269999999999999"/>
    <n v="0"/>
    <n v="0"/>
    <n v="0"/>
    <x v="3"/>
  </r>
  <r>
    <s v="TXN00629"/>
    <x v="279"/>
    <x v="9"/>
    <s v="EUR"/>
    <x v="4"/>
    <x v="3"/>
    <n v="1187.47"/>
    <x v="2"/>
    <x v="3"/>
    <n v="2.1"/>
    <n v="1"/>
    <n v="0"/>
    <n v="0"/>
    <n v="0"/>
    <x v="3"/>
  </r>
  <r>
    <s v="TXN00401"/>
    <x v="280"/>
    <x v="4"/>
    <s v="GBP"/>
    <x v="2"/>
    <x v="4"/>
    <n v="1301.52"/>
    <x v="1"/>
    <x v="0"/>
    <n v="1.9"/>
    <n v="1.1801999999999999"/>
    <n v="28.414770000000001"/>
    <n v="1467.03171"/>
    <n v="1495.4464800000001"/>
    <x v="3"/>
  </r>
  <r>
    <s v="TXN00662"/>
    <x v="281"/>
    <x v="1"/>
    <s v="NOK"/>
    <x v="4"/>
    <x v="4"/>
    <n v="3083.82"/>
    <x v="0"/>
    <x v="0"/>
    <n v="2.1"/>
    <n v="8.5999999999999993E-2"/>
    <n v="0"/>
    <n v="0"/>
    <n v="0"/>
    <x v="3"/>
  </r>
  <r>
    <s v="TXN00539"/>
    <x v="282"/>
    <x v="6"/>
    <s v="EUR"/>
    <x v="3"/>
    <x v="1"/>
    <n v="649.79"/>
    <x v="1"/>
    <x v="0"/>
    <n v="3.2"/>
    <n v="1"/>
    <n v="20.79"/>
    <n v="629"/>
    <n v="649.79"/>
    <x v="3"/>
  </r>
  <r>
    <s v="TXN00845"/>
    <x v="283"/>
    <x v="8"/>
    <s v="EUR"/>
    <x v="3"/>
    <x v="4"/>
    <n v="2458.02"/>
    <x v="1"/>
    <x v="0"/>
    <n v="3.2"/>
    <n v="1"/>
    <n v="78.66"/>
    <n v="2379.36"/>
    <n v="2458.02"/>
    <x v="3"/>
  </r>
  <r>
    <s v="TXN00895"/>
    <x v="284"/>
    <x v="7"/>
    <s v="EUR"/>
    <x v="2"/>
    <x v="4"/>
    <n v="2271.61"/>
    <x v="0"/>
    <x v="0"/>
    <n v="1.9"/>
    <n v="1"/>
    <n v="0"/>
    <n v="0"/>
    <n v="0"/>
    <x v="3"/>
  </r>
  <r>
    <s v="TXN00776"/>
    <x v="285"/>
    <x v="3"/>
    <s v="EUR"/>
    <x v="0"/>
    <x v="3"/>
    <n v="727.92"/>
    <x v="2"/>
    <x v="1"/>
    <n v="2.5"/>
    <n v="1"/>
    <n v="0"/>
    <n v="0"/>
    <n v="0"/>
    <x v="3"/>
  </r>
  <r>
    <s v="TXN00590"/>
    <x v="286"/>
    <x v="1"/>
    <s v="NOK"/>
    <x v="3"/>
    <x v="2"/>
    <n v="3896.9"/>
    <x v="1"/>
    <x v="0"/>
    <n v="3.2"/>
    <n v="8.5999999999999993E-2"/>
    <n v="11.054655"/>
    <n v="334.40553"/>
    <n v="345.46018500000002"/>
    <x v="3"/>
  </r>
  <r>
    <s v="TXN00977"/>
    <x v="287"/>
    <x v="9"/>
    <s v="EUR"/>
    <x v="4"/>
    <x v="0"/>
    <n v="1713.19"/>
    <x v="0"/>
    <x v="0"/>
    <n v="2.1"/>
    <n v="1"/>
    <n v="0"/>
    <n v="0"/>
    <n v="0"/>
    <x v="3"/>
  </r>
  <r>
    <s v="TXN00257"/>
    <x v="288"/>
    <x v="0"/>
    <s v="SEK"/>
    <x v="3"/>
    <x v="2"/>
    <n v="555.04"/>
    <x v="0"/>
    <x v="0"/>
    <n v="3.2"/>
    <n v="8.7400000000000005E-2"/>
    <n v="0"/>
    <n v="0"/>
    <n v="0"/>
    <x v="3"/>
  </r>
  <r>
    <s v="TXN00686"/>
    <x v="289"/>
    <x v="6"/>
    <s v="EUR"/>
    <x v="2"/>
    <x v="0"/>
    <n v="3442.43"/>
    <x v="2"/>
    <x v="1"/>
    <n v="1.9"/>
    <n v="1"/>
    <n v="0"/>
    <n v="0"/>
    <n v="0"/>
    <x v="3"/>
  </r>
  <r>
    <s v="TXN00295"/>
    <x v="290"/>
    <x v="8"/>
    <s v="EUR"/>
    <x v="1"/>
    <x v="4"/>
    <n v="4321.78"/>
    <x v="1"/>
    <x v="0"/>
    <n v="2.9"/>
    <n v="1"/>
    <n v="125.33"/>
    <n v="4196.45"/>
    <n v="4321.78"/>
    <x v="3"/>
  </r>
  <r>
    <s v="TXN00353"/>
    <x v="291"/>
    <x v="5"/>
    <s v="PLN"/>
    <x v="2"/>
    <x v="1"/>
    <n v="2988.32"/>
    <x v="1"/>
    <x v="0"/>
    <n v="1.9"/>
    <n v="0.23269999999999999"/>
    <n v="13.218384"/>
    <n v="682.46251200000006"/>
    <n v="695.68089600000008"/>
    <x v="3"/>
  </r>
  <r>
    <s v="TXN00795"/>
    <x v="292"/>
    <x v="7"/>
    <s v="EUR"/>
    <x v="2"/>
    <x v="0"/>
    <n v="2066.04"/>
    <x v="1"/>
    <x v="0"/>
    <n v="1.9"/>
    <n v="1"/>
    <n v="39.25"/>
    <n v="2026.79"/>
    <n v="2066.04"/>
    <x v="3"/>
  </r>
  <r>
    <s v="TXN00335"/>
    <x v="293"/>
    <x v="5"/>
    <s v="PLN"/>
    <x v="0"/>
    <x v="3"/>
    <n v="2196.4499999999998"/>
    <x v="2"/>
    <x v="3"/>
    <n v="2.5"/>
    <n v="0.23269999999999999"/>
    <n v="0"/>
    <n v="0"/>
    <n v="0"/>
    <x v="3"/>
  </r>
  <r>
    <s v="TXN00722"/>
    <x v="294"/>
    <x v="6"/>
    <s v="EUR"/>
    <x v="0"/>
    <x v="4"/>
    <n v="588.02"/>
    <x v="1"/>
    <x v="0"/>
    <n v="2.5"/>
    <n v="1"/>
    <n v="14.7"/>
    <n v="573.32000000000005"/>
    <n v="588.0200000000001"/>
    <x v="3"/>
  </r>
  <r>
    <s v="TXN00397"/>
    <x v="295"/>
    <x v="6"/>
    <s v="EUR"/>
    <x v="3"/>
    <x v="3"/>
    <n v="461.2"/>
    <x v="1"/>
    <x v="0"/>
    <n v="3.2"/>
    <n v="1"/>
    <n v="14.76"/>
    <n v="446.44"/>
    <n v="461.2"/>
    <x v="3"/>
  </r>
  <r>
    <s v="TXN00097"/>
    <x v="296"/>
    <x v="7"/>
    <s v="EUR"/>
    <x v="1"/>
    <x v="2"/>
    <n v="1206.93"/>
    <x v="0"/>
    <x v="0"/>
    <n v="2.9"/>
    <n v="1"/>
    <n v="0"/>
    <n v="0"/>
    <n v="0"/>
    <x v="3"/>
  </r>
  <r>
    <s v="TXN00800"/>
    <x v="297"/>
    <x v="5"/>
    <s v="PLN"/>
    <x v="2"/>
    <x v="0"/>
    <n v="226.15"/>
    <x v="1"/>
    <x v="0"/>
    <n v="1.9"/>
    <n v="0.23269999999999999"/>
    <n v="1.0010399999999999"/>
    <n v="51.646680000000003"/>
    <n v="52.647720000000007"/>
    <x v="3"/>
  </r>
  <r>
    <s v="TXN00352"/>
    <x v="298"/>
    <x v="5"/>
    <s v="PLN"/>
    <x v="2"/>
    <x v="0"/>
    <n v="838.25"/>
    <x v="1"/>
    <x v="0"/>
    <n v="1.9"/>
    <n v="0.23269999999999999"/>
    <n v="3.708504"/>
    <n v="191.43609600000002"/>
    <n v="195.14460000000003"/>
    <x v="3"/>
  </r>
  <r>
    <s v="TXN00536"/>
    <x v="299"/>
    <x v="5"/>
    <s v="PLN"/>
    <x v="4"/>
    <x v="0"/>
    <n v="4529.08"/>
    <x v="0"/>
    <x v="0"/>
    <n v="2.1"/>
    <n v="0.23269999999999999"/>
    <n v="0"/>
    <n v="0"/>
    <n v="0"/>
    <x v="3"/>
  </r>
  <r>
    <s v="TXN00084"/>
    <x v="300"/>
    <x v="7"/>
    <s v="EUR"/>
    <x v="3"/>
    <x v="1"/>
    <n v="4402.8"/>
    <x v="1"/>
    <x v="0"/>
    <n v="3.2"/>
    <n v="1"/>
    <n v="140.88999999999999"/>
    <n v="4261.91"/>
    <n v="4402.8"/>
    <x v="3"/>
  </r>
  <r>
    <s v="TXN00022"/>
    <x v="301"/>
    <x v="2"/>
    <s v="EUR"/>
    <x v="3"/>
    <x v="0"/>
    <n v="4975.8"/>
    <x v="1"/>
    <x v="0"/>
    <n v="3.2"/>
    <n v="1"/>
    <n v="159.22999999999999"/>
    <n v="4816.57"/>
    <n v="4975.7999999999993"/>
    <x v="3"/>
  </r>
  <r>
    <s v="TXN00012"/>
    <x v="302"/>
    <x v="8"/>
    <s v="EUR"/>
    <x v="0"/>
    <x v="2"/>
    <n v="1331.75"/>
    <x v="1"/>
    <x v="0"/>
    <n v="2.5"/>
    <n v="1"/>
    <n v="33.29"/>
    <n v="1298.46"/>
    <n v="1331.75"/>
    <x v="3"/>
  </r>
  <r>
    <s v="TXN00475"/>
    <x v="303"/>
    <x v="1"/>
    <s v="NOK"/>
    <x v="2"/>
    <x v="2"/>
    <n v="624.58000000000004"/>
    <x v="1"/>
    <x v="0"/>
    <n v="1.9"/>
    <n v="8.5999999999999993E-2"/>
    <n v="1.0522754999999999"/>
    <n v="54.316741500000006"/>
    <n v="55.369017000000007"/>
    <x v="3"/>
  </r>
  <r>
    <s v="TXN00867"/>
    <x v="304"/>
    <x v="8"/>
    <s v="EUR"/>
    <x v="1"/>
    <x v="1"/>
    <n v="626.84"/>
    <x v="1"/>
    <x v="0"/>
    <n v="2.9"/>
    <n v="1"/>
    <n v="18.18"/>
    <n v="608.66"/>
    <n v="626.83999999999992"/>
    <x v="3"/>
  </r>
  <r>
    <s v="TXN00602"/>
    <x v="305"/>
    <x v="4"/>
    <s v="GBP"/>
    <x v="0"/>
    <x v="1"/>
    <n v="1306.25"/>
    <x v="1"/>
    <x v="0"/>
    <n v="2.5"/>
    <n v="1.1801999999999999"/>
    <n v="37.526339999999998"/>
    <n v="1463.35491"/>
    <n v="1500.8812499999999"/>
    <x v="3"/>
  </r>
  <r>
    <s v="TXN00398"/>
    <x v="306"/>
    <x v="4"/>
    <s v="GBP"/>
    <x v="4"/>
    <x v="1"/>
    <n v="1987.26"/>
    <x v="1"/>
    <x v="0"/>
    <n v="2.1"/>
    <n v="1.1801999999999999"/>
    <n v="47.947769999999998"/>
    <n v="2235.4139700000001"/>
    <n v="2283.3617400000003"/>
    <x v="3"/>
  </r>
  <r>
    <s v="TXN00907"/>
    <x v="307"/>
    <x v="3"/>
    <s v="EUR"/>
    <x v="4"/>
    <x v="1"/>
    <n v="2202.98"/>
    <x v="1"/>
    <x v="0"/>
    <n v="2.1"/>
    <n v="1"/>
    <n v="46.26"/>
    <n v="2156.7199999999998"/>
    <n v="2202.98"/>
    <x v="3"/>
  </r>
  <r>
    <s v="TXN00624"/>
    <x v="308"/>
    <x v="7"/>
    <s v="EUR"/>
    <x v="0"/>
    <x v="1"/>
    <n v="2323.79"/>
    <x v="1"/>
    <x v="0"/>
    <n v="2.5"/>
    <n v="1"/>
    <n v="58.09"/>
    <n v="2265.6999999999998"/>
    <n v="2323.79"/>
    <x v="3"/>
  </r>
  <r>
    <s v="TXN00699"/>
    <x v="309"/>
    <x v="6"/>
    <s v="EUR"/>
    <x v="0"/>
    <x v="0"/>
    <n v="2214.96"/>
    <x v="0"/>
    <x v="0"/>
    <n v="2.5"/>
    <n v="1"/>
    <n v="0"/>
    <n v="0"/>
    <n v="0"/>
    <x v="3"/>
  </r>
  <r>
    <s v="TXN00619"/>
    <x v="310"/>
    <x v="8"/>
    <s v="EUR"/>
    <x v="4"/>
    <x v="4"/>
    <n v="3825.05"/>
    <x v="0"/>
    <x v="0"/>
    <n v="2.1"/>
    <n v="1"/>
    <n v="0"/>
    <n v="0"/>
    <n v="0"/>
    <x v="3"/>
  </r>
  <r>
    <s v="TXN00348"/>
    <x v="311"/>
    <x v="7"/>
    <s v="EUR"/>
    <x v="4"/>
    <x v="4"/>
    <n v="1450.46"/>
    <x v="2"/>
    <x v="5"/>
    <n v="2.1"/>
    <n v="1"/>
    <n v="0"/>
    <n v="0"/>
    <n v="0"/>
    <x v="3"/>
  </r>
  <r>
    <s v="TXN00197"/>
    <x v="312"/>
    <x v="4"/>
    <s v="GBP"/>
    <x v="3"/>
    <x v="2"/>
    <n v="696.62"/>
    <x v="1"/>
    <x v="0"/>
    <n v="3.2"/>
    <n v="1.1801999999999999"/>
    <n v="25.61121"/>
    <n v="774.80517000000009"/>
    <n v="800.41638000000012"/>
    <x v="3"/>
  </r>
  <r>
    <s v="TXN00159"/>
    <x v="313"/>
    <x v="0"/>
    <s v="SEK"/>
    <x v="3"/>
    <x v="3"/>
    <n v="3815.4"/>
    <x v="0"/>
    <x v="0"/>
    <n v="3.2"/>
    <n v="8.7400000000000005E-2"/>
    <n v="0"/>
    <n v="0"/>
    <n v="0"/>
    <x v="3"/>
  </r>
  <r>
    <s v="TXN00074"/>
    <x v="314"/>
    <x v="9"/>
    <s v="EUR"/>
    <x v="1"/>
    <x v="2"/>
    <n v="1004.81"/>
    <x v="1"/>
    <x v="0"/>
    <n v="2.9"/>
    <n v="1"/>
    <n v="29.14"/>
    <n v="975.67"/>
    <n v="1004.81"/>
    <x v="3"/>
  </r>
  <r>
    <s v="TXN00676"/>
    <x v="315"/>
    <x v="8"/>
    <s v="EUR"/>
    <x v="4"/>
    <x v="3"/>
    <n v="3652.15"/>
    <x v="0"/>
    <x v="0"/>
    <n v="2.1"/>
    <n v="1"/>
    <n v="0"/>
    <n v="0"/>
    <n v="0"/>
    <x v="3"/>
  </r>
  <r>
    <s v="TXN00059"/>
    <x v="316"/>
    <x v="9"/>
    <s v="EUR"/>
    <x v="1"/>
    <x v="2"/>
    <n v="4919.84"/>
    <x v="0"/>
    <x v="0"/>
    <n v="2.9"/>
    <n v="1"/>
    <n v="0"/>
    <n v="0"/>
    <n v="0"/>
    <x v="3"/>
  </r>
  <r>
    <s v="TXN00979"/>
    <x v="317"/>
    <x v="8"/>
    <s v="EUR"/>
    <x v="0"/>
    <x v="0"/>
    <n v="4491.3500000000004"/>
    <x v="0"/>
    <x v="0"/>
    <n v="2.5"/>
    <n v="1"/>
    <n v="0"/>
    <n v="0"/>
    <n v="0"/>
    <x v="3"/>
  </r>
  <r>
    <s v="TXN00436"/>
    <x v="318"/>
    <x v="8"/>
    <s v="EUR"/>
    <x v="2"/>
    <x v="0"/>
    <n v="4828.4799999999996"/>
    <x v="2"/>
    <x v="5"/>
    <n v="1.9"/>
    <n v="1"/>
    <n v="0"/>
    <n v="0"/>
    <n v="0"/>
    <x v="3"/>
  </r>
  <r>
    <s v="TXN00308"/>
    <x v="319"/>
    <x v="1"/>
    <s v="NOK"/>
    <x v="0"/>
    <x v="1"/>
    <n v="242.34"/>
    <x v="1"/>
    <x v="0"/>
    <n v="2.5"/>
    <n v="8.5999999999999993E-2"/>
    <n v="0.537219"/>
    <n v="20.946222000000002"/>
    <n v="21.483441000000003"/>
    <x v="3"/>
  </r>
  <r>
    <s v="TXN00611"/>
    <x v="320"/>
    <x v="7"/>
    <s v="EUR"/>
    <x v="0"/>
    <x v="2"/>
    <n v="665.07"/>
    <x v="1"/>
    <x v="0"/>
    <n v="2.5"/>
    <n v="1"/>
    <n v="16.63"/>
    <n v="648.44000000000005"/>
    <n v="665.07"/>
    <x v="3"/>
  </r>
  <r>
    <s v="TXN00297"/>
    <x v="321"/>
    <x v="2"/>
    <s v="EUR"/>
    <x v="0"/>
    <x v="4"/>
    <n v="3276.49"/>
    <x v="1"/>
    <x v="0"/>
    <n v="2.5"/>
    <n v="1"/>
    <n v="81.91"/>
    <n v="3194.58"/>
    <n v="3276.49"/>
    <x v="3"/>
  </r>
  <r>
    <s v="TXN00130"/>
    <x v="322"/>
    <x v="5"/>
    <s v="PLN"/>
    <x v="4"/>
    <x v="2"/>
    <n v="3108.25"/>
    <x v="1"/>
    <x v="0"/>
    <n v="2.1"/>
    <n v="0.23269999999999999"/>
    <n v="15.194856"/>
    <n v="708.40574400000003"/>
    <n v="723.60059999999999"/>
    <x v="3"/>
  </r>
  <r>
    <s v="TXN00732"/>
    <x v="323"/>
    <x v="1"/>
    <s v="NOK"/>
    <x v="3"/>
    <x v="1"/>
    <n v="1966.46"/>
    <x v="1"/>
    <x v="0"/>
    <n v="3.2"/>
    <n v="8.5999999999999993E-2"/>
    <n v="5.5787445"/>
    <n v="168.74793450000001"/>
    <n v="174.32667900000001"/>
    <x v="3"/>
  </r>
  <r>
    <s v="TXN00654"/>
    <x v="324"/>
    <x v="7"/>
    <s v="EUR"/>
    <x v="1"/>
    <x v="4"/>
    <n v="2004.99"/>
    <x v="1"/>
    <x v="0"/>
    <n v="2.9"/>
    <n v="1"/>
    <n v="58.14"/>
    <n v="1946.85"/>
    <n v="2004.99"/>
    <x v="3"/>
  </r>
  <r>
    <s v="TXN00117"/>
    <x v="325"/>
    <x v="5"/>
    <s v="PLN"/>
    <x v="0"/>
    <x v="0"/>
    <n v="1936.53"/>
    <x v="1"/>
    <x v="0"/>
    <n v="2.5"/>
    <n v="0.23269999999999999"/>
    <n v="11.269848"/>
    <n v="439.55433599999998"/>
    <n v="450.824184"/>
    <x v="3"/>
  </r>
  <r>
    <s v="TXN00873"/>
    <x v="326"/>
    <x v="6"/>
    <s v="EUR"/>
    <x v="3"/>
    <x v="4"/>
    <n v="2972.31"/>
    <x v="2"/>
    <x v="3"/>
    <n v="3.2"/>
    <n v="1"/>
    <n v="0"/>
    <n v="0"/>
    <n v="0"/>
    <x v="3"/>
  </r>
  <r>
    <s v="TXN00390"/>
    <x v="327"/>
    <x v="9"/>
    <s v="EUR"/>
    <x v="3"/>
    <x v="3"/>
    <n v="3797.06"/>
    <x v="2"/>
    <x v="3"/>
    <n v="3.2"/>
    <n v="1"/>
    <n v="0"/>
    <n v="0"/>
    <n v="0"/>
    <x v="3"/>
  </r>
  <r>
    <s v="TXN00437"/>
    <x v="328"/>
    <x v="4"/>
    <s v="GBP"/>
    <x v="0"/>
    <x v="3"/>
    <n v="2515.4899999999998"/>
    <x v="0"/>
    <x v="0"/>
    <n v="2.5"/>
    <n v="1.1801999999999999"/>
    <n v="0"/>
    <n v="0"/>
    <n v="0"/>
    <x v="3"/>
  </r>
  <r>
    <s v="TXN00675"/>
    <x v="329"/>
    <x v="9"/>
    <s v="EUR"/>
    <x v="3"/>
    <x v="0"/>
    <n v="4453.1099999999997"/>
    <x v="1"/>
    <x v="0"/>
    <n v="3.2"/>
    <n v="1"/>
    <n v="142.5"/>
    <n v="4310.6099999999997"/>
    <n v="4453.1099999999997"/>
    <x v="3"/>
  </r>
  <r>
    <s v="TXN00200"/>
    <x v="330"/>
    <x v="9"/>
    <s v="EUR"/>
    <x v="4"/>
    <x v="0"/>
    <n v="3198.37"/>
    <x v="0"/>
    <x v="0"/>
    <n v="2.1"/>
    <n v="1"/>
    <n v="0"/>
    <n v="0"/>
    <n v="0"/>
    <x v="4"/>
  </r>
  <r>
    <s v="TXN00222"/>
    <x v="331"/>
    <x v="5"/>
    <s v="PLN"/>
    <x v="2"/>
    <x v="4"/>
    <n v="1850.87"/>
    <x v="0"/>
    <x v="0"/>
    <n v="1.9"/>
    <n v="0.23269999999999999"/>
    <n v="0"/>
    <n v="0"/>
    <n v="0"/>
    <x v="4"/>
  </r>
  <r>
    <s v="TXN00412"/>
    <x v="332"/>
    <x v="5"/>
    <s v="PLN"/>
    <x v="2"/>
    <x v="3"/>
    <n v="3520.23"/>
    <x v="1"/>
    <x v="0"/>
    <n v="1.9"/>
    <n v="0.23269999999999999"/>
    <n v="15.569664"/>
    <n v="803.93988000000002"/>
    <n v="819.50954400000001"/>
    <x v="4"/>
  </r>
  <r>
    <s v="TXN00751"/>
    <x v="333"/>
    <x v="7"/>
    <s v="EUR"/>
    <x v="0"/>
    <x v="4"/>
    <n v="2886"/>
    <x v="1"/>
    <x v="0"/>
    <n v="2.5"/>
    <n v="1"/>
    <n v="72.150000000000006"/>
    <n v="2813.85"/>
    <n v="2886"/>
    <x v="4"/>
  </r>
  <r>
    <s v="TXN00075"/>
    <x v="334"/>
    <x v="4"/>
    <s v="GBP"/>
    <x v="2"/>
    <x v="2"/>
    <n v="2330.52"/>
    <x v="1"/>
    <x v="0"/>
    <n v="1.9"/>
    <n v="1.1801999999999999"/>
    <n v="50.877720000000004"/>
    <n v="2626.88976"/>
    <n v="2677.76748"/>
    <x v="4"/>
  </r>
  <r>
    <s v="TXN00943"/>
    <x v="335"/>
    <x v="9"/>
    <s v="EUR"/>
    <x v="4"/>
    <x v="2"/>
    <n v="1948.63"/>
    <x v="2"/>
    <x v="3"/>
    <n v="2.1"/>
    <n v="1"/>
    <n v="0"/>
    <n v="0"/>
    <n v="0"/>
    <x v="4"/>
  </r>
  <r>
    <s v="TXN00304"/>
    <x v="336"/>
    <x v="0"/>
    <s v="SEK"/>
    <x v="3"/>
    <x v="1"/>
    <n v="1343.95"/>
    <x v="2"/>
    <x v="4"/>
    <n v="3.2"/>
    <n v="8.7400000000000005E-2"/>
    <n v="0"/>
    <n v="0"/>
    <n v="0"/>
    <x v="4"/>
  </r>
  <r>
    <s v="TXN00288"/>
    <x v="337"/>
    <x v="3"/>
    <s v="EUR"/>
    <x v="0"/>
    <x v="3"/>
    <n v="2816.31"/>
    <x v="2"/>
    <x v="5"/>
    <n v="2.5"/>
    <n v="1"/>
    <n v="0"/>
    <n v="0"/>
    <n v="0"/>
    <x v="4"/>
  </r>
  <r>
    <s v="TXN00987"/>
    <x v="338"/>
    <x v="8"/>
    <s v="EUR"/>
    <x v="2"/>
    <x v="3"/>
    <n v="3662.61"/>
    <x v="1"/>
    <x v="0"/>
    <n v="1.9"/>
    <n v="1"/>
    <n v="69.59"/>
    <n v="3593.02"/>
    <n v="3662.61"/>
    <x v="4"/>
  </r>
  <r>
    <s v="TXN00558"/>
    <x v="339"/>
    <x v="1"/>
    <s v="NOK"/>
    <x v="2"/>
    <x v="2"/>
    <n v="682.27"/>
    <x v="0"/>
    <x v="0"/>
    <n v="1.9"/>
    <n v="8.5999999999999993E-2"/>
    <n v="0"/>
    <n v="0"/>
    <n v="0"/>
    <x v="4"/>
  </r>
  <r>
    <s v="TXN00258"/>
    <x v="340"/>
    <x v="0"/>
    <s v="SEK"/>
    <x v="4"/>
    <x v="2"/>
    <n v="271.93"/>
    <x v="2"/>
    <x v="3"/>
    <n v="2.1"/>
    <n v="8.7400000000000005E-2"/>
    <n v="0"/>
    <n v="0"/>
    <n v="0"/>
    <x v="4"/>
  </r>
  <r>
    <s v="TXN00663"/>
    <x v="341"/>
    <x v="8"/>
    <s v="EUR"/>
    <x v="3"/>
    <x v="4"/>
    <n v="457.08"/>
    <x v="2"/>
    <x v="2"/>
    <n v="3.2"/>
    <n v="1"/>
    <n v="0"/>
    <n v="0"/>
    <n v="0"/>
    <x v="4"/>
  </r>
  <r>
    <s v="TXN00026"/>
    <x v="342"/>
    <x v="8"/>
    <s v="EUR"/>
    <x v="4"/>
    <x v="3"/>
    <n v="493.68"/>
    <x v="2"/>
    <x v="3"/>
    <n v="2.1"/>
    <n v="1"/>
    <n v="0"/>
    <n v="0"/>
    <n v="0"/>
    <x v="4"/>
  </r>
  <r>
    <s v="TXN00788"/>
    <x v="343"/>
    <x v="3"/>
    <s v="EUR"/>
    <x v="1"/>
    <x v="2"/>
    <n v="3166.98"/>
    <x v="1"/>
    <x v="0"/>
    <n v="2.9"/>
    <n v="1"/>
    <n v="91.84"/>
    <n v="3075.14"/>
    <n v="3166.98"/>
    <x v="4"/>
  </r>
  <r>
    <s v="TXN00689"/>
    <x v="344"/>
    <x v="8"/>
    <s v="EUR"/>
    <x v="1"/>
    <x v="4"/>
    <n v="1943.12"/>
    <x v="1"/>
    <x v="0"/>
    <n v="2.9"/>
    <n v="1"/>
    <n v="56.35"/>
    <n v="1886.77"/>
    <n v="1943.12"/>
    <x v="4"/>
  </r>
  <r>
    <s v="TXN00700"/>
    <x v="345"/>
    <x v="1"/>
    <s v="NOK"/>
    <x v="2"/>
    <x v="2"/>
    <n v="254.1"/>
    <x v="1"/>
    <x v="0"/>
    <n v="1.9"/>
    <n v="8.5999999999999993E-2"/>
    <n v="0.42817950000000005"/>
    <n v="22.097785500000004"/>
    <n v="22.525965000000003"/>
    <x v="4"/>
  </r>
  <r>
    <s v="TXN00283"/>
    <x v="346"/>
    <x v="8"/>
    <s v="EUR"/>
    <x v="0"/>
    <x v="2"/>
    <n v="2703.4"/>
    <x v="1"/>
    <x v="0"/>
    <n v="2.5"/>
    <n v="1"/>
    <n v="67.58"/>
    <n v="2635.82"/>
    <n v="2703.4"/>
    <x v="4"/>
  </r>
  <r>
    <s v="TXN00267"/>
    <x v="347"/>
    <x v="8"/>
    <s v="EUR"/>
    <x v="4"/>
    <x v="0"/>
    <n v="3771.25"/>
    <x v="1"/>
    <x v="0"/>
    <n v="2.1"/>
    <n v="1"/>
    <n v="79.2"/>
    <n v="3692.05"/>
    <n v="3771.25"/>
    <x v="4"/>
  </r>
  <r>
    <s v="TXN00450"/>
    <x v="348"/>
    <x v="9"/>
    <s v="EUR"/>
    <x v="3"/>
    <x v="2"/>
    <n v="1377.15"/>
    <x v="2"/>
    <x v="5"/>
    <n v="3.2"/>
    <n v="1"/>
    <n v="0"/>
    <n v="0"/>
    <n v="0"/>
    <x v="4"/>
  </r>
  <r>
    <s v="TXN00029"/>
    <x v="349"/>
    <x v="0"/>
    <s v="SEK"/>
    <x v="1"/>
    <x v="3"/>
    <n v="3264.2"/>
    <x v="0"/>
    <x v="0"/>
    <n v="2.9"/>
    <n v="8.7400000000000005E-2"/>
    <n v="0"/>
    <n v="0"/>
    <n v="0"/>
    <x v="4"/>
  </r>
  <r>
    <s v="TXN00095"/>
    <x v="350"/>
    <x v="8"/>
    <s v="EUR"/>
    <x v="2"/>
    <x v="4"/>
    <n v="3955.8"/>
    <x v="1"/>
    <x v="0"/>
    <n v="1.9"/>
    <n v="1"/>
    <n v="75.16"/>
    <n v="3880.64"/>
    <n v="3955.7999999999997"/>
    <x v="4"/>
  </r>
  <r>
    <s v="TXN00028"/>
    <x v="351"/>
    <x v="0"/>
    <s v="SEK"/>
    <x v="0"/>
    <x v="2"/>
    <n v="2115.19"/>
    <x v="1"/>
    <x v="0"/>
    <n v="2.5"/>
    <n v="8.7400000000000005E-2"/>
    <n v="4.9030335999999997"/>
    <n v="191.2173832"/>
    <n v="196.12041679999999"/>
    <x v="4"/>
  </r>
  <r>
    <s v="TXN00926"/>
    <x v="352"/>
    <x v="6"/>
    <s v="EUR"/>
    <x v="1"/>
    <x v="3"/>
    <n v="2349.7199999999998"/>
    <x v="1"/>
    <x v="0"/>
    <n v="2.9"/>
    <n v="1"/>
    <n v="68.14"/>
    <n v="2281.58"/>
    <n v="2349.7199999999998"/>
    <x v="4"/>
  </r>
  <r>
    <s v="TXN00950"/>
    <x v="353"/>
    <x v="7"/>
    <s v="EUR"/>
    <x v="2"/>
    <x v="3"/>
    <n v="2759.46"/>
    <x v="1"/>
    <x v="0"/>
    <n v="1.9"/>
    <n v="1"/>
    <n v="52.43"/>
    <n v="2707.03"/>
    <n v="2759.46"/>
    <x v="4"/>
  </r>
  <r>
    <s v="TXN00042"/>
    <x v="354"/>
    <x v="8"/>
    <s v="EUR"/>
    <x v="3"/>
    <x v="3"/>
    <n v="27.69"/>
    <x v="1"/>
    <x v="0"/>
    <n v="3.2"/>
    <n v="1"/>
    <n v="0.89"/>
    <n v="26.8"/>
    <n v="27.69"/>
    <x v="4"/>
  </r>
  <r>
    <s v="TXN00626"/>
    <x v="355"/>
    <x v="9"/>
    <s v="EUR"/>
    <x v="1"/>
    <x v="2"/>
    <n v="1930.14"/>
    <x v="2"/>
    <x v="1"/>
    <n v="2.9"/>
    <n v="1"/>
    <n v="0"/>
    <n v="0"/>
    <n v="0"/>
    <x v="4"/>
  </r>
  <r>
    <s v="TXN00530"/>
    <x v="356"/>
    <x v="1"/>
    <s v="NOK"/>
    <x v="4"/>
    <x v="1"/>
    <n v="2044.09"/>
    <x v="2"/>
    <x v="2"/>
    <n v="2.1"/>
    <n v="8.5999999999999993E-2"/>
    <n v="0"/>
    <n v="0"/>
    <n v="0"/>
    <x v="4"/>
  </r>
  <r>
    <s v="TXN00670"/>
    <x v="357"/>
    <x v="7"/>
    <s v="EUR"/>
    <x v="4"/>
    <x v="4"/>
    <n v="1363.69"/>
    <x v="2"/>
    <x v="4"/>
    <n v="2.1"/>
    <n v="1"/>
    <n v="0"/>
    <n v="0"/>
    <n v="0"/>
    <x v="4"/>
  </r>
  <r>
    <s v="TXN00126"/>
    <x v="358"/>
    <x v="6"/>
    <s v="EUR"/>
    <x v="3"/>
    <x v="4"/>
    <n v="798.3"/>
    <x v="2"/>
    <x v="3"/>
    <n v="3.2"/>
    <n v="1"/>
    <n v="0"/>
    <n v="0"/>
    <n v="0"/>
    <x v="4"/>
  </r>
  <r>
    <s v="TXN00199"/>
    <x v="359"/>
    <x v="3"/>
    <s v="EUR"/>
    <x v="2"/>
    <x v="4"/>
    <n v="2643.58"/>
    <x v="1"/>
    <x v="0"/>
    <n v="1.9"/>
    <n v="1"/>
    <n v="50.23"/>
    <n v="2593.35"/>
    <n v="2643.58"/>
    <x v="4"/>
  </r>
  <r>
    <s v="TXN00850"/>
    <x v="360"/>
    <x v="9"/>
    <s v="EUR"/>
    <x v="4"/>
    <x v="1"/>
    <n v="2310.61"/>
    <x v="1"/>
    <x v="0"/>
    <n v="2.1"/>
    <n v="1"/>
    <n v="48.52"/>
    <n v="2262.09"/>
    <n v="2310.61"/>
    <x v="4"/>
  </r>
  <r>
    <s v="TXN00902"/>
    <x v="361"/>
    <x v="0"/>
    <s v="SEK"/>
    <x v="4"/>
    <x v="3"/>
    <n v="4819.3"/>
    <x v="2"/>
    <x v="4"/>
    <n v="2.1"/>
    <n v="8.7400000000000005E-2"/>
    <n v="0"/>
    <n v="0"/>
    <n v="0"/>
    <x v="4"/>
  </r>
  <r>
    <s v="TXN00399"/>
    <x v="362"/>
    <x v="8"/>
    <s v="EUR"/>
    <x v="0"/>
    <x v="4"/>
    <n v="3742.91"/>
    <x v="1"/>
    <x v="0"/>
    <n v="2.5"/>
    <n v="1"/>
    <n v="93.57"/>
    <n v="3649.34"/>
    <n v="3742.9100000000003"/>
    <x v="4"/>
  </r>
  <r>
    <s v="TXN00036"/>
    <x v="363"/>
    <x v="5"/>
    <s v="PLN"/>
    <x v="4"/>
    <x v="1"/>
    <n v="1984.97"/>
    <x v="1"/>
    <x v="0"/>
    <n v="2.1"/>
    <n v="0.23269999999999999"/>
    <n v="9.7031039999999997"/>
    <n v="452.39791200000002"/>
    <n v="462.10101600000002"/>
    <x v="4"/>
  </r>
  <r>
    <s v="TXN00294"/>
    <x v="364"/>
    <x v="6"/>
    <s v="EUR"/>
    <x v="0"/>
    <x v="3"/>
    <n v="4016.05"/>
    <x v="2"/>
    <x v="3"/>
    <n v="2.5"/>
    <n v="1"/>
    <n v="0"/>
    <n v="0"/>
    <n v="0"/>
    <x v="4"/>
  </r>
  <r>
    <s v="TXN00296"/>
    <x v="365"/>
    <x v="1"/>
    <s v="NOK"/>
    <x v="2"/>
    <x v="0"/>
    <n v="1483.01"/>
    <x v="1"/>
    <x v="0"/>
    <n v="1.9"/>
    <n v="8.5999999999999993E-2"/>
    <n v="2.498157"/>
    <n v="128.97067950000002"/>
    <n v="131.46883650000001"/>
    <x v="4"/>
  </r>
  <r>
    <s v="TXN00465"/>
    <x v="366"/>
    <x v="6"/>
    <s v="EUR"/>
    <x v="1"/>
    <x v="0"/>
    <n v="277.85000000000002"/>
    <x v="0"/>
    <x v="0"/>
    <n v="2.9"/>
    <n v="1"/>
    <n v="0"/>
    <n v="0"/>
    <n v="0"/>
    <x v="4"/>
  </r>
  <r>
    <s v="TXN00459"/>
    <x v="367"/>
    <x v="7"/>
    <s v="EUR"/>
    <x v="4"/>
    <x v="2"/>
    <n v="2591.29"/>
    <x v="1"/>
    <x v="0"/>
    <n v="2.1"/>
    <n v="1"/>
    <n v="54.42"/>
    <n v="2536.87"/>
    <n v="2591.29"/>
    <x v="4"/>
  </r>
  <r>
    <s v="TXN00661"/>
    <x v="368"/>
    <x v="0"/>
    <s v="SEK"/>
    <x v="0"/>
    <x v="2"/>
    <n v="3812.54"/>
    <x v="2"/>
    <x v="5"/>
    <n v="2.5"/>
    <n v="8.7400000000000005E-2"/>
    <n v="0"/>
    <n v="0"/>
    <n v="0"/>
    <x v="4"/>
  </r>
  <r>
    <s v="TXN00375"/>
    <x v="369"/>
    <x v="9"/>
    <s v="EUR"/>
    <x v="0"/>
    <x v="4"/>
    <n v="1439.57"/>
    <x v="0"/>
    <x v="0"/>
    <n v="2.5"/>
    <n v="1"/>
    <n v="0"/>
    <n v="0"/>
    <n v="0"/>
    <x v="4"/>
  </r>
  <r>
    <s v="TXN00921"/>
    <x v="370"/>
    <x v="3"/>
    <s v="EUR"/>
    <x v="1"/>
    <x v="0"/>
    <n v="3093.84"/>
    <x v="0"/>
    <x v="0"/>
    <n v="2.9"/>
    <n v="1"/>
    <n v="0"/>
    <n v="0"/>
    <n v="0"/>
    <x v="4"/>
  </r>
  <r>
    <s v="TXN00148"/>
    <x v="371"/>
    <x v="8"/>
    <s v="EUR"/>
    <x v="2"/>
    <x v="3"/>
    <n v="3730.87"/>
    <x v="2"/>
    <x v="2"/>
    <n v="1.9"/>
    <n v="1"/>
    <n v="0"/>
    <n v="0"/>
    <n v="0"/>
    <x v="4"/>
  </r>
  <r>
    <s v="TXN00513"/>
    <x v="372"/>
    <x v="7"/>
    <s v="EUR"/>
    <x v="4"/>
    <x v="3"/>
    <n v="3456.07"/>
    <x v="1"/>
    <x v="0"/>
    <n v="2.1"/>
    <n v="1"/>
    <n v="72.58"/>
    <n v="3383.49"/>
    <n v="3456.0699999999997"/>
    <x v="4"/>
  </r>
  <r>
    <s v="TXN00623"/>
    <x v="373"/>
    <x v="6"/>
    <s v="EUR"/>
    <x v="1"/>
    <x v="2"/>
    <n v="460.08"/>
    <x v="1"/>
    <x v="0"/>
    <n v="2.9"/>
    <n v="1"/>
    <n v="13.34"/>
    <n v="446.74"/>
    <n v="460.08"/>
    <x v="4"/>
  </r>
  <r>
    <s v="TXN00946"/>
    <x v="374"/>
    <x v="8"/>
    <s v="EUR"/>
    <x v="1"/>
    <x v="0"/>
    <n v="4056.86"/>
    <x v="0"/>
    <x v="0"/>
    <n v="2.9"/>
    <n v="1"/>
    <n v="0"/>
    <n v="0"/>
    <n v="0"/>
    <x v="4"/>
  </r>
  <r>
    <s v="TXN00447"/>
    <x v="375"/>
    <x v="1"/>
    <s v="NOK"/>
    <x v="1"/>
    <x v="2"/>
    <n v="2214.17"/>
    <x v="2"/>
    <x v="2"/>
    <n v="2.9"/>
    <n v="8.5999999999999993E-2"/>
    <n v="0"/>
    <n v="0"/>
    <n v="0"/>
    <x v="4"/>
  </r>
  <r>
    <s v="TXN00727"/>
    <x v="376"/>
    <x v="7"/>
    <s v="EUR"/>
    <x v="2"/>
    <x v="2"/>
    <n v="864.66"/>
    <x v="1"/>
    <x v="0"/>
    <n v="1.9"/>
    <n v="1"/>
    <n v="16.43"/>
    <n v="848.23"/>
    <n v="864.66"/>
    <x v="4"/>
  </r>
  <r>
    <s v="TXN00599"/>
    <x v="377"/>
    <x v="8"/>
    <s v="EUR"/>
    <x v="0"/>
    <x v="2"/>
    <n v="737.76"/>
    <x v="1"/>
    <x v="0"/>
    <n v="2.5"/>
    <n v="1"/>
    <n v="18.440000000000001"/>
    <n v="719.32"/>
    <n v="737.7600000000001"/>
    <x v="4"/>
  </r>
  <r>
    <s v="TXN00209"/>
    <x v="378"/>
    <x v="5"/>
    <s v="PLN"/>
    <x v="0"/>
    <x v="0"/>
    <n v="3719.11"/>
    <x v="2"/>
    <x v="3"/>
    <n v="2.5"/>
    <n v="0.23269999999999999"/>
    <n v="0"/>
    <n v="0"/>
    <n v="0"/>
    <x v="4"/>
  </r>
  <r>
    <s v="TXN00264"/>
    <x v="379"/>
    <x v="4"/>
    <s v="GBP"/>
    <x v="3"/>
    <x v="2"/>
    <n v="3658.28"/>
    <x v="1"/>
    <x v="0"/>
    <n v="3.2"/>
    <n v="1.1801999999999999"/>
    <n v="134.50194000000002"/>
    <n v="4068.8617799999997"/>
    <n v="4203.3637199999994"/>
    <x v="4"/>
  </r>
  <r>
    <s v="TXN00041"/>
    <x v="380"/>
    <x v="2"/>
    <s v="EUR"/>
    <x v="3"/>
    <x v="2"/>
    <n v="3440.61"/>
    <x v="1"/>
    <x v="0"/>
    <n v="3.2"/>
    <n v="1"/>
    <n v="110.1"/>
    <n v="3330.51"/>
    <n v="3440.61"/>
    <x v="4"/>
  </r>
  <r>
    <s v="TXN00102"/>
    <x v="381"/>
    <x v="6"/>
    <s v="EUR"/>
    <x v="0"/>
    <x v="3"/>
    <n v="2994.2"/>
    <x v="2"/>
    <x v="3"/>
    <n v="2.5"/>
    <n v="1"/>
    <n v="0"/>
    <n v="0"/>
    <n v="0"/>
    <x v="4"/>
  </r>
  <r>
    <s v="TXN00821"/>
    <x v="382"/>
    <x v="5"/>
    <s v="PLN"/>
    <x v="3"/>
    <x v="0"/>
    <n v="2436.27"/>
    <x v="0"/>
    <x v="0"/>
    <n v="3.2"/>
    <n v="0.23269999999999999"/>
    <n v="0"/>
    <n v="0"/>
    <n v="0"/>
    <x v="4"/>
  </r>
  <r>
    <s v="TXN00321"/>
    <x v="383"/>
    <x v="6"/>
    <s v="EUR"/>
    <x v="1"/>
    <x v="1"/>
    <n v="1265.98"/>
    <x v="1"/>
    <x v="0"/>
    <n v="2.9"/>
    <n v="1"/>
    <n v="36.71"/>
    <n v="1229.27"/>
    <n v="1265.98"/>
    <x v="4"/>
  </r>
  <r>
    <s v="TXN00774"/>
    <x v="384"/>
    <x v="5"/>
    <s v="PLN"/>
    <x v="3"/>
    <x v="2"/>
    <n v="3905.85"/>
    <x v="1"/>
    <x v="0"/>
    <n v="3.2"/>
    <n v="0.23269999999999999"/>
    <n v="29.097671999999999"/>
    <n v="880.18420800000001"/>
    <n v="909.28188"/>
    <x v="4"/>
  </r>
  <r>
    <s v="TXN00544"/>
    <x v="385"/>
    <x v="0"/>
    <s v="SEK"/>
    <x v="4"/>
    <x v="1"/>
    <n v="3670.39"/>
    <x v="1"/>
    <x v="0"/>
    <n v="2.1"/>
    <n v="8.7400000000000005E-2"/>
    <n v="7.1468575999999997"/>
    <n v="333.17170319999997"/>
    <n v="340.31856079999994"/>
    <x v="4"/>
  </r>
  <r>
    <s v="TXN00405"/>
    <x v="386"/>
    <x v="3"/>
    <s v="EUR"/>
    <x v="1"/>
    <x v="4"/>
    <n v="3099.69"/>
    <x v="1"/>
    <x v="0"/>
    <n v="2.9"/>
    <n v="1"/>
    <n v="89.89"/>
    <n v="3009.8"/>
    <n v="3099.69"/>
    <x v="4"/>
  </r>
  <r>
    <s v="TXN00446"/>
    <x v="387"/>
    <x v="4"/>
    <s v="GBP"/>
    <x v="4"/>
    <x v="2"/>
    <n v="1509.4"/>
    <x v="2"/>
    <x v="3"/>
    <n v="2.1"/>
    <n v="1.1801999999999999"/>
    <n v="0"/>
    <n v="0"/>
    <n v="0"/>
    <x v="4"/>
  </r>
  <r>
    <s v="TXN00745"/>
    <x v="388"/>
    <x v="8"/>
    <s v="EUR"/>
    <x v="2"/>
    <x v="0"/>
    <n v="3129.82"/>
    <x v="2"/>
    <x v="2"/>
    <n v="1.9"/>
    <n v="1"/>
    <n v="0"/>
    <n v="0"/>
    <n v="0"/>
    <x v="4"/>
  </r>
  <r>
    <s v="TXN00480"/>
    <x v="389"/>
    <x v="4"/>
    <s v="GBP"/>
    <x v="0"/>
    <x v="2"/>
    <n v="3048.92"/>
    <x v="1"/>
    <x v="0"/>
    <n v="2.5"/>
    <n v="1.1801999999999999"/>
    <n v="87.576779999999999"/>
    <n v="3415.6322999999998"/>
    <n v="3503.2090799999996"/>
    <x v="4"/>
  </r>
  <r>
    <s v="TXN00734"/>
    <x v="390"/>
    <x v="1"/>
    <s v="NOK"/>
    <x v="4"/>
    <x v="4"/>
    <n v="523.63"/>
    <x v="1"/>
    <x v="0"/>
    <n v="2.1"/>
    <n v="8.5999999999999993E-2"/>
    <n v="0.97515000000000007"/>
    <n v="45.444649500000004"/>
    <n v="46.419799500000003"/>
    <x v="4"/>
  </r>
  <r>
    <s v="TXN00533"/>
    <x v="391"/>
    <x v="8"/>
    <s v="EUR"/>
    <x v="1"/>
    <x v="0"/>
    <n v="790.05"/>
    <x v="1"/>
    <x v="0"/>
    <n v="2.9"/>
    <n v="1"/>
    <n v="22.91"/>
    <n v="767.14"/>
    <n v="790.05"/>
    <x v="4"/>
  </r>
  <r>
    <s v="TXN00453"/>
    <x v="392"/>
    <x v="9"/>
    <s v="EUR"/>
    <x v="4"/>
    <x v="4"/>
    <n v="3901.35"/>
    <x v="1"/>
    <x v="0"/>
    <n v="2.1"/>
    <n v="1"/>
    <n v="81.93"/>
    <n v="3819.42"/>
    <n v="3901.35"/>
    <x v="4"/>
  </r>
  <r>
    <s v="TXN00604"/>
    <x v="393"/>
    <x v="0"/>
    <s v="SEK"/>
    <x v="0"/>
    <x v="0"/>
    <n v="4449.2700000000004"/>
    <x v="2"/>
    <x v="5"/>
    <n v="2.5"/>
    <n v="8.7400000000000005E-2"/>
    <n v="0"/>
    <n v="0"/>
    <n v="0"/>
    <x v="4"/>
  </r>
  <r>
    <s v="TXN00540"/>
    <x v="394"/>
    <x v="2"/>
    <s v="EUR"/>
    <x v="3"/>
    <x v="0"/>
    <n v="2258.7199999999998"/>
    <x v="0"/>
    <x v="0"/>
    <n v="3.2"/>
    <n v="1"/>
    <n v="0"/>
    <n v="0"/>
    <n v="0"/>
    <x v="4"/>
  </r>
  <r>
    <s v="TXN00620"/>
    <x v="395"/>
    <x v="0"/>
    <s v="SEK"/>
    <x v="3"/>
    <x v="0"/>
    <n v="948.12"/>
    <x v="1"/>
    <x v="0"/>
    <n v="3.2"/>
    <n v="8.7400000000000005E-2"/>
    <n v="2.8131247999999998"/>
    <n v="85.096561600000001"/>
    <n v="87.909686399999998"/>
    <x v="4"/>
  </r>
  <r>
    <s v="TXN00605"/>
    <x v="396"/>
    <x v="3"/>
    <s v="EUR"/>
    <x v="4"/>
    <x v="1"/>
    <n v="2114.86"/>
    <x v="0"/>
    <x v="0"/>
    <n v="2.1"/>
    <n v="1"/>
    <n v="0"/>
    <n v="0"/>
    <n v="0"/>
    <x v="4"/>
  </r>
  <r>
    <s v="TXN00758"/>
    <x v="397"/>
    <x v="3"/>
    <s v="EUR"/>
    <x v="2"/>
    <x v="3"/>
    <n v="4258.71"/>
    <x v="1"/>
    <x v="0"/>
    <n v="1.9"/>
    <n v="1"/>
    <n v="80.92"/>
    <n v="4177.79"/>
    <n v="4258.71"/>
    <x v="4"/>
  </r>
  <r>
    <s v="TXN00667"/>
    <x v="398"/>
    <x v="4"/>
    <s v="GBP"/>
    <x v="3"/>
    <x v="0"/>
    <n v="2361.2399999999998"/>
    <x v="1"/>
    <x v="0"/>
    <n v="3.2"/>
    <n v="1.1801999999999999"/>
    <n v="86.81844000000001"/>
    <n v="2626.2463199999997"/>
    <n v="2713.0647599999998"/>
    <x v="4"/>
  </r>
  <r>
    <s v="TXN00766"/>
    <x v="399"/>
    <x v="5"/>
    <s v="PLN"/>
    <x v="2"/>
    <x v="3"/>
    <n v="495.85"/>
    <x v="0"/>
    <x v="0"/>
    <n v="1.9"/>
    <n v="0.23269999999999999"/>
    <n v="0"/>
    <n v="0"/>
    <n v="0"/>
    <x v="4"/>
  </r>
  <r>
    <s v="TXN00158"/>
    <x v="400"/>
    <x v="5"/>
    <s v="PLN"/>
    <x v="1"/>
    <x v="4"/>
    <n v="2541.9899999999998"/>
    <x v="1"/>
    <x v="0"/>
    <n v="2.9"/>
    <n v="0.23269999999999999"/>
    <n v="17.162016000000001"/>
    <n v="574.61325599999998"/>
    <n v="591.77527199999997"/>
    <x v="4"/>
  </r>
  <r>
    <s v="TXN00966"/>
    <x v="401"/>
    <x v="6"/>
    <s v="EUR"/>
    <x v="3"/>
    <x v="0"/>
    <n v="1168.19"/>
    <x v="1"/>
    <x v="0"/>
    <n v="3.2"/>
    <n v="1"/>
    <n v="37.380000000000003"/>
    <n v="1130.81"/>
    <n v="1168.19"/>
    <x v="4"/>
  </r>
  <r>
    <s v="TXN00660"/>
    <x v="402"/>
    <x v="3"/>
    <s v="EUR"/>
    <x v="3"/>
    <x v="3"/>
    <n v="2384.5100000000002"/>
    <x v="1"/>
    <x v="0"/>
    <n v="3.2"/>
    <n v="1"/>
    <n v="76.3"/>
    <n v="2308.21"/>
    <n v="2384.5100000000002"/>
    <x v="4"/>
  </r>
  <r>
    <s v="TXN00949"/>
    <x v="403"/>
    <x v="4"/>
    <s v="GBP"/>
    <x v="0"/>
    <x v="1"/>
    <n v="751.55"/>
    <x v="1"/>
    <x v="0"/>
    <n v="2.5"/>
    <n v="1.1801999999999999"/>
    <n v="21.58971"/>
    <n v="841.94123999999999"/>
    <n v="863.53094999999996"/>
    <x v="4"/>
  </r>
  <r>
    <s v="TXN00473"/>
    <x v="404"/>
    <x v="0"/>
    <s v="SEK"/>
    <x v="2"/>
    <x v="4"/>
    <n v="1695.8"/>
    <x v="1"/>
    <x v="0"/>
    <n v="1.9"/>
    <n v="8.7400000000000005E-2"/>
    <n v="2.9874383999999998"/>
    <n v="154.2471376"/>
    <n v="157.234576"/>
    <x v="4"/>
  </r>
  <r>
    <s v="TXN00826"/>
    <x v="405"/>
    <x v="9"/>
    <s v="EUR"/>
    <x v="4"/>
    <x v="4"/>
    <n v="3226.91"/>
    <x v="2"/>
    <x v="5"/>
    <n v="2.1"/>
    <n v="1"/>
    <n v="0"/>
    <n v="0"/>
    <n v="0"/>
    <x v="4"/>
  </r>
  <r>
    <s v="TXN00319"/>
    <x v="406"/>
    <x v="4"/>
    <s v="GBP"/>
    <x v="2"/>
    <x v="2"/>
    <n v="2864.08"/>
    <x v="1"/>
    <x v="0"/>
    <n v="1.9"/>
    <n v="1.1801999999999999"/>
    <n v="62.528580000000005"/>
    <n v="3228.29934"/>
    <n v="3290.8279200000002"/>
    <x v="4"/>
  </r>
  <r>
    <s v="TXN00690"/>
    <x v="407"/>
    <x v="7"/>
    <s v="EUR"/>
    <x v="3"/>
    <x v="0"/>
    <n v="840.77"/>
    <x v="1"/>
    <x v="0"/>
    <n v="3.2"/>
    <n v="1"/>
    <n v="26.9"/>
    <n v="813.87"/>
    <n v="840.77"/>
    <x v="4"/>
  </r>
  <r>
    <s v="TXN00325"/>
    <x v="408"/>
    <x v="6"/>
    <s v="EUR"/>
    <x v="2"/>
    <x v="2"/>
    <n v="1636.17"/>
    <x v="1"/>
    <x v="0"/>
    <n v="1.9"/>
    <n v="1"/>
    <n v="31.09"/>
    <n v="1605.08"/>
    <n v="1636.1699999999998"/>
    <x v="4"/>
  </r>
  <r>
    <s v="TXN00463"/>
    <x v="409"/>
    <x v="3"/>
    <s v="EUR"/>
    <x v="3"/>
    <x v="4"/>
    <n v="3816.96"/>
    <x v="1"/>
    <x v="0"/>
    <n v="3.2"/>
    <n v="1"/>
    <n v="122.14"/>
    <n v="3694.82"/>
    <n v="3816.96"/>
    <x v="4"/>
  </r>
  <r>
    <s v="TXN00825"/>
    <x v="410"/>
    <x v="0"/>
    <s v="SEK"/>
    <x v="4"/>
    <x v="0"/>
    <n v="1740.03"/>
    <x v="2"/>
    <x v="4"/>
    <n v="2.1"/>
    <n v="8.7400000000000005E-2"/>
    <n v="0"/>
    <n v="0"/>
    <n v="0"/>
    <x v="4"/>
  </r>
  <r>
    <s v="TXN00637"/>
    <x v="411"/>
    <x v="5"/>
    <s v="PLN"/>
    <x v="0"/>
    <x v="3"/>
    <n v="3881.83"/>
    <x v="0"/>
    <x v="0"/>
    <n v="2.5"/>
    <n v="0.23269999999999999"/>
    <n v="0"/>
    <n v="0"/>
    <n v="0"/>
    <x v="4"/>
  </r>
  <r>
    <s v="TXN00132"/>
    <x v="412"/>
    <x v="8"/>
    <s v="EUR"/>
    <x v="4"/>
    <x v="2"/>
    <n v="669.48"/>
    <x v="0"/>
    <x v="0"/>
    <n v="2.1"/>
    <n v="1"/>
    <n v="0"/>
    <n v="0"/>
    <n v="0"/>
    <x v="4"/>
  </r>
  <r>
    <s v="TXN00372"/>
    <x v="413"/>
    <x v="2"/>
    <s v="EUR"/>
    <x v="0"/>
    <x v="0"/>
    <n v="572.59"/>
    <x v="2"/>
    <x v="5"/>
    <n v="2.5"/>
    <n v="1"/>
    <n v="0"/>
    <n v="0"/>
    <n v="0"/>
    <x v="4"/>
  </r>
  <r>
    <s v="TXN00351"/>
    <x v="414"/>
    <x v="7"/>
    <s v="EUR"/>
    <x v="3"/>
    <x v="3"/>
    <n v="2200.96"/>
    <x v="1"/>
    <x v="0"/>
    <n v="3.2"/>
    <n v="1"/>
    <n v="70.430000000000007"/>
    <n v="2130.5300000000002"/>
    <n v="2200.96"/>
    <x v="5"/>
  </r>
  <r>
    <s v="TXN00115"/>
    <x v="415"/>
    <x v="6"/>
    <s v="EUR"/>
    <x v="4"/>
    <x v="0"/>
    <n v="2697.52"/>
    <x v="1"/>
    <x v="0"/>
    <n v="2.1"/>
    <n v="1"/>
    <n v="56.65"/>
    <n v="2640.87"/>
    <n v="2697.52"/>
    <x v="5"/>
  </r>
  <r>
    <s v="TXN00458"/>
    <x v="416"/>
    <x v="6"/>
    <s v="EUR"/>
    <x v="1"/>
    <x v="1"/>
    <n v="4941.92"/>
    <x v="1"/>
    <x v="0"/>
    <n v="2.9"/>
    <n v="1"/>
    <n v="143.32"/>
    <n v="4798.6000000000004"/>
    <n v="4941.92"/>
    <x v="5"/>
  </r>
  <r>
    <s v="TXN00221"/>
    <x v="417"/>
    <x v="3"/>
    <s v="EUR"/>
    <x v="3"/>
    <x v="4"/>
    <n v="1128.97"/>
    <x v="1"/>
    <x v="0"/>
    <n v="3.2"/>
    <n v="1"/>
    <n v="36.130000000000003"/>
    <n v="1092.8399999999999"/>
    <n v="1128.97"/>
    <x v="5"/>
  </r>
  <r>
    <s v="TXN00601"/>
    <x v="418"/>
    <x v="1"/>
    <s v="NOK"/>
    <x v="1"/>
    <x v="0"/>
    <n v="503.88"/>
    <x v="1"/>
    <x v="0"/>
    <n v="2.9"/>
    <n v="8.5999999999999993E-2"/>
    <n v="1.2951765"/>
    <n v="43.373785500000004"/>
    <n v="44.668962000000001"/>
    <x v="5"/>
  </r>
  <r>
    <s v="TXN00990"/>
    <x v="419"/>
    <x v="1"/>
    <s v="NOK"/>
    <x v="4"/>
    <x v="0"/>
    <n v="2603.14"/>
    <x v="1"/>
    <x v="0"/>
    <n v="2.1"/>
    <n v="8.5999999999999993E-2"/>
    <n v="4.8464955000000005"/>
    <n v="225.9218655"/>
    <n v="230.768361"/>
    <x v="5"/>
  </r>
  <r>
    <s v="TXN00324"/>
    <x v="420"/>
    <x v="2"/>
    <s v="EUR"/>
    <x v="0"/>
    <x v="1"/>
    <n v="896.41"/>
    <x v="2"/>
    <x v="3"/>
    <n v="2.5"/>
    <n v="1"/>
    <n v="0"/>
    <n v="0"/>
    <n v="0"/>
    <x v="5"/>
  </r>
  <r>
    <s v="TXN00847"/>
    <x v="421"/>
    <x v="6"/>
    <s v="EUR"/>
    <x v="1"/>
    <x v="1"/>
    <n v="2091.61"/>
    <x v="2"/>
    <x v="1"/>
    <n v="2.9"/>
    <n v="1"/>
    <n v="0"/>
    <n v="0"/>
    <n v="0"/>
    <x v="5"/>
  </r>
  <r>
    <s v="TXN00091"/>
    <x v="422"/>
    <x v="0"/>
    <s v="SEK"/>
    <x v="4"/>
    <x v="1"/>
    <n v="237.12"/>
    <x v="1"/>
    <x v="0"/>
    <n v="2.1"/>
    <n v="8.7400000000000005E-2"/>
    <n v="0.46174560000000003"/>
    <n v="21.524020799999999"/>
    <n v="21.985766399999999"/>
    <x v="5"/>
  </r>
  <r>
    <s v="TXN00912"/>
    <x v="423"/>
    <x v="2"/>
    <s v="EUR"/>
    <x v="3"/>
    <x v="2"/>
    <n v="4298.49"/>
    <x v="1"/>
    <x v="0"/>
    <n v="3.2"/>
    <n v="1"/>
    <n v="137.55000000000001"/>
    <n v="4160.9399999999996"/>
    <n v="4298.49"/>
    <x v="5"/>
  </r>
  <r>
    <s v="TXN00285"/>
    <x v="424"/>
    <x v="0"/>
    <s v="SEK"/>
    <x v="4"/>
    <x v="0"/>
    <n v="1509.5"/>
    <x v="1"/>
    <x v="0"/>
    <n v="2.1"/>
    <n v="8.7400000000000005E-2"/>
    <n v="2.9392239999999998"/>
    <n v="137.02161599999999"/>
    <n v="139.96083999999999"/>
    <x v="5"/>
  </r>
  <r>
    <s v="TXN00719"/>
    <x v="425"/>
    <x v="7"/>
    <s v="EUR"/>
    <x v="4"/>
    <x v="3"/>
    <n v="1877.34"/>
    <x v="1"/>
    <x v="0"/>
    <n v="2.1"/>
    <n v="1"/>
    <n v="39.42"/>
    <n v="1837.92"/>
    <n v="1877.3400000000001"/>
    <x v="5"/>
  </r>
  <r>
    <s v="TXN00139"/>
    <x v="426"/>
    <x v="4"/>
    <s v="GBP"/>
    <x v="4"/>
    <x v="4"/>
    <n v="686.96"/>
    <x v="2"/>
    <x v="3"/>
    <n v="2.1"/>
    <n v="1.1801999999999999"/>
    <n v="0"/>
    <n v="0"/>
    <n v="0"/>
    <x v="5"/>
  </r>
  <r>
    <s v="TXN00087"/>
    <x v="427"/>
    <x v="5"/>
    <s v="PLN"/>
    <x v="0"/>
    <x v="4"/>
    <n v="2659.3"/>
    <x v="2"/>
    <x v="5"/>
    <n v="2.5"/>
    <n v="0.23269999999999999"/>
    <n v="0"/>
    <n v="0"/>
    <n v="0"/>
    <x v="5"/>
  </r>
  <r>
    <s v="TXN00859"/>
    <x v="428"/>
    <x v="3"/>
    <s v="EUR"/>
    <x v="1"/>
    <x v="0"/>
    <n v="3457.18"/>
    <x v="1"/>
    <x v="0"/>
    <n v="2.9"/>
    <n v="1"/>
    <n v="100.26"/>
    <n v="3356.92"/>
    <n v="3457.1800000000003"/>
    <x v="5"/>
  </r>
  <r>
    <s v="TXN00045"/>
    <x v="429"/>
    <x v="9"/>
    <s v="EUR"/>
    <x v="3"/>
    <x v="2"/>
    <n v="3413.51"/>
    <x v="1"/>
    <x v="0"/>
    <n v="3.2"/>
    <n v="1"/>
    <n v="109.23"/>
    <n v="3304.28"/>
    <n v="3413.51"/>
    <x v="5"/>
  </r>
  <r>
    <s v="TXN00739"/>
    <x v="430"/>
    <x v="1"/>
    <s v="NOK"/>
    <x v="1"/>
    <x v="4"/>
    <n v="3859"/>
    <x v="2"/>
    <x v="3"/>
    <n v="2.9"/>
    <n v="8.5999999999999993E-2"/>
    <n v="0"/>
    <n v="0"/>
    <n v="0"/>
    <x v="5"/>
  </r>
  <r>
    <s v="TXN00237"/>
    <x v="431"/>
    <x v="4"/>
    <s v="GBP"/>
    <x v="0"/>
    <x v="4"/>
    <n v="2291.58"/>
    <x v="1"/>
    <x v="0"/>
    <n v="2.5"/>
    <n v="1.1801999999999999"/>
    <n v="65.826210000000003"/>
    <n v="2567.1992100000002"/>
    <n v="2633.0254200000004"/>
    <x v="5"/>
  </r>
  <r>
    <s v="TXN00377"/>
    <x v="432"/>
    <x v="2"/>
    <s v="EUR"/>
    <x v="4"/>
    <x v="4"/>
    <n v="1640.48"/>
    <x v="0"/>
    <x v="0"/>
    <n v="2.1"/>
    <n v="1"/>
    <n v="0"/>
    <n v="0"/>
    <n v="0"/>
    <x v="5"/>
  </r>
  <r>
    <s v="TXN00187"/>
    <x v="433"/>
    <x v="5"/>
    <s v="PLN"/>
    <x v="0"/>
    <x v="2"/>
    <n v="1140.45"/>
    <x v="1"/>
    <x v="0"/>
    <n v="2.5"/>
    <n v="0.23269999999999999"/>
    <n v="6.6371280000000006"/>
    <n v="258.85963200000003"/>
    <n v="265.49676000000005"/>
    <x v="5"/>
  </r>
  <r>
    <s v="TXN00378"/>
    <x v="434"/>
    <x v="2"/>
    <s v="EUR"/>
    <x v="1"/>
    <x v="2"/>
    <n v="440.2"/>
    <x v="2"/>
    <x v="4"/>
    <n v="2.9"/>
    <n v="1"/>
    <n v="0"/>
    <n v="0"/>
    <n v="0"/>
    <x v="5"/>
  </r>
  <r>
    <s v="TXN00679"/>
    <x v="435"/>
    <x v="0"/>
    <s v="SEK"/>
    <x v="4"/>
    <x v="0"/>
    <n v="4978.47"/>
    <x v="1"/>
    <x v="0"/>
    <n v="2.1"/>
    <n v="8.7400000000000005E-2"/>
    <n v="9.6938759999999995"/>
    <n v="451.90986240000001"/>
    <n v="461.6037384"/>
    <x v="5"/>
  </r>
  <r>
    <s v="TXN00857"/>
    <x v="436"/>
    <x v="3"/>
    <s v="EUR"/>
    <x v="0"/>
    <x v="4"/>
    <n v="2620.37"/>
    <x v="1"/>
    <x v="0"/>
    <n v="2.5"/>
    <n v="1"/>
    <n v="65.510000000000005"/>
    <n v="2554.86"/>
    <n v="2620.3700000000003"/>
    <x v="5"/>
  </r>
  <r>
    <s v="TXN00037"/>
    <x v="437"/>
    <x v="6"/>
    <s v="EUR"/>
    <x v="2"/>
    <x v="4"/>
    <n v="4980.5200000000004"/>
    <x v="1"/>
    <x v="0"/>
    <n v="1.9"/>
    <n v="1"/>
    <n v="94.63"/>
    <n v="4885.8900000000003"/>
    <n v="4980.5200000000004"/>
    <x v="5"/>
  </r>
  <r>
    <s v="TXN00497"/>
    <x v="438"/>
    <x v="9"/>
    <s v="EUR"/>
    <x v="1"/>
    <x v="0"/>
    <n v="2067.5700000000002"/>
    <x v="0"/>
    <x v="0"/>
    <n v="2.9"/>
    <n v="1"/>
    <n v="0"/>
    <n v="0"/>
    <n v="0"/>
    <x v="5"/>
  </r>
  <r>
    <s v="TXN00089"/>
    <x v="439"/>
    <x v="0"/>
    <s v="SEK"/>
    <x v="4"/>
    <x v="2"/>
    <n v="1089.76"/>
    <x v="2"/>
    <x v="3"/>
    <n v="2.1"/>
    <n v="8.7400000000000005E-2"/>
    <n v="0"/>
    <n v="0"/>
    <n v="0"/>
    <x v="5"/>
  </r>
  <r>
    <s v="TXN00649"/>
    <x v="440"/>
    <x v="5"/>
    <s v="PLN"/>
    <x v="0"/>
    <x v="0"/>
    <n v="4132.51"/>
    <x v="1"/>
    <x v="0"/>
    <n v="2.5"/>
    <n v="0.23269999999999999"/>
    <n v="24.050568000000002"/>
    <n v="937.99775999999997"/>
    <n v="962.04832799999997"/>
    <x v="5"/>
  </r>
  <r>
    <s v="TXN00853"/>
    <x v="441"/>
    <x v="7"/>
    <s v="EUR"/>
    <x v="3"/>
    <x v="1"/>
    <n v="488.21"/>
    <x v="0"/>
    <x v="0"/>
    <n v="3.2"/>
    <n v="1"/>
    <n v="0"/>
    <n v="0"/>
    <n v="0"/>
    <x v="5"/>
  </r>
  <r>
    <s v="TXN00595"/>
    <x v="442"/>
    <x v="9"/>
    <s v="EUR"/>
    <x v="4"/>
    <x v="0"/>
    <n v="2909.23"/>
    <x v="1"/>
    <x v="0"/>
    <n v="2.1"/>
    <n v="1"/>
    <n v="61.09"/>
    <n v="2848.14"/>
    <n v="2909.23"/>
    <x v="5"/>
  </r>
  <r>
    <s v="TXN00680"/>
    <x v="443"/>
    <x v="0"/>
    <s v="SEK"/>
    <x v="1"/>
    <x v="2"/>
    <n v="1594.81"/>
    <x v="1"/>
    <x v="0"/>
    <n v="2.9"/>
    <n v="8.7400000000000005E-2"/>
    <n v="4.2882999999999996"/>
    <n v="143.58248319999998"/>
    <n v="147.87078319999998"/>
    <x v="5"/>
  </r>
  <r>
    <s v="TXN00395"/>
    <x v="444"/>
    <x v="2"/>
    <s v="EUR"/>
    <x v="1"/>
    <x v="2"/>
    <n v="689.2"/>
    <x v="0"/>
    <x v="0"/>
    <n v="2.9"/>
    <n v="1"/>
    <n v="0"/>
    <n v="0"/>
    <n v="0"/>
    <x v="5"/>
  </r>
  <r>
    <s v="TXN00831"/>
    <x v="445"/>
    <x v="6"/>
    <s v="EUR"/>
    <x v="3"/>
    <x v="1"/>
    <n v="930.64"/>
    <x v="0"/>
    <x v="0"/>
    <n v="3.2"/>
    <n v="1"/>
    <n v="0"/>
    <n v="0"/>
    <n v="0"/>
    <x v="5"/>
  </r>
  <r>
    <s v="TXN00681"/>
    <x v="446"/>
    <x v="7"/>
    <s v="EUR"/>
    <x v="0"/>
    <x v="1"/>
    <n v="768.27"/>
    <x v="1"/>
    <x v="0"/>
    <n v="2.5"/>
    <n v="1"/>
    <n v="19.21"/>
    <n v="749.06"/>
    <n v="768.27"/>
    <x v="5"/>
  </r>
  <r>
    <s v="TXN00918"/>
    <x v="447"/>
    <x v="3"/>
    <s v="EUR"/>
    <x v="3"/>
    <x v="2"/>
    <n v="3440.46"/>
    <x v="1"/>
    <x v="0"/>
    <n v="3.2"/>
    <n v="1"/>
    <n v="110.09"/>
    <n v="3330.37"/>
    <n v="3440.46"/>
    <x v="5"/>
  </r>
  <r>
    <s v="TXN00658"/>
    <x v="448"/>
    <x v="3"/>
    <s v="EUR"/>
    <x v="3"/>
    <x v="4"/>
    <n v="3491.87"/>
    <x v="1"/>
    <x v="0"/>
    <n v="3.2"/>
    <n v="1"/>
    <n v="111.74"/>
    <n v="3380.13"/>
    <n v="3491.87"/>
    <x v="5"/>
  </r>
  <r>
    <s v="TXN00287"/>
    <x v="449"/>
    <x v="8"/>
    <s v="EUR"/>
    <x v="4"/>
    <x v="1"/>
    <n v="1888.54"/>
    <x v="0"/>
    <x v="0"/>
    <n v="2.1"/>
    <n v="1"/>
    <n v="0"/>
    <n v="0"/>
    <n v="0"/>
    <x v="5"/>
  </r>
  <r>
    <s v="TXN00791"/>
    <x v="450"/>
    <x v="9"/>
    <s v="EUR"/>
    <x v="2"/>
    <x v="2"/>
    <n v="1684.16"/>
    <x v="1"/>
    <x v="0"/>
    <n v="1.9"/>
    <n v="1"/>
    <n v="32"/>
    <n v="1652.16"/>
    <n v="1684.16"/>
    <x v="5"/>
  </r>
  <r>
    <s v="TXN00471"/>
    <x v="451"/>
    <x v="9"/>
    <s v="EUR"/>
    <x v="1"/>
    <x v="2"/>
    <n v="1139.07"/>
    <x v="1"/>
    <x v="0"/>
    <n v="2.9"/>
    <n v="1"/>
    <n v="33.03"/>
    <n v="1106.04"/>
    <n v="1139.07"/>
    <x v="5"/>
  </r>
  <r>
    <s v="TXN00082"/>
    <x v="452"/>
    <x v="4"/>
    <s v="GBP"/>
    <x v="3"/>
    <x v="0"/>
    <n v="1226.8800000000001"/>
    <x v="2"/>
    <x v="5"/>
    <n v="3.2"/>
    <n v="1.1801999999999999"/>
    <n v="0"/>
    <n v="0"/>
    <n v="0"/>
    <x v="5"/>
  </r>
  <r>
    <s v="TXN00123"/>
    <x v="453"/>
    <x v="5"/>
    <s v="PLN"/>
    <x v="3"/>
    <x v="0"/>
    <n v="736.39"/>
    <x v="0"/>
    <x v="0"/>
    <n v="3.2"/>
    <n v="0.23269999999999999"/>
    <n v="0"/>
    <n v="0"/>
    <n v="0"/>
    <x v="5"/>
  </r>
  <r>
    <s v="TXN00655"/>
    <x v="454"/>
    <x v="6"/>
    <s v="EUR"/>
    <x v="2"/>
    <x v="3"/>
    <n v="2980.2"/>
    <x v="1"/>
    <x v="0"/>
    <n v="1.9"/>
    <n v="1"/>
    <n v="56.62"/>
    <n v="2923.58"/>
    <n v="2980.2"/>
    <x v="5"/>
  </r>
  <r>
    <s v="TXN00941"/>
    <x v="455"/>
    <x v="1"/>
    <s v="NOK"/>
    <x v="4"/>
    <x v="2"/>
    <n v="4317.76"/>
    <x v="1"/>
    <x v="0"/>
    <n v="2.1"/>
    <n v="8.5999999999999993E-2"/>
    <n v="8.0378955000000012"/>
    <n v="374.73152850000002"/>
    <n v="382.76942400000001"/>
    <x v="5"/>
  </r>
  <r>
    <s v="TXN00313"/>
    <x v="456"/>
    <x v="7"/>
    <s v="EUR"/>
    <x v="0"/>
    <x v="0"/>
    <n v="1148.4100000000001"/>
    <x v="0"/>
    <x v="0"/>
    <n v="2.5"/>
    <n v="1"/>
    <n v="0"/>
    <n v="0"/>
    <n v="0"/>
    <x v="5"/>
  </r>
  <r>
    <s v="TXN00810"/>
    <x v="457"/>
    <x v="2"/>
    <s v="EUR"/>
    <x v="2"/>
    <x v="2"/>
    <n v="4569.6400000000003"/>
    <x v="1"/>
    <x v="0"/>
    <n v="1.9"/>
    <n v="1"/>
    <n v="86.82"/>
    <n v="4482.82"/>
    <n v="4569.6399999999994"/>
    <x v="5"/>
  </r>
  <r>
    <s v="TXN00991"/>
    <x v="458"/>
    <x v="2"/>
    <s v="EUR"/>
    <x v="3"/>
    <x v="0"/>
    <n v="498.96"/>
    <x v="2"/>
    <x v="2"/>
    <n v="3.2"/>
    <n v="1"/>
    <n v="0"/>
    <n v="0"/>
    <n v="0"/>
    <x v="5"/>
  </r>
  <r>
    <s v="TXN00183"/>
    <x v="459"/>
    <x v="8"/>
    <s v="EUR"/>
    <x v="3"/>
    <x v="1"/>
    <n v="3621.43"/>
    <x v="0"/>
    <x v="0"/>
    <n v="3.2"/>
    <n v="1"/>
    <n v="0"/>
    <n v="0"/>
    <n v="0"/>
    <x v="5"/>
  </r>
  <r>
    <s v="TXN00482"/>
    <x v="460"/>
    <x v="9"/>
    <s v="EUR"/>
    <x v="1"/>
    <x v="3"/>
    <n v="4177.8100000000004"/>
    <x v="2"/>
    <x v="1"/>
    <n v="2.9"/>
    <n v="1"/>
    <n v="0"/>
    <n v="0"/>
    <n v="0"/>
    <x v="5"/>
  </r>
  <r>
    <s v="TXN00088"/>
    <x v="461"/>
    <x v="6"/>
    <s v="EUR"/>
    <x v="3"/>
    <x v="1"/>
    <n v="1264.5"/>
    <x v="1"/>
    <x v="0"/>
    <n v="3.2"/>
    <n v="1"/>
    <n v="40.46"/>
    <n v="1224.04"/>
    <n v="1264.5"/>
    <x v="5"/>
  </r>
  <r>
    <s v="TXN00184"/>
    <x v="462"/>
    <x v="3"/>
    <s v="EUR"/>
    <x v="3"/>
    <x v="1"/>
    <n v="4838.8100000000004"/>
    <x v="2"/>
    <x v="1"/>
    <n v="3.2"/>
    <n v="1"/>
    <n v="0"/>
    <n v="0"/>
    <n v="0"/>
    <x v="5"/>
  </r>
  <r>
    <s v="TXN00674"/>
    <x v="463"/>
    <x v="3"/>
    <s v="EUR"/>
    <x v="1"/>
    <x v="1"/>
    <n v="3424.71"/>
    <x v="1"/>
    <x v="0"/>
    <n v="2.9"/>
    <n v="1"/>
    <n v="99.32"/>
    <n v="3325.39"/>
    <n v="3424.71"/>
    <x v="5"/>
  </r>
  <r>
    <s v="TXN00263"/>
    <x v="464"/>
    <x v="0"/>
    <s v="SEK"/>
    <x v="2"/>
    <x v="0"/>
    <n v="4447.41"/>
    <x v="1"/>
    <x v="0"/>
    <n v="1.9"/>
    <n v="8.7400000000000005E-2"/>
    <n v="7.8348399999999998"/>
    <n v="404.52901519999995"/>
    <n v="412.36385519999993"/>
    <x v="5"/>
  </r>
  <r>
    <s v="TXN00134"/>
    <x v="465"/>
    <x v="4"/>
    <s v="GBP"/>
    <x v="4"/>
    <x v="2"/>
    <n v="4302.1000000000004"/>
    <x v="2"/>
    <x v="5"/>
    <n v="2.1"/>
    <n v="1.1801999999999999"/>
    <n v="0"/>
    <n v="0"/>
    <n v="0"/>
    <x v="5"/>
  </r>
  <r>
    <s v="TXN00574"/>
    <x v="466"/>
    <x v="9"/>
    <s v="EUR"/>
    <x v="4"/>
    <x v="0"/>
    <n v="4823.21"/>
    <x v="1"/>
    <x v="0"/>
    <n v="2.1"/>
    <n v="1"/>
    <n v="101.29"/>
    <n v="4721.92"/>
    <n v="4823.21"/>
    <x v="5"/>
  </r>
  <r>
    <s v="TXN00163"/>
    <x v="467"/>
    <x v="7"/>
    <s v="EUR"/>
    <x v="3"/>
    <x v="4"/>
    <n v="2985.16"/>
    <x v="1"/>
    <x v="0"/>
    <n v="3.2"/>
    <n v="1"/>
    <n v="95.53"/>
    <n v="2889.63"/>
    <n v="2985.1600000000003"/>
    <x v="5"/>
  </r>
  <r>
    <s v="TXN00501"/>
    <x v="468"/>
    <x v="7"/>
    <s v="EUR"/>
    <x v="2"/>
    <x v="4"/>
    <n v="1875.71"/>
    <x v="1"/>
    <x v="0"/>
    <n v="1.9"/>
    <n v="1"/>
    <n v="35.64"/>
    <n v="1840.07"/>
    <n v="1875.71"/>
    <x v="5"/>
  </r>
  <r>
    <s v="TXN00233"/>
    <x v="469"/>
    <x v="5"/>
    <s v="PLN"/>
    <x v="3"/>
    <x v="1"/>
    <n v="4877.12"/>
    <x v="1"/>
    <x v="0"/>
    <n v="3.2"/>
    <n v="0.23269999999999999"/>
    <n v="36.333095999999998"/>
    <n v="1099.06044"/>
    <n v="1135.393536"/>
    <x v="5"/>
  </r>
  <r>
    <s v="TXN00827"/>
    <x v="470"/>
    <x v="5"/>
    <s v="PLN"/>
    <x v="0"/>
    <x v="4"/>
    <n v="3332.62"/>
    <x v="0"/>
    <x v="0"/>
    <n v="2.5"/>
    <n v="0.23269999999999999"/>
    <n v="0"/>
    <n v="0"/>
    <n v="0"/>
    <x v="5"/>
  </r>
  <r>
    <s v="TXN00603"/>
    <x v="471"/>
    <x v="4"/>
    <s v="GBP"/>
    <x v="3"/>
    <x v="4"/>
    <n v="1002.8"/>
    <x v="0"/>
    <x v="0"/>
    <n v="3.2"/>
    <n v="1.1801999999999999"/>
    <n v="0"/>
    <n v="0"/>
    <n v="0"/>
    <x v="5"/>
  </r>
  <r>
    <s v="TXN00743"/>
    <x v="472"/>
    <x v="9"/>
    <s v="EUR"/>
    <x v="2"/>
    <x v="4"/>
    <n v="2026.95"/>
    <x v="1"/>
    <x v="0"/>
    <n v="1.9"/>
    <n v="1"/>
    <n v="38.51"/>
    <n v="1988.44"/>
    <n v="2026.95"/>
    <x v="5"/>
  </r>
  <r>
    <s v="TXN00205"/>
    <x v="473"/>
    <x v="4"/>
    <s v="GBP"/>
    <x v="2"/>
    <x v="1"/>
    <n v="675.71"/>
    <x v="1"/>
    <x v="0"/>
    <n v="1.9"/>
    <n v="1.1801999999999999"/>
    <n v="14.753159999999999"/>
    <n v="761.63763000000006"/>
    <n v="776.39079000000004"/>
    <x v="5"/>
  </r>
  <r>
    <s v="TXN00616"/>
    <x v="474"/>
    <x v="0"/>
    <s v="SEK"/>
    <x v="1"/>
    <x v="0"/>
    <n v="4735.32"/>
    <x v="2"/>
    <x v="3"/>
    <n v="2.9"/>
    <n v="8.7400000000000005E-2"/>
    <n v="0"/>
    <n v="0"/>
    <n v="0"/>
    <x v="5"/>
  </r>
  <r>
    <s v="TXN00493"/>
    <x v="475"/>
    <x v="8"/>
    <s v="EUR"/>
    <x v="4"/>
    <x v="4"/>
    <n v="4461.3900000000003"/>
    <x v="0"/>
    <x v="0"/>
    <n v="2.1"/>
    <n v="1"/>
    <n v="0"/>
    <n v="0"/>
    <n v="0"/>
    <x v="5"/>
  </r>
  <r>
    <s v="TXN00423"/>
    <x v="476"/>
    <x v="4"/>
    <s v="GBP"/>
    <x v="1"/>
    <x v="3"/>
    <n v="1935.83"/>
    <x v="2"/>
    <x v="1"/>
    <n v="2.9"/>
    <n v="1.1801999999999999"/>
    <n v="0"/>
    <n v="0"/>
    <n v="0"/>
    <x v="5"/>
  </r>
  <r>
    <s v="TXN00841"/>
    <x v="477"/>
    <x v="0"/>
    <s v="SEK"/>
    <x v="1"/>
    <x v="2"/>
    <n v="3641.99"/>
    <x v="2"/>
    <x v="2"/>
    <n v="2.9"/>
    <n v="8.7400000000000005E-2"/>
    <n v="0"/>
    <n v="0"/>
    <n v="0"/>
    <x v="5"/>
  </r>
  <r>
    <s v="TXN00567"/>
    <x v="478"/>
    <x v="1"/>
    <s v="NOK"/>
    <x v="1"/>
    <x v="0"/>
    <n v="678.08"/>
    <x v="2"/>
    <x v="1"/>
    <n v="2.9"/>
    <n v="8.5999999999999993E-2"/>
    <n v="0"/>
    <n v="0"/>
    <n v="0"/>
    <x v="5"/>
  </r>
  <r>
    <s v="TXN00665"/>
    <x v="479"/>
    <x v="6"/>
    <s v="EUR"/>
    <x v="2"/>
    <x v="2"/>
    <n v="2207.91"/>
    <x v="1"/>
    <x v="0"/>
    <n v="1.9"/>
    <n v="1"/>
    <n v="41.95"/>
    <n v="2165.96"/>
    <n v="2207.91"/>
    <x v="5"/>
  </r>
  <r>
    <s v="TXN00756"/>
    <x v="480"/>
    <x v="3"/>
    <s v="EUR"/>
    <x v="1"/>
    <x v="4"/>
    <n v="3749.63"/>
    <x v="0"/>
    <x v="0"/>
    <n v="2.9"/>
    <n v="1"/>
    <n v="0"/>
    <n v="0"/>
    <n v="0"/>
    <x v="5"/>
  </r>
  <r>
    <s v="TXN00915"/>
    <x v="481"/>
    <x v="0"/>
    <s v="SEK"/>
    <x v="3"/>
    <x v="0"/>
    <n v="3479.1"/>
    <x v="1"/>
    <x v="0"/>
    <n v="3.2"/>
    <n v="8.7400000000000005E-2"/>
    <n v="10.322517599999999"/>
    <n v="312.25963439999998"/>
    <n v="322.58215200000001"/>
    <x v="5"/>
  </r>
  <r>
    <s v="TXN00511"/>
    <x v="482"/>
    <x v="1"/>
    <s v="NOK"/>
    <x v="2"/>
    <x v="0"/>
    <n v="3374.47"/>
    <x v="0"/>
    <x v="0"/>
    <n v="1.9"/>
    <n v="8.5999999999999993E-2"/>
    <n v="0"/>
    <n v="0"/>
    <n v="0"/>
    <x v="5"/>
  </r>
  <r>
    <s v="TXN00580"/>
    <x v="483"/>
    <x v="8"/>
    <s v="EUR"/>
    <x v="2"/>
    <x v="2"/>
    <n v="2593.54"/>
    <x v="1"/>
    <x v="0"/>
    <n v="1.9"/>
    <n v="1"/>
    <n v="49.28"/>
    <n v="2544.2600000000002"/>
    <n v="2593.5400000000004"/>
    <x v="5"/>
  </r>
  <r>
    <s v="TXN00716"/>
    <x v="484"/>
    <x v="7"/>
    <s v="EUR"/>
    <x v="1"/>
    <x v="1"/>
    <n v="4918.26"/>
    <x v="0"/>
    <x v="0"/>
    <n v="2.9"/>
    <n v="1"/>
    <n v="0"/>
    <n v="0"/>
    <n v="0"/>
    <x v="5"/>
  </r>
  <r>
    <s v="TXN00837"/>
    <x v="485"/>
    <x v="9"/>
    <s v="EUR"/>
    <x v="2"/>
    <x v="2"/>
    <n v="2921.32"/>
    <x v="1"/>
    <x v="0"/>
    <n v="1.9"/>
    <n v="1"/>
    <n v="55.51"/>
    <n v="2865.81"/>
    <n v="2921.32"/>
    <x v="6"/>
  </r>
  <r>
    <s v="TXN00971"/>
    <x v="486"/>
    <x v="3"/>
    <s v="EUR"/>
    <x v="2"/>
    <x v="3"/>
    <n v="4036.01"/>
    <x v="1"/>
    <x v="0"/>
    <n v="1.9"/>
    <n v="1"/>
    <n v="76.680000000000007"/>
    <n v="3959.33"/>
    <n v="4036.0099999999998"/>
    <x v="6"/>
  </r>
  <r>
    <s v="TXN00486"/>
    <x v="487"/>
    <x v="7"/>
    <s v="EUR"/>
    <x v="1"/>
    <x v="1"/>
    <n v="4076.67"/>
    <x v="1"/>
    <x v="0"/>
    <n v="2.9"/>
    <n v="1"/>
    <n v="118.22"/>
    <n v="3958.45"/>
    <n v="4076.6699999999996"/>
    <x v="6"/>
  </r>
  <r>
    <s v="TXN00481"/>
    <x v="488"/>
    <x v="7"/>
    <s v="EUR"/>
    <x v="4"/>
    <x v="3"/>
    <n v="2745.21"/>
    <x v="1"/>
    <x v="0"/>
    <n v="2.1"/>
    <n v="1"/>
    <n v="57.65"/>
    <n v="2687.56"/>
    <n v="2745.21"/>
    <x v="6"/>
  </r>
  <r>
    <s v="TXN00747"/>
    <x v="489"/>
    <x v="7"/>
    <s v="EUR"/>
    <x v="4"/>
    <x v="2"/>
    <n v="67.900000000000006"/>
    <x v="1"/>
    <x v="0"/>
    <n v="2.1"/>
    <n v="1"/>
    <n v="1.43"/>
    <n v="66.47"/>
    <n v="67.900000000000006"/>
    <x v="6"/>
  </r>
  <r>
    <s v="TXN00945"/>
    <x v="490"/>
    <x v="5"/>
    <s v="PLN"/>
    <x v="2"/>
    <x v="2"/>
    <n v="2453.2199999999998"/>
    <x v="2"/>
    <x v="2"/>
    <n v="1.9"/>
    <n v="0.23269999999999999"/>
    <n v="0"/>
    <n v="0"/>
    <n v="0"/>
    <x v="6"/>
  </r>
  <r>
    <s v="TXN00149"/>
    <x v="491"/>
    <x v="4"/>
    <s v="GBP"/>
    <x v="0"/>
    <x v="4"/>
    <n v="1115.53"/>
    <x v="0"/>
    <x v="0"/>
    <n v="2.5"/>
    <n v="1.1801999999999999"/>
    <n v="0"/>
    <n v="0"/>
    <n v="0"/>
    <x v="6"/>
  </r>
  <r>
    <s v="TXN00556"/>
    <x v="492"/>
    <x v="4"/>
    <s v="GBP"/>
    <x v="4"/>
    <x v="0"/>
    <n v="4057.75"/>
    <x v="1"/>
    <x v="0"/>
    <n v="2.1"/>
    <n v="1.1801999999999999"/>
    <n v="97.906289999999998"/>
    <n v="4564.4484599999996"/>
    <n v="4662.3547499999995"/>
    <x v="6"/>
  </r>
  <r>
    <s v="TXN00499"/>
    <x v="493"/>
    <x v="2"/>
    <s v="EUR"/>
    <x v="0"/>
    <x v="1"/>
    <n v="2805.15"/>
    <x v="0"/>
    <x v="0"/>
    <n v="2.5"/>
    <n v="1"/>
    <n v="0"/>
    <n v="0"/>
    <n v="0"/>
    <x v="6"/>
  </r>
  <r>
    <s v="TXN00326"/>
    <x v="494"/>
    <x v="1"/>
    <s v="NOK"/>
    <x v="4"/>
    <x v="4"/>
    <n v="4986.3500000000004"/>
    <x v="1"/>
    <x v="0"/>
    <n v="2.1"/>
    <n v="8.5999999999999993E-2"/>
    <n v="9.2825415000000007"/>
    <n v="432.75738600000005"/>
    <n v="442.03992750000003"/>
    <x v="6"/>
  </r>
  <r>
    <s v="TXN00898"/>
    <x v="495"/>
    <x v="2"/>
    <s v="EUR"/>
    <x v="4"/>
    <x v="1"/>
    <n v="4222.17"/>
    <x v="2"/>
    <x v="3"/>
    <n v="2.1"/>
    <n v="1"/>
    <n v="0"/>
    <n v="0"/>
    <n v="0"/>
    <x v="6"/>
  </r>
  <r>
    <s v="TXN00240"/>
    <x v="496"/>
    <x v="9"/>
    <s v="EUR"/>
    <x v="2"/>
    <x v="4"/>
    <n v="981.33"/>
    <x v="0"/>
    <x v="0"/>
    <n v="1.9"/>
    <n v="1"/>
    <n v="0"/>
    <n v="0"/>
    <n v="0"/>
    <x v="6"/>
  </r>
  <r>
    <s v="TXN00135"/>
    <x v="497"/>
    <x v="8"/>
    <s v="EUR"/>
    <x v="1"/>
    <x v="1"/>
    <n v="2687.5"/>
    <x v="2"/>
    <x v="3"/>
    <n v="2.9"/>
    <n v="1"/>
    <n v="0"/>
    <n v="0"/>
    <n v="0"/>
    <x v="6"/>
  </r>
  <r>
    <s v="TXN00597"/>
    <x v="498"/>
    <x v="8"/>
    <s v="EUR"/>
    <x v="4"/>
    <x v="0"/>
    <n v="3506.56"/>
    <x v="1"/>
    <x v="0"/>
    <n v="2.1"/>
    <n v="1"/>
    <n v="73.64"/>
    <n v="3432.92"/>
    <n v="3506.56"/>
    <x v="6"/>
  </r>
  <r>
    <s v="TXN00664"/>
    <x v="499"/>
    <x v="5"/>
    <s v="PLN"/>
    <x v="3"/>
    <x v="4"/>
    <n v="3280.5"/>
    <x v="1"/>
    <x v="0"/>
    <n v="3.2"/>
    <n v="0.23269999999999999"/>
    <n v="24.439344000000002"/>
    <n v="739.26105600000005"/>
    <n v="763.70040000000006"/>
    <x v="6"/>
  </r>
  <r>
    <s v="TXN00374"/>
    <x v="500"/>
    <x v="3"/>
    <s v="EUR"/>
    <x v="0"/>
    <x v="3"/>
    <n v="93.28"/>
    <x v="1"/>
    <x v="0"/>
    <n v="2.5"/>
    <n v="1"/>
    <n v="2.33"/>
    <n v="90.95"/>
    <n v="93.28"/>
    <x v="6"/>
  </r>
  <r>
    <s v="TXN00389"/>
    <x v="501"/>
    <x v="2"/>
    <s v="EUR"/>
    <x v="2"/>
    <x v="2"/>
    <n v="761.33"/>
    <x v="2"/>
    <x v="4"/>
    <n v="1.9"/>
    <n v="1"/>
    <n v="0"/>
    <n v="0"/>
    <n v="0"/>
    <x v="6"/>
  </r>
  <r>
    <s v="TXN00192"/>
    <x v="502"/>
    <x v="6"/>
    <s v="EUR"/>
    <x v="0"/>
    <x v="1"/>
    <n v="3892.84"/>
    <x v="0"/>
    <x v="0"/>
    <n v="2.5"/>
    <n v="1"/>
    <n v="0"/>
    <n v="0"/>
    <n v="0"/>
    <x v="6"/>
  </r>
  <r>
    <s v="TXN00290"/>
    <x v="503"/>
    <x v="2"/>
    <s v="EUR"/>
    <x v="1"/>
    <x v="1"/>
    <n v="1892.07"/>
    <x v="0"/>
    <x v="0"/>
    <n v="2.9"/>
    <n v="1"/>
    <n v="0"/>
    <n v="0"/>
    <n v="0"/>
    <x v="6"/>
  </r>
  <r>
    <s v="TXN00572"/>
    <x v="504"/>
    <x v="6"/>
    <s v="EUR"/>
    <x v="3"/>
    <x v="1"/>
    <n v="2892.48"/>
    <x v="2"/>
    <x v="1"/>
    <n v="3.2"/>
    <n v="1"/>
    <n v="0"/>
    <n v="0"/>
    <n v="0"/>
    <x v="6"/>
  </r>
  <r>
    <s v="TXN00182"/>
    <x v="505"/>
    <x v="8"/>
    <s v="EUR"/>
    <x v="3"/>
    <x v="4"/>
    <n v="271.3"/>
    <x v="1"/>
    <x v="0"/>
    <n v="3.2"/>
    <n v="1"/>
    <n v="8.68"/>
    <n v="262.62"/>
    <n v="271.3"/>
    <x v="6"/>
  </r>
  <r>
    <s v="TXN00829"/>
    <x v="506"/>
    <x v="9"/>
    <s v="EUR"/>
    <x v="4"/>
    <x v="1"/>
    <n v="1429.07"/>
    <x v="1"/>
    <x v="0"/>
    <n v="2.1"/>
    <n v="1"/>
    <n v="30.01"/>
    <n v="1399.06"/>
    <n v="1429.07"/>
    <x v="6"/>
  </r>
  <r>
    <s v="TXN00998"/>
    <x v="507"/>
    <x v="6"/>
    <s v="EUR"/>
    <x v="1"/>
    <x v="2"/>
    <n v="719.28"/>
    <x v="0"/>
    <x v="0"/>
    <n v="2.9"/>
    <n v="1"/>
    <n v="0"/>
    <n v="0"/>
    <n v="0"/>
    <x v="6"/>
  </r>
  <r>
    <s v="TXN00305"/>
    <x v="508"/>
    <x v="1"/>
    <s v="NOK"/>
    <x v="4"/>
    <x v="2"/>
    <n v="1506.87"/>
    <x v="1"/>
    <x v="0"/>
    <n v="2.1"/>
    <n v="8.5999999999999993E-2"/>
    <n v="2.8048860000000002"/>
    <n v="130.77913950000001"/>
    <n v="133.58402550000002"/>
    <x v="6"/>
  </r>
  <r>
    <s v="TXN00939"/>
    <x v="509"/>
    <x v="4"/>
    <s v="GBP"/>
    <x v="3"/>
    <x v="2"/>
    <n v="154.08000000000001"/>
    <x v="2"/>
    <x v="2"/>
    <n v="3.2"/>
    <n v="1.1801999999999999"/>
    <n v="0"/>
    <n v="0"/>
    <n v="0"/>
    <x v="6"/>
  </r>
  <r>
    <s v="TXN00252"/>
    <x v="510"/>
    <x v="6"/>
    <s v="EUR"/>
    <x v="2"/>
    <x v="1"/>
    <n v="2735.9"/>
    <x v="1"/>
    <x v="0"/>
    <n v="1.9"/>
    <n v="1"/>
    <n v="51.98"/>
    <n v="2683.92"/>
    <n v="2735.9"/>
    <x v="6"/>
  </r>
  <r>
    <s v="TXN00553"/>
    <x v="511"/>
    <x v="5"/>
    <s v="PLN"/>
    <x v="2"/>
    <x v="3"/>
    <n v="2588.15"/>
    <x v="2"/>
    <x v="1"/>
    <n v="1.9"/>
    <n v="0.23269999999999999"/>
    <n v="0"/>
    <n v="0"/>
    <n v="0"/>
    <x v="6"/>
  </r>
  <r>
    <s v="TXN00519"/>
    <x v="512"/>
    <x v="7"/>
    <s v="EUR"/>
    <x v="2"/>
    <x v="1"/>
    <n v="659.03"/>
    <x v="0"/>
    <x v="0"/>
    <n v="1.9"/>
    <n v="1"/>
    <n v="0"/>
    <n v="0"/>
    <n v="0"/>
    <x v="6"/>
  </r>
  <r>
    <s v="TXN00419"/>
    <x v="513"/>
    <x v="7"/>
    <s v="EUR"/>
    <x v="4"/>
    <x v="2"/>
    <n v="3646.87"/>
    <x v="0"/>
    <x v="0"/>
    <n v="2.1"/>
    <n v="1"/>
    <n v="0"/>
    <n v="0"/>
    <n v="0"/>
    <x v="6"/>
  </r>
  <r>
    <s v="TXN00704"/>
    <x v="514"/>
    <x v="8"/>
    <s v="EUR"/>
    <x v="2"/>
    <x v="3"/>
    <n v="1471.24"/>
    <x v="1"/>
    <x v="0"/>
    <n v="1.9"/>
    <n v="1"/>
    <n v="27.95"/>
    <n v="1443.29"/>
    <n v="1471.24"/>
    <x v="6"/>
  </r>
  <r>
    <s v="TXN00672"/>
    <x v="515"/>
    <x v="4"/>
    <s v="GBP"/>
    <x v="3"/>
    <x v="0"/>
    <n v="4335.2"/>
    <x v="0"/>
    <x v="0"/>
    <n v="3.2"/>
    <n v="1.1801999999999999"/>
    <n v="0"/>
    <n v="0"/>
    <n v="0"/>
    <x v="6"/>
  </r>
  <r>
    <s v="TXN00765"/>
    <x v="516"/>
    <x v="8"/>
    <s v="EUR"/>
    <x v="0"/>
    <x v="1"/>
    <n v="734.3"/>
    <x v="2"/>
    <x v="4"/>
    <n v="2.5"/>
    <n v="1"/>
    <n v="0"/>
    <n v="0"/>
    <n v="0"/>
    <x v="6"/>
  </r>
  <r>
    <s v="TXN00775"/>
    <x v="517"/>
    <x v="9"/>
    <s v="EUR"/>
    <x v="3"/>
    <x v="1"/>
    <n v="897.87"/>
    <x v="1"/>
    <x v="0"/>
    <n v="3.2"/>
    <n v="1"/>
    <n v="28.73"/>
    <n v="869.14"/>
    <n v="897.87"/>
    <x v="6"/>
  </r>
  <r>
    <s v="TXN00746"/>
    <x v="518"/>
    <x v="2"/>
    <s v="EUR"/>
    <x v="4"/>
    <x v="0"/>
    <n v="703.95"/>
    <x v="0"/>
    <x v="0"/>
    <n v="2.1"/>
    <n v="1"/>
    <n v="0"/>
    <n v="0"/>
    <n v="0"/>
    <x v="6"/>
  </r>
  <r>
    <s v="TXN00278"/>
    <x v="519"/>
    <x v="8"/>
    <s v="EUR"/>
    <x v="0"/>
    <x v="3"/>
    <n v="3416.82"/>
    <x v="0"/>
    <x v="0"/>
    <n v="2.5"/>
    <n v="1"/>
    <n v="0"/>
    <n v="0"/>
    <n v="0"/>
    <x v="6"/>
  </r>
  <r>
    <s v="TXN00729"/>
    <x v="520"/>
    <x v="8"/>
    <s v="EUR"/>
    <x v="0"/>
    <x v="2"/>
    <n v="3526.34"/>
    <x v="0"/>
    <x v="0"/>
    <n v="2.5"/>
    <n v="1"/>
    <n v="0"/>
    <n v="0"/>
    <n v="0"/>
    <x v="6"/>
  </r>
  <r>
    <s v="TXN00563"/>
    <x v="521"/>
    <x v="9"/>
    <s v="EUR"/>
    <x v="4"/>
    <x v="4"/>
    <n v="4299.3599999999997"/>
    <x v="0"/>
    <x v="0"/>
    <n v="2.1"/>
    <n v="1"/>
    <n v="0"/>
    <n v="0"/>
    <n v="0"/>
    <x v="6"/>
  </r>
  <r>
    <s v="TXN00869"/>
    <x v="522"/>
    <x v="1"/>
    <s v="NOK"/>
    <x v="3"/>
    <x v="0"/>
    <n v="1137.1099999999999"/>
    <x v="2"/>
    <x v="3"/>
    <n v="3.2"/>
    <n v="8.5999999999999993E-2"/>
    <n v="0"/>
    <n v="0"/>
    <n v="0"/>
    <x v="6"/>
  </r>
  <r>
    <s v="TXN00805"/>
    <x v="523"/>
    <x v="6"/>
    <s v="EUR"/>
    <x v="4"/>
    <x v="1"/>
    <n v="4878.0200000000004"/>
    <x v="1"/>
    <x v="0"/>
    <n v="2.1"/>
    <n v="1"/>
    <n v="102.44"/>
    <n v="4775.58"/>
    <n v="4878.0199999999995"/>
    <x v="6"/>
  </r>
  <r>
    <s v="TXN00516"/>
    <x v="524"/>
    <x v="5"/>
    <s v="PLN"/>
    <x v="2"/>
    <x v="3"/>
    <n v="74.7"/>
    <x v="1"/>
    <x v="0"/>
    <n v="1.9"/>
    <n v="0.23269999999999999"/>
    <n v="0.33057599999999998"/>
    <n v="17.059584000000001"/>
    <n v="17.390160000000002"/>
    <x v="6"/>
  </r>
  <r>
    <s v="TXN00440"/>
    <x v="525"/>
    <x v="0"/>
    <s v="SEK"/>
    <x v="3"/>
    <x v="1"/>
    <n v="2603.2399999999998"/>
    <x v="1"/>
    <x v="0"/>
    <n v="3.2"/>
    <n v="8.7400000000000005E-2"/>
    <n v="7.7235759999999996"/>
    <n v="233.6488368"/>
    <n v="241.37241280000001"/>
    <x v="6"/>
  </r>
  <r>
    <s v="TXN00070"/>
    <x v="526"/>
    <x v="8"/>
    <s v="EUR"/>
    <x v="4"/>
    <x v="0"/>
    <n v="4598.51"/>
    <x v="0"/>
    <x v="0"/>
    <n v="2.1"/>
    <n v="1"/>
    <n v="0"/>
    <n v="0"/>
    <n v="0"/>
    <x v="6"/>
  </r>
  <r>
    <s v="TXN00204"/>
    <x v="527"/>
    <x v="8"/>
    <s v="EUR"/>
    <x v="3"/>
    <x v="1"/>
    <n v="3739.11"/>
    <x v="1"/>
    <x v="0"/>
    <n v="3.2"/>
    <n v="1"/>
    <n v="119.65"/>
    <n v="3619.46"/>
    <n v="3739.11"/>
    <x v="6"/>
  </r>
  <r>
    <s v="TXN00985"/>
    <x v="528"/>
    <x v="3"/>
    <s v="EUR"/>
    <x v="2"/>
    <x v="4"/>
    <n v="1426.8"/>
    <x v="1"/>
    <x v="0"/>
    <n v="1.9"/>
    <n v="1"/>
    <n v="27.11"/>
    <n v="1399.69"/>
    <n v="1426.8"/>
    <x v="6"/>
  </r>
  <r>
    <s v="TXN00547"/>
    <x v="529"/>
    <x v="1"/>
    <s v="NOK"/>
    <x v="3"/>
    <x v="2"/>
    <n v="2328.86"/>
    <x v="0"/>
    <x v="0"/>
    <n v="3.2"/>
    <n v="8.5999999999999993E-2"/>
    <n v="0"/>
    <n v="0"/>
    <n v="0"/>
    <x v="6"/>
  </r>
  <r>
    <s v="TXN00883"/>
    <x v="530"/>
    <x v="1"/>
    <s v="NOK"/>
    <x v="0"/>
    <x v="4"/>
    <n v="3385.67"/>
    <x v="1"/>
    <x v="0"/>
    <n v="2.5"/>
    <n v="8.5999999999999993E-2"/>
    <n v="7.5033360000000009"/>
    <n v="292.63630950000004"/>
    <n v="300.13964550000003"/>
    <x v="6"/>
  </r>
  <r>
    <s v="TXN00534"/>
    <x v="531"/>
    <x v="3"/>
    <s v="EUR"/>
    <x v="3"/>
    <x v="1"/>
    <n v="4787.38"/>
    <x v="1"/>
    <x v="0"/>
    <n v="3.2"/>
    <n v="1"/>
    <n v="153.19999999999999"/>
    <n v="4634.18"/>
    <n v="4787.38"/>
    <x v="6"/>
  </r>
  <r>
    <s v="TXN00503"/>
    <x v="532"/>
    <x v="2"/>
    <s v="EUR"/>
    <x v="3"/>
    <x v="3"/>
    <n v="3788.18"/>
    <x v="1"/>
    <x v="0"/>
    <n v="3.2"/>
    <n v="1"/>
    <n v="121.22"/>
    <n v="3666.96"/>
    <n v="3788.18"/>
    <x v="6"/>
  </r>
  <r>
    <s v="TXN00071"/>
    <x v="533"/>
    <x v="9"/>
    <s v="EUR"/>
    <x v="1"/>
    <x v="0"/>
    <n v="687.14"/>
    <x v="2"/>
    <x v="1"/>
    <n v="2.9"/>
    <n v="1"/>
    <n v="0"/>
    <n v="0"/>
    <n v="0"/>
    <x v="6"/>
  </r>
  <r>
    <s v="TXN00871"/>
    <x v="534"/>
    <x v="4"/>
    <s v="GBP"/>
    <x v="1"/>
    <x v="2"/>
    <n v="1980.11"/>
    <x v="0"/>
    <x v="0"/>
    <n v="2.9"/>
    <n v="1.1801999999999999"/>
    <n v="0"/>
    <n v="0"/>
    <n v="0"/>
    <x v="6"/>
  </r>
  <r>
    <s v="TXN00651"/>
    <x v="535"/>
    <x v="9"/>
    <s v="EUR"/>
    <x v="3"/>
    <x v="4"/>
    <n v="91.35"/>
    <x v="1"/>
    <x v="0"/>
    <n v="3.2"/>
    <n v="1"/>
    <n v="2.92"/>
    <n v="88.43"/>
    <n v="91.350000000000009"/>
    <x v="6"/>
  </r>
  <r>
    <s v="TXN00293"/>
    <x v="536"/>
    <x v="5"/>
    <s v="PLN"/>
    <x v="3"/>
    <x v="0"/>
    <n v="2336.59"/>
    <x v="1"/>
    <x v="0"/>
    <n v="3.2"/>
    <n v="0.23269999999999999"/>
    <n v="17.406455999999999"/>
    <n v="526.55169600000011"/>
    <n v="543.95815200000015"/>
    <x v="6"/>
  </r>
  <r>
    <s v="TXN00593"/>
    <x v="537"/>
    <x v="1"/>
    <s v="NOK"/>
    <x v="4"/>
    <x v="3"/>
    <n v="2633.42"/>
    <x v="2"/>
    <x v="2"/>
    <n v="2.1"/>
    <n v="8.5999999999999993E-2"/>
    <n v="0"/>
    <n v="0"/>
    <n v="0"/>
    <x v="6"/>
  </r>
  <r>
    <s v="TXN00548"/>
    <x v="538"/>
    <x v="9"/>
    <s v="EUR"/>
    <x v="4"/>
    <x v="4"/>
    <n v="3423.97"/>
    <x v="0"/>
    <x v="0"/>
    <n v="2.1"/>
    <n v="1"/>
    <n v="0"/>
    <n v="0"/>
    <n v="0"/>
    <x v="6"/>
  </r>
  <r>
    <s v="TXN00262"/>
    <x v="539"/>
    <x v="7"/>
    <s v="EUR"/>
    <x v="1"/>
    <x v="3"/>
    <n v="1498.98"/>
    <x v="0"/>
    <x v="0"/>
    <n v="2.9"/>
    <n v="1"/>
    <n v="0"/>
    <n v="0"/>
    <n v="0"/>
    <x v="6"/>
  </r>
  <r>
    <s v="TXN00451"/>
    <x v="540"/>
    <x v="4"/>
    <s v="GBP"/>
    <x v="1"/>
    <x v="2"/>
    <n v="1868.61"/>
    <x v="0"/>
    <x v="0"/>
    <n v="2.9"/>
    <n v="1.1801999999999999"/>
    <n v="0"/>
    <n v="0"/>
    <n v="0"/>
    <x v="6"/>
  </r>
  <r>
    <s v="TXN00387"/>
    <x v="541"/>
    <x v="6"/>
    <s v="EUR"/>
    <x v="3"/>
    <x v="1"/>
    <n v="1643.23"/>
    <x v="0"/>
    <x v="0"/>
    <n v="3.2"/>
    <n v="1"/>
    <n v="0"/>
    <n v="0"/>
    <n v="0"/>
    <x v="6"/>
  </r>
  <r>
    <s v="TXN00598"/>
    <x v="542"/>
    <x v="3"/>
    <s v="EUR"/>
    <x v="2"/>
    <x v="2"/>
    <n v="4896.57"/>
    <x v="1"/>
    <x v="0"/>
    <n v="1.9"/>
    <n v="1"/>
    <n v="93.03"/>
    <n v="4803.54"/>
    <n v="4896.57"/>
    <x v="6"/>
  </r>
  <r>
    <s v="TXN00487"/>
    <x v="543"/>
    <x v="7"/>
    <s v="EUR"/>
    <x v="0"/>
    <x v="0"/>
    <n v="4001.5"/>
    <x v="1"/>
    <x v="0"/>
    <n v="2.5"/>
    <n v="1"/>
    <n v="100.04"/>
    <n v="3901.46"/>
    <n v="4001.5"/>
    <x v="6"/>
  </r>
  <r>
    <s v="TXN00496"/>
    <x v="544"/>
    <x v="6"/>
    <s v="EUR"/>
    <x v="0"/>
    <x v="4"/>
    <n v="2246.0100000000002"/>
    <x v="2"/>
    <x v="2"/>
    <n v="2.5"/>
    <n v="1"/>
    <n v="0"/>
    <n v="0"/>
    <n v="0"/>
    <x v="6"/>
  </r>
  <r>
    <s v="TXN00470"/>
    <x v="545"/>
    <x v="8"/>
    <s v="EUR"/>
    <x v="1"/>
    <x v="3"/>
    <n v="2673.58"/>
    <x v="1"/>
    <x v="0"/>
    <n v="2.9"/>
    <n v="1"/>
    <n v="77.53"/>
    <n v="2596.0500000000002"/>
    <n v="2673.5800000000004"/>
    <x v="6"/>
  </r>
  <r>
    <s v="TXN00786"/>
    <x v="546"/>
    <x v="0"/>
    <s v="SEK"/>
    <x v="0"/>
    <x v="4"/>
    <n v="753.28"/>
    <x v="0"/>
    <x v="0"/>
    <n v="2.5"/>
    <n v="8.7400000000000005E-2"/>
    <n v="0"/>
    <n v="0"/>
    <n v="0"/>
    <x v="6"/>
  </r>
  <r>
    <s v="TXN00900"/>
    <x v="547"/>
    <x v="3"/>
    <s v="EUR"/>
    <x v="4"/>
    <x v="3"/>
    <n v="1235.48"/>
    <x v="1"/>
    <x v="0"/>
    <n v="2.1"/>
    <n v="1"/>
    <n v="25.95"/>
    <n v="1209.53"/>
    <n v="1235.48"/>
    <x v="6"/>
  </r>
  <r>
    <s v="TXN00338"/>
    <x v="548"/>
    <x v="3"/>
    <s v="EUR"/>
    <x v="0"/>
    <x v="0"/>
    <n v="155.66999999999999"/>
    <x v="0"/>
    <x v="0"/>
    <n v="2.5"/>
    <n v="1"/>
    <n v="0"/>
    <n v="0"/>
    <n v="0"/>
    <x v="6"/>
  </r>
  <r>
    <s v="TXN00347"/>
    <x v="549"/>
    <x v="8"/>
    <s v="EUR"/>
    <x v="0"/>
    <x v="0"/>
    <n v="844.59"/>
    <x v="0"/>
    <x v="0"/>
    <n v="2.5"/>
    <n v="1"/>
    <n v="0"/>
    <n v="0"/>
    <n v="0"/>
    <x v="6"/>
  </r>
  <r>
    <s v="TXN00355"/>
    <x v="550"/>
    <x v="3"/>
    <s v="EUR"/>
    <x v="4"/>
    <x v="2"/>
    <n v="739.75"/>
    <x v="1"/>
    <x v="0"/>
    <n v="2.1"/>
    <n v="1"/>
    <n v="15.53"/>
    <n v="724.22"/>
    <n v="739.75"/>
    <x v="6"/>
  </r>
  <r>
    <s v="TXN00770"/>
    <x v="551"/>
    <x v="4"/>
    <s v="GBP"/>
    <x v="0"/>
    <x v="1"/>
    <n v="1104.8900000000001"/>
    <x v="1"/>
    <x v="0"/>
    <n v="2.5"/>
    <n v="1.1801999999999999"/>
    <n v="31.735380000000003"/>
    <n v="1237.78323"/>
    <n v="1269.5186100000001"/>
    <x v="6"/>
  </r>
  <r>
    <s v="TXN00608"/>
    <x v="552"/>
    <x v="9"/>
    <s v="EUR"/>
    <x v="4"/>
    <x v="2"/>
    <n v="3313.49"/>
    <x v="1"/>
    <x v="0"/>
    <n v="2.1"/>
    <n v="1"/>
    <n v="69.58"/>
    <n v="3243.91"/>
    <n v="3313.49"/>
    <x v="6"/>
  </r>
  <r>
    <s v="TXN00914"/>
    <x v="553"/>
    <x v="8"/>
    <s v="EUR"/>
    <x v="1"/>
    <x v="2"/>
    <n v="3495.43"/>
    <x v="0"/>
    <x v="0"/>
    <n v="2.9"/>
    <n v="1"/>
    <n v="0"/>
    <n v="0"/>
    <n v="0"/>
    <x v="6"/>
  </r>
  <r>
    <s v="TXN00424"/>
    <x v="554"/>
    <x v="8"/>
    <s v="EUR"/>
    <x v="3"/>
    <x v="4"/>
    <n v="1882.98"/>
    <x v="2"/>
    <x v="5"/>
    <n v="3.2"/>
    <n v="1"/>
    <n v="0"/>
    <n v="0"/>
    <n v="0"/>
    <x v="6"/>
  </r>
  <r>
    <s v="TXN00196"/>
    <x v="555"/>
    <x v="0"/>
    <s v="SEK"/>
    <x v="3"/>
    <x v="2"/>
    <n v="1936.97"/>
    <x v="1"/>
    <x v="0"/>
    <n v="3.2"/>
    <n v="8.7400000000000005E-2"/>
    <n v="5.7467855999999999"/>
    <n v="173.84907279999999"/>
    <n v="179.5958584"/>
    <x v="6"/>
  </r>
  <r>
    <s v="TXN00271"/>
    <x v="556"/>
    <x v="6"/>
    <s v="EUR"/>
    <x v="2"/>
    <x v="2"/>
    <n v="3811.68"/>
    <x v="0"/>
    <x v="0"/>
    <n v="1.9"/>
    <n v="1"/>
    <n v="0"/>
    <n v="0"/>
    <n v="0"/>
    <x v="6"/>
  </r>
  <r>
    <s v="TXN00938"/>
    <x v="557"/>
    <x v="6"/>
    <s v="EUR"/>
    <x v="1"/>
    <x v="1"/>
    <n v="139.55000000000001"/>
    <x v="1"/>
    <x v="0"/>
    <n v="2.9"/>
    <n v="1"/>
    <n v="4.05"/>
    <n v="135.5"/>
    <n v="139.55000000000001"/>
    <x v="7"/>
  </r>
  <r>
    <s v="TXN00677"/>
    <x v="558"/>
    <x v="3"/>
    <s v="EUR"/>
    <x v="0"/>
    <x v="1"/>
    <n v="4549.58"/>
    <x v="1"/>
    <x v="0"/>
    <n v="2.5"/>
    <n v="1"/>
    <n v="113.74"/>
    <n v="4435.84"/>
    <n v="4549.58"/>
    <x v="7"/>
  </r>
  <r>
    <s v="TXN00856"/>
    <x v="559"/>
    <x v="4"/>
    <s v="GBP"/>
    <x v="1"/>
    <x v="2"/>
    <n v="4617.8100000000004"/>
    <x v="2"/>
    <x v="3"/>
    <n v="2.9"/>
    <n v="1.1801999999999999"/>
    <n v="0"/>
    <n v="0"/>
    <n v="0"/>
    <x v="7"/>
  </r>
  <r>
    <s v="TXN00797"/>
    <x v="560"/>
    <x v="2"/>
    <s v="EUR"/>
    <x v="4"/>
    <x v="3"/>
    <n v="4933.1499999999996"/>
    <x v="1"/>
    <x v="0"/>
    <n v="2.1"/>
    <n v="1"/>
    <n v="103.6"/>
    <n v="4829.55"/>
    <n v="4933.1500000000005"/>
    <x v="7"/>
  </r>
  <r>
    <s v="TXN00925"/>
    <x v="561"/>
    <x v="3"/>
    <s v="EUR"/>
    <x v="1"/>
    <x v="1"/>
    <n v="4880.88"/>
    <x v="1"/>
    <x v="0"/>
    <n v="2.9"/>
    <n v="1"/>
    <n v="141.55000000000001"/>
    <n v="4739.33"/>
    <n v="4880.88"/>
    <x v="7"/>
  </r>
  <r>
    <s v="TXN00807"/>
    <x v="562"/>
    <x v="5"/>
    <s v="PLN"/>
    <x v="4"/>
    <x v="1"/>
    <n v="3022.14"/>
    <x v="0"/>
    <x v="0"/>
    <n v="2.1"/>
    <n v="0.23269999999999999"/>
    <n v="0"/>
    <n v="0"/>
    <n v="0"/>
    <x v="7"/>
  </r>
  <r>
    <s v="TXN00407"/>
    <x v="563"/>
    <x v="0"/>
    <s v="SEK"/>
    <x v="4"/>
    <x v="4"/>
    <n v="3976.28"/>
    <x v="2"/>
    <x v="3"/>
    <n v="2.1"/>
    <n v="8.7400000000000005E-2"/>
    <n v="0"/>
    <n v="0"/>
    <n v="0"/>
    <x v="7"/>
  </r>
  <r>
    <s v="TXN00461"/>
    <x v="564"/>
    <x v="9"/>
    <s v="EUR"/>
    <x v="2"/>
    <x v="4"/>
    <n v="4081.91"/>
    <x v="1"/>
    <x v="0"/>
    <n v="1.9"/>
    <n v="1"/>
    <n v="77.56"/>
    <n v="4004.35"/>
    <n v="4081.91"/>
    <x v="7"/>
  </r>
  <r>
    <s v="TXN00982"/>
    <x v="565"/>
    <x v="0"/>
    <s v="SEK"/>
    <x v="3"/>
    <x v="1"/>
    <n v="4547.0600000000004"/>
    <x v="1"/>
    <x v="0"/>
    <n v="3.2"/>
    <n v="8.7400000000000005E-2"/>
    <n v="13.491687199999999"/>
    <n v="408.111716"/>
    <n v="421.6034032"/>
    <x v="7"/>
  </r>
  <r>
    <s v="TXN00344"/>
    <x v="566"/>
    <x v="1"/>
    <s v="NOK"/>
    <x v="0"/>
    <x v="0"/>
    <n v="936.91"/>
    <x v="0"/>
    <x v="0"/>
    <n v="2.5"/>
    <n v="8.5999999999999993E-2"/>
    <n v="0"/>
    <n v="0"/>
    <n v="0"/>
    <x v="7"/>
  </r>
  <r>
    <s v="TXN00073"/>
    <x v="567"/>
    <x v="4"/>
    <s v="GBP"/>
    <x v="0"/>
    <x v="3"/>
    <n v="3747.63"/>
    <x v="1"/>
    <x v="0"/>
    <n v="2.5"/>
    <n v="1.1801999999999999"/>
    <n v="107.64981"/>
    <n v="4198.3770599999998"/>
    <n v="4306.0268699999997"/>
    <x v="7"/>
  </r>
  <r>
    <s v="TXN00566"/>
    <x v="568"/>
    <x v="9"/>
    <s v="EUR"/>
    <x v="2"/>
    <x v="0"/>
    <n v="1155.1400000000001"/>
    <x v="2"/>
    <x v="2"/>
    <n v="1.9"/>
    <n v="1"/>
    <n v="0"/>
    <n v="0"/>
    <n v="0"/>
    <x v="7"/>
  </r>
  <r>
    <s v="TXN00512"/>
    <x v="569"/>
    <x v="4"/>
    <s v="GBP"/>
    <x v="1"/>
    <x v="0"/>
    <n v="735.18"/>
    <x v="1"/>
    <x v="0"/>
    <n v="2.9"/>
    <n v="1.1801999999999999"/>
    <n v="24.496680000000001"/>
    <n v="820.22514000000001"/>
    <n v="844.72181999999998"/>
    <x v="7"/>
  </r>
  <r>
    <s v="TXN00456"/>
    <x v="570"/>
    <x v="5"/>
    <s v="PLN"/>
    <x v="0"/>
    <x v="1"/>
    <n v="1098.8599999999999"/>
    <x v="1"/>
    <x v="0"/>
    <n v="2.5"/>
    <n v="0.23269999999999999"/>
    <n v="6.395016"/>
    <n v="249.41959200000002"/>
    <n v="255.81460800000002"/>
    <x v="7"/>
  </r>
  <r>
    <s v="TXN00027"/>
    <x v="571"/>
    <x v="9"/>
    <s v="EUR"/>
    <x v="1"/>
    <x v="3"/>
    <n v="2019.08"/>
    <x v="1"/>
    <x v="0"/>
    <n v="2.9"/>
    <n v="1"/>
    <n v="58.55"/>
    <n v="1960.53"/>
    <n v="2019.08"/>
    <x v="7"/>
  </r>
  <r>
    <s v="TXN00376"/>
    <x v="572"/>
    <x v="4"/>
    <s v="GBP"/>
    <x v="2"/>
    <x v="4"/>
    <n v="3084.07"/>
    <x v="1"/>
    <x v="0"/>
    <n v="1.9"/>
    <n v="1.1801999999999999"/>
    <n v="67.331400000000002"/>
    <n v="3476.26503"/>
    <n v="3543.5964300000001"/>
    <x v="7"/>
  </r>
  <r>
    <s v="TXN00100"/>
    <x v="573"/>
    <x v="2"/>
    <s v="EUR"/>
    <x v="4"/>
    <x v="1"/>
    <n v="4134.8900000000003"/>
    <x v="1"/>
    <x v="0"/>
    <n v="2.1"/>
    <n v="1"/>
    <n v="86.83"/>
    <n v="4048.06"/>
    <n v="4134.8900000000003"/>
    <x v="7"/>
  </r>
  <r>
    <s v="TXN00431"/>
    <x v="574"/>
    <x v="1"/>
    <s v="NOK"/>
    <x v="0"/>
    <x v="2"/>
    <n v="493.96"/>
    <x v="1"/>
    <x v="0"/>
    <n v="2.5"/>
    <n v="8.5999999999999993E-2"/>
    <n v="1.0948275000000001"/>
    <n v="42.694726500000002"/>
    <n v="43.789554000000003"/>
    <x v="7"/>
  </r>
  <r>
    <s v="TXN00687"/>
    <x v="575"/>
    <x v="9"/>
    <s v="EUR"/>
    <x v="2"/>
    <x v="0"/>
    <n v="3603.8"/>
    <x v="2"/>
    <x v="5"/>
    <n v="1.9"/>
    <n v="1"/>
    <n v="0"/>
    <n v="0"/>
    <n v="0"/>
    <x v="7"/>
  </r>
  <r>
    <s v="TXN00707"/>
    <x v="576"/>
    <x v="5"/>
    <s v="PLN"/>
    <x v="3"/>
    <x v="4"/>
    <n v="2879.96"/>
    <x v="0"/>
    <x v="0"/>
    <n v="3.2"/>
    <n v="0.23269999999999999"/>
    <n v="0"/>
    <n v="0"/>
    <n v="0"/>
    <x v="7"/>
  </r>
  <r>
    <s v="TXN00870"/>
    <x v="577"/>
    <x v="4"/>
    <s v="GBP"/>
    <x v="0"/>
    <x v="1"/>
    <n v="904.69"/>
    <x v="2"/>
    <x v="4"/>
    <n v="2.5"/>
    <n v="1.1801999999999999"/>
    <n v="0"/>
    <n v="0"/>
    <n v="0"/>
    <x v="7"/>
  </r>
  <r>
    <s v="TXN00160"/>
    <x v="578"/>
    <x v="1"/>
    <s v="NOK"/>
    <x v="2"/>
    <x v="4"/>
    <n v="141.01"/>
    <x v="1"/>
    <x v="0"/>
    <n v="1.9"/>
    <n v="8.5999999999999993E-2"/>
    <n v="0.23758200000000004"/>
    <n v="12.262954500000003"/>
    <n v="12.500536500000003"/>
    <x v="7"/>
  </r>
  <r>
    <s v="TXN00364"/>
    <x v="579"/>
    <x v="4"/>
    <s v="GBP"/>
    <x v="1"/>
    <x v="2"/>
    <n v="2389.27"/>
    <x v="1"/>
    <x v="0"/>
    <n v="2.9"/>
    <n v="1.1801999999999999"/>
    <n v="79.614210000000014"/>
    <n v="2665.6570200000001"/>
    <n v="2745.2712300000003"/>
    <x v="7"/>
  </r>
  <r>
    <s v="TXN00881"/>
    <x v="580"/>
    <x v="8"/>
    <s v="EUR"/>
    <x v="0"/>
    <x v="3"/>
    <n v="2848.59"/>
    <x v="2"/>
    <x v="5"/>
    <n v="2.5"/>
    <n v="1"/>
    <n v="0"/>
    <n v="0"/>
    <n v="0"/>
    <x v="7"/>
  </r>
  <r>
    <s v="TXN00154"/>
    <x v="581"/>
    <x v="2"/>
    <s v="EUR"/>
    <x v="0"/>
    <x v="1"/>
    <n v="4138.82"/>
    <x v="2"/>
    <x v="2"/>
    <n v="2.5"/>
    <n v="1"/>
    <n v="0"/>
    <n v="0"/>
    <n v="0"/>
    <x v="7"/>
  </r>
  <r>
    <s v="TXN00428"/>
    <x v="582"/>
    <x v="1"/>
    <s v="NOK"/>
    <x v="0"/>
    <x v="2"/>
    <n v="277.24"/>
    <x v="1"/>
    <x v="0"/>
    <n v="2.5"/>
    <n v="8.5999999999999993E-2"/>
    <n v="0.61434450000000007"/>
    <n v="23.962981500000001"/>
    <n v="24.577326000000003"/>
    <x v="7"/>
  </r>
  <r>
    <s v="TXN00314"/>
    <x v="583"/>
    <x v="1"/>
    <s v="NOK"/>
    <x v="0"/>
    <x v="3"/>
    <n v="3863.12"/>
    <x v="1"/>
    <x v="0"/>
    <n v="2.5"/>
    <n v="8.5999999999999993E-2"/>
    <n v="8.5618170000000013"/>
    <n v="333.90377100000001"/>
    <n v="342.46558800000003"/>
    <x v="7"/>
  </r>
  <r>
    <s v="TXN00531"/>
    <x v="584"/>
    <x v="8"/>
    <s v="EUR"/>
    <x v="1"/>
    <x v="4"/>
    <n v="39.44"/>
    <x v="0"/>
    <x v="0"/>
    <n v="2.9"/>
    <n v="1"/>
    <n v="0"/>
    <n v="0"/>
    <n v="0"/>
    <x v="7"/>
  </r>
  <r>
    <s v="TXN00080"/>
    <x v="585"/>
    <x v="6"/>
    <s v="EUR"/>
    <x v="4"/>
    <x v="0"/>
    <n v="888.92"/>
    <x v="0"/>
    <x v="0"/>
    <n v="2.1"/>
    <n v="1"/>
    <n v="0"/>
    <n v="0"/>
    <n v="0"/>
    <x v="7"/>
  </r>
  <r>
    <s v="TXN00767"/>
    <x v="586"/>
    <x v="7"/>
    <s v="EUR"/>
    <x v="3"/>
    <x v="1"/>
    <n v="1342.77"/>
    <x v="1"/>
    <x v="0"/>
    <n v="3.2"/>
    <n v="1"/>
    <n v="42.97"/>
    <n v="1299.8"/>
    <n v="1342.77"/>
    <x v="7"/>
  </r>
  <r>
    <s v="TXN00737"/>
    <x v="587"/>
    <x v="5"/>
    <s v="PLN"/>
    <x v="2"/>
    <x v="2"/>
    <n v="873.7"/>
    <x v="1"/>
    <x v="0"/>
    <n v="1.9"/>
    <n v="0.23269999999999999"/>
    <n v="3.8644800000000004"/>
    <n v="199.53288000000001"/>
    <n v="203.39735999999999"/>
    <x v="7"/>
  </r>
  <r>
    <s v="TXN00947"/>
    <x v="588"/>
    <x v="4"/>
    <s v="GBP"/>
    <x v="1"/>
    <x v="4"/>
    <n v="1715.31"/>
    <x v="2"/>
    <x v="1"/>
    <n v="2.9"/>
    <n v="1.1801999999999999"/>
    <n v="0"/>
    <n v="0"/>
    <n v="0"/>
    <x v="7"/>
  </r>
  <r>
    <s v="TXN00394"/>
    <x v="589"/>
    <x v="2"/>
    <s v="EUR"/>
    <x v="3"/>
    <x v="1"/>
    <n v="4256.0600000000004"/>
    <x v="2"/>
    <x v="3"/>
    <n v="3.2"/>
    <n v="1"/>
    <n v="0"/>
    <n v="0"/>
    <n v="0"/>
    <x v="7"/>
  </r>
  <r>
    <s v="TXN00780"/>
    <x v="590"/>
    <x v="4"/>
    <s v="GBP"/>
    <x v="2"/>
    <x v="2"/>
    <n v="26.5"/>
    <x v="2"/>
    <x v="4"/>
    <n v="1.9"/>
    <n v="1.1801999999999999"/>
    <n v="0"/>
    <n v="0"/>
    <n v="0"/>
    <x v="7"/>
  </r>
  <r>
    <s v="TXN00959"/>
    <x v="591"/>
    <x v="0"/>
    <s v="SEK"/>
    <x v="4"/>
    <x v="3"/>
    <n v="1511.58"/>
    <x v="2"/>
    <x v="1"/>
    <n v="2.1"/>
    <n v="8.7400000000000005E-2"/>
    <n v="0"/>
    <n v="0"/>
    <n v="0"/>
    <x v="7"/>
  </r>
  <r>
    <s v="TXN00110"/>
    <x v="592"/>
    <x v="4"/>
    <s v="GBP"/>
    <x v="1"/>
    <x v="4"/>
    <n v="3998.58"/>
    <x v="1"/>
    <x v="0"/>
    <n v="2.9"/>
    <n v="1.1801999999999999"/>
    <n v="133.23803999999998"/>
    <n v="4461.1303799999996"/>
    <n v="4594.3684199999998"/>
    <x v="7"/>
  </r>
  <r>
    <s v="TXN00065"/>
    <x v="593"/>
    <x v="7"/>
    <s v="EUR"/>
    <x v="4"/>
    <x v="1"/>
    <n v="1685.88"/>
    <x v="0"/>
    <x v="0"/>
    <n v="2.1"/>
    <n v="1"/>
    <n v="0"/>
    <n v="0"/>
    <n v="0"/>
    <x v="7"/>
  </r>
  <r>
    <s v="TXN00555"/>
    <x v="594"/>
    <x v="4"/>
    <s v="GBP"/>
    <x v="2"/>
    <x v="1"/>
    <n v="1065.47"/>
    <x v="1"/>
    <x v="0"/>
    <n v="1.9"/>
    <n v="1.1801999999999999"/>
    <n v="23.255759999999999"/>
    <n v="1200.9692700000001"/>
    <n v="1224.2250300000001"/>
    <x v="7"/>
  </r>
  <r>
    <s v="TXN00093"/>
    <x v="595"/>
    <x v="9"/>
    <s v="EUR"/>
    <x v="3"/>
    <x v="0"/>
    <n v="579.29"/>
    <x v="1"/>
    <x v="0"/>
    <n v="3.2"/>
    <n v="1"/>
    <n v="18.54"/>
    <n v="560.75"/>
    <n v="579.29"/>
    <x v="7"/>
  </r>
  <r>
    <s v="TXN00368"/>
    <x v="596"/>
    <x v="2"/>
    <s v="EUR"/>
    <x v="4"/>
    <x v="0"/>
    <n v="3084.22"/>
    <x v="2"/>
    <x v="1"/>
    <n v="2.1"/>
    <n v="1"/>
    <n v="0"/>
    <n v="0"/>
    <n v="0"/>
    <x v="7"/>
  </r>
  <r>
    <s v="TXN00842"/>
    <x v="597"/>
    <x v="8"/>
    <s v="EUR"/>
    <x v="0"/>
    <x v="2"/>
    <n v="4179.2"/>
    <x v="0"/>
    <x v="0"/>
    <n v="2.5"/>
    <n v="1"/>
    <n v="0"/>
    <n v="0"/>
    <n v="0"/>
    <x v="7"/>
  </r>
  <r>
    <s v="TXN00615"/>
    <x v="598"/>
    <x v="8"/>
    <s v="EUR"/>
    <x v="3"/>
    <x v="2"/>
    <n v="1524.83"/>
    <x v="1"/>
    <x v="0"/>
    <n v="3.2"/>
    <n v="1"/>
    <n v="48.79"/>
    <n v="1476.04"/>
    <n v="1524.83"/>
    <x v="7"/>
  </r>
  <r>
    <s v="TXN00165"/>
    <x v="599"/>
    <x v="2"/>
    <s v="EUR"/>
    <x v="2"/>
    <x v="3"/>
    <n v="1732.41"/>
    <x v="1"/>
    <x v="0"/>
    <n v="1.9"/>
    <n v="1"/>
    <n v="32.92"/>
    <n v="1699.49"/>
    <n v="1732.41"/>
    <x v="7"/>
  </r>
  <r>
    <s v="TXN00063"/>
    <x v="600"/>
    <x v="0"/>
    <s v="SEK"/>
    <x v="0"/>
    <x v="4"/>
    <n v="2235.11"/>
    <x v="1"/>
    <x v="0"/>
    <n v="2.5"/>
    <n v="8.7400000000000005E-2"/>
    <n v="5.1811936000000003"/>
    <n v="202.05820560000001"/>
    <n v="207.23939920000001"/>
    <x v="7"/>
  </r>
  <r>
    <s v="TXN00778"/>
    <x v="601"/>
    <x v="6"/>
    <s v="EUR"/>
    <x v="4"/>
    <x v="3"/>
    <n v="4665.1400000000003"/>
    <x v="2"/>
    <x v="3"/>
    <n v="2.1"/>
    <n v="1"/>
    <n v="0"/>
    <n v="0"/>
    <n v="0"/>
    <x v="7"/>
  </r>
  <r>
    <s v="TXN00213"/>
    <x v="602"/>
    <x v="5"/>
    <s v="PLN"/>
    <x v="2"/>
    <x v="0"/>
    <n v="1380.03"/>
    <x v="1"/>
    <x v="0"/>
    <n v="1.9"/>
    <n v="0.23269999999999999"/>
    <n v="6.1040159999999997"/>
    <n v="315.166968"/>
    <n v="321.270984"/>
    <x v="7"/>
  </r>
  <r>
    <s v="TXN00549"/>
    <x v="603"/>
    <x v="1"/>
    <s v="NOK"/>
    <x v="2"/>
    <x v="2"/>
    <n v="3682.24"/>
    <x v="2"/>
    <x v="3"/>
    <n v="1.9"/>
    <n v="8.5999999999999993E-2"/>
    <n v="0"/>
    <n v="0"/>
    <n v="0"/>
    <x v="7"/>
  </r>
  <r>
    <s v="TXN00333"/>
    <x v="604"/>
    <x v="6"/>
    <s v="EUR"/>
    <x v="2"/>
    <x v="4"/>
    <n v="762.22"/>
    <x v="1"/>
    <x v="0"/>
    <n v="1.9"/>
    <n v="1"/>
    <n v="14.48"/>
    <n v="747.74"/>
    <n v="762.22"/>
    <x v="7"/>
  </r>
  <r>
    <s v="TXN00329"/>
    <x v="605"/>
    <x v="1"/>
    <s v="NOK"/>
    <x v="0"/>
    <x v="4"/>
    <n v="2538"/>
    <x v="2"/>
    <x v="5"/>
    <n v="2.5"/>
    <n v="8.5999999999999993E-2"/>
    <n v="0"/>
    <n v="0"/>
    <n v="0"/>
    <x v="7"/>
  </r>
  <r>
    <s v="TXN00064"/>
    <x v="606"/>
    <x v="2"/>
    <s v="EUR"/>
    <x v="3"/>
    <x v="4"/>
    <n v="2428.14"/>
    <x v="1"/>
    <x v="0"/>
    <n v="3.2"/>
    <n v="1"/>
    <n v="77.7"/>
    <n v="2350.44"/>
    <n v="2428.14"/>
    <x v="7"/>
  </r>
  <r>
    <s v="TXN00750"/>
    <x v="607"/>
    <x v="2"/>
    <s v="EUR"/>
    <x v="4"/>
    <x v="0"/>
    <n v="3026.82"/>
    <x v="0"/>
    <x v="0"/>
    <n v="2.1"/>
    <n v="1"/>
    <n v="0"/>
    <n v="0"/>
    <n v="0"/>
    <x v="7"/>
  </r>
  <r>
    <s v="TXN00096"/>
    <x v="608"/>
    <x v="1"/>
    <s v="NOK"/>
    <x v="0"/>
    <x v="1"/>
    <n v="2847.46"/>
    <x v="1"/>
    <x v="0"/>
    <n v="2.5"/>
    <n v="8.5999999999999993E-2"/>
    <n v="6.3109935000000004"/>
    <n v="246.11633550000002"/>
    <n v="252.42732900000001"/>
    <x v="7"/>
  </r>
  <r>
    <s v="TXN00504"/>
    <x v="609"/>
    <x v="1"/>
    <s v="NOK"/>
    <x v="2"/>
    <x v="2"/>
    <n v="4819.6400000000003"/>
    <x v="1"/>
    <x v="0"/>
    <n v="1.9"/>
    <n v="8.5999999999999993E-2"/>
    <n v="8.1176805000000005"/>
    <n v="419.14340550000003"/>
    <n v="427.26108600000003"/>
    <x v="7"/>
  </r>
  <r>
    <s v="TXN00195"/>
    <x v="610"/>
    <x v="8"/>
    <s v="EUR"/>
    <x v="1"/>
    <x v="2"/>
    <n v="4085.35"/>
    <x v="1"/>
    <x v="0"/>
    <n v="2.9"/>
    <n v="1"/>
    <n v="118.48"/>
    <n v="3966.87"/>
    <n v="4085.35"/>
    <x v="7"/>
  </r>
  <r>
    <s v="TXN00339"/>
    <x v="611"/>
    <x v="8"/>
    <s v="EUR"/>
    <x v="1"/>
    <x v="2"/>
    <n v="1036.8599999999999"/>
    <x v="1"/>
    <x v="0"/>
    <n v="2.9"/>
    <n v="1"/>
    <n v="30.07"/>
    <n v="1006.79"/>
    <n v="1036.8599999999999"/>
    <x v="7"/>
  </r>
  <r>
    <s v="TXN00812"/>
    <x v="612"/>
    <x v="4"/>
    <s v="GBP"/>
    <x v="2"/>
    <x v="3"/>
    <n v="3468.87"/>
    <x v="2"/>
    <x v="1"/>
    <n v="1.9"/>
    <n v="1.1801999999999999"/>
    <n v="0"/>
    <n v="0"/>
    <n v="0"/>
    <x v="7"/>
  </r>
  <r>
    <s v="TXN00017"/>
    <x v="613"/>
    <x v="7"/>
    <s v="EUR"/>
    <x v="2"/>
    <x v="2"/>
    <n v="2543.33"/>
    <x v="1"/>
    <x v="0"/>
    <n v="1.9"/>
    <n v="1"/>
    <n v="48.32"/>
    <n v="2495.0100000000002"/>
    <n v="2543.3300000000004"/>
    <x v="7"/>
  </r>
  <r>
    <s v="TXN00232"/>
    <x v="614"/>
    <x v="9"/>
    <s v="EUR"/>
    <x v="4"/>
    <x v="0"/>
    <n v="2083.9499999999998"/>
    <x v="2"/>
    <x v="1"/>
    <n v="2.1"/>
    <n v="1"/>
    <n v="0"/>
    <n v="0"/>
    <n v="0"/>
    <x v="7"/>
  </r>
  <r>
    <s v="TXN00989"/>
    <x v="615"/>
    <x v="1"/>
    <s v="NOK"/>
    <x v="2"/>
    <x v="4"/>
    <n v="4224.03"/>
    <x v="1"/>
    <x v="0"/>
    <n v="1.9"/>
    <n v="8.5999999999999993E-2"/>
    <n v="7.1150490000000008"/>
    <n v="367.34521050000006"/>
    <n v="374.46025950000006"/>
    <x v="7"/>
  </r>
  <r>
    <s v="TXN00733"/>
    <x v="616"/>
    <x v="4"/>
    <s v="GBP"/>
    <x v="0"/>
    <x v="3"/>
    <n v="1763.69"/>
    <x v="2"/>
    <x v="1"/>
    <n v="2.5"/>
    <n v="1.1801999999999999"/>
    <n v="0"/>
    <n v="0"/>
    <n v="0"/>
    <x v="7"/>
  </r>
  <r>
    <s v="TXN00153"/>
    <x v="617"/>
    <x v="8"/>
    <s v="EUR"/>
    <x v="1"/>
    <x v="3"/>
    <n v="4265.4399999999996"/>
    <x v="0"/>
    <x v="0"/>
    <n v="2.9"/>
    <n v="1"/>
    <n v="0"/>
    <n v="0"/>
    <n v="0"/>
    <x v="7"/>
  </r>
  <r>
    <s v="TXN00379"/>
    <x v="618"/>
    <x v="9"/>
    <s v="EUR"/>
    <x v="3"/>
    <x v="2"/>
    <n v="606.02"/>
    <x v="1"/>
    <x v="0"/>
    <n v="3.2"/>
    <n v="1"/>
    <n v="19.39"/>
    <n v="586.63"/>
    <n v="606.02"/>
    <x v="7"/>
  </r>
  <r>
    <s v="TXN00940"/>
    <x v="619"/>
    <x v="1"/>
    <s v="NOK"/>
    <x v="1"/>
    <x v="1"/>
    <n v="4849.1499999999996"/>
    <x v="0"/>
    <x v="0"/>
    <n v="2.9"/>
    <n v="8.5999999999999993E-2"/>
    <n v="0"/>
    <n v="0"/>
    <n v="0"/>
    <x v="7"/>
  </r>
  <r>
    <s v="TXN00923"/>
    <x v="620"/>
    <x v="4"/>
    <s v="GBP"/>
    <x v="4"/>
    <x v="2"/>
    <n v="960.82"/>
    <x v="1"/>
    <x v="0"/>
    <n v="2.1"/>
    <n v="1.1801999999999999"/>
    <n v="23.186820000000001"/>
    <n v="1080.7953600000001"/>
    <n v="1103.98218"/>
    <x v="7"/>
  </r>
  <r>
    <s v="TXN00362"/>
    <x v="621"/>
    <x v="2"/>
    <s v="EUR"/>
    <x v="4"/>
    <x v="1"/>
    <n v="803.3"/>
    <x v="1"/>
    <x v="0"/>
    <n v="2.1"/>
    <n v="1"/>
    <n v="16.87"/>
    <n v="786.43"/>
    <n v="803.3"/>
    <x v="7"/>
  </r>
  <r>
    <s v="TXN00060"/>
    <x v="622"/>
    <x v="1"/>
    <s v="NOK"/>
    <x v="4"/>
    <x v="0"/>
    <n v="2476.94"/>
    <x v="1"/>
    <x v="0"/>
    <n v="2.1"/>
    <n v="8.5999999999999993E-2"/>
    <n v="4.6115730000000008"/>
    <n v="214.96915800000002"/>
    <n v="219.58073100000001"/>
    <x v="7"/>
  </r>
  <r>
    <s v="TXN00789"/>
    <x v="623"/>
    <x v="1"/>
    <s v="NOK"/>
    <x v="1"/>
    <x v="3"/>
    <n v="579.76"/>
    <x v="0"/>
    <x v="0"/>
    <n v="2.9"/>
    <n v="8.5999999999999993E-2"/>
    <n v="0"/>
    <n v="0"/>
    <n v="0"/>
    <x v="7"/>
  </r>
  <r>
    <s v="TXN00703"/>
    <x v="624"/>
    <x v="5"/>
    <s v="PLN"/>
    <x v="1"/>
    <x v="3"/>
    <n v="3844.87"/>
    <x v="1"/>
    <x v="0"/>
    <n v="2.9"/>
    <n v="0.23269999999999999"/>
    <n v="25.9572"/>
    <n v="869.12853600000005"/>
    <n v="895.085736"/>
    <x v="7"/>
  </r>
  <r>
    <s v="TXN00823"/>
    <x v="625"/>
    <x v="8"/>
    <s v="EUR"/>
    <x v="4"/>
    <x v="1"/>
    <n v="4791.7"/>
    <x v="1"/>
    <x v="0"/>
    <n v="2.1"/>
    <n v="1"/>
    <n v="100.63"/>
    <n v="4691.07"/>
    <n v="4791.7"/>
    <x v="7"/>
  </r>
  <r>
    <s v="TXN00974"/>
    <x v="626"/>
    <x v="1"/>
    <s v="NOK"/>
    <x v="2"/>
    <x v="3"/>
    <n v="4119.82"/>
    <x v="1"/>
    <x v="0"/>
    <n v="1.9"/>
    <n v="8.5999999999999993E-2"/>
    <n v="6.9395220000000002"/>
    <n v="358.28252100000003"/>
    <n v="365.22204300000004"/>
    <x v="7"/>
  </r>
  <r>
    <s v="TXN00828"/>
    <x v="627"/>
    <x v="3"/>
    <s v="EUR"/>
    <x v="3"/>
    <x v="2"/>
    <n v="3948.45"/>
    <x v="1"/>
    <x v="0"/>
    <n v="3.2"/>
    <n v="1"/>
    <n v="126.35"/>
    <n v="3822.1"/>
    <n v="3948.45"/>
    <x v="7"/>
  </r>
  <r>
    <s v="TXN00936"/>
    <x v="628"/>
    <x v="3"/>
    <s v="EUR"/>
    <x v="1"/>
    <x v="1"/>
    <n v="476.95"/>
    <x v="1"/>
    <x v="0"/>
    <n v="2.9"/>
    <n v="1"/>
    <n v="13.83"/>
    <n v="463.12"/>
    <n v="476.95"/>
    <x v="7"/>
  </r>
  <r>
    <s v="TXN00698"/>
    <x v="629"/>
    <x v="6"/>
    <s v="EUR"/>
    <x v="2"/>
    <x v="3"/>
    <n v="3043.84"/>
    <x v="2"/>
    <x v="1"/>
    <n v="1.9"/>
    <n v="1"/>
    <n v="0"/>
    <n v="0"/>
    <n v="0"/>
    <x v="7"/>
  </r>
  <r>
    <s v="TXN00342"/>
    <x v="630"/>
    <x v="7"/>
    <s v="EUR"/>
    <x v="2"/>
    <x v="4"/>
    <n v="432.91"/>
    <x v="1"/>
    <x v="0"/>
    <n v="1.9"/>
    <n v="1"/>
    <n v="8.23"/>
    <n v="424.68"/>
    <n v="432.91"/>
    <x v="7"/>
  </r>
  <r>
    <s v="TXN00585"/>
    <x v="631"/>
    <x v="1"/>
    <s v="NOK"/>
    <x v="1"/>
    <x v="0"/>
    <n v="590.17999999999995"/>
    <x v="1"/>
    <x v="0"/>
    <n v="2.9"/>
    <n v="8.5999999999999993E-2"/>
    <n v="1.5176880000000001"/>
    <n v="50.801769"/>
    <n v="52.319457"/>
    <x v="7"/>
  </r>
  <r>
    <s v="TXN00880"/>
    <x v="632"/>
    <x v="3"/>
    <s v="EUR"/>
    <x v="2"/>
    <x v="1"/>
    <n v="4424.6499999999996"/>
    <x v="1"/>
    <x v="0"/>
    <n v="1.9"/>
    <n v="1"/>
    <n v="84.07"/>
    <n v="4340.58"/>
    <n v="4424.6499999999996"/>
    <x v="7"/>
  </r>
  <r>
    <s v="TXN00281"/>
    <x v="633"/>
    <x v="7"/>
    <s v="EUR"/>
    <x v="4"/>
    <x v="3"/>
    <n v="170.76"/>
    <x v="2"/>
    <x v="5"/>
    <n v="2.1"/>
    <n v="1"/>
    <n v="0"/>
    <n v="0"/>
    <n v="0"/>
    <x v="7"/>
  </r>
  <r>
    <s v="TXN00400"/>
    <x v="634"/>
    <x v="3"/>
    <s v="EUR"/>
    <x v="1"/>
    <x v="3"/>
    <n v="317.73"/>
    <x v="1"/>
    <x v="0"/>
    <n v="2.9"/>
    <n v="1"/>
    <n v="9.2100000000000009"/>
    <n v="308.52"/>
    <n v="317.72999999999996"/>
    <x v="7"/>
  </r>
  <r>
    <s v="TXN00010"/>
    <x v="635"/>
    <x v="0"/>
    <s v="SEK"/>
    <x v="4"/>
    <x v="1"/>
    <n v="4215.83"/>
    <x v="1"/>
    <x v="0"/>
    <n v="2.1"/>
    <n v="8.7400000000000005E-2"/>
    <n v="8.2085016"/>
    <n v="382.68325600000003"/>
    <n v="390.89175760000001"/>
    <x v="7"/>
  </r>
  <r>
    <s v="TXN00178"/>
    <x v="636"/>
    <x v="9"/>
    <s v="EUR"/>
    <x v="3"/>
    <x v="1"/>
    <n v="392.89"/>
    <x v="1"/>
    <x v="0"/>
    <n v="3.2"/>
    <n v="1"/>
    <n v="12.57"/>
    <n v="380.32"/>
    <n v="392.89"/>
    <x v="7"/>
  </r>
  <r>
    <s v="TXN00179"/>
    <x v="637"/>
    <x v="9"/>
    <s v="EUR"/>
    <x v="0"/>
    <x v="4"/>
    <n v="3262.67"/>
    <x v="1"/>
    <x v="0"/>
    <n v="2.5"/>
    <n v="1"/>
    <n v="81.569999999999993"/>
    <n v="3181.1"/>
    <n v="3262.67"/>
    <x v="7"/>
  </r>
  <r>
    <s v="TXN00327"/>
    <x v="638"/>
    <x v="6"/>
    <s v="EUR"/>
    <x v="3"/>
    <x v="3"/>
    <n v="4096.6400000000003"/>
    <x v="2"/>
    <x v="2"/>
    <n v="3.2"/>
    <n v="1"/>
    <n v="0"/>
    <n v="0"/>
    <n v="0"/>
    <x v="7"/>
  </r>
  <r>
    <s v="TXN00484"/>
    <x v="639"/>
    <x v="3"/>
    <s v="EUR"/>
    <x v="1"/>
    <x v="1"/>
    <n v="1807.47"/>
    <x v="1"/>
    <x v="0"/>
    <n v="2.9"/>
    <n v="1"/>
    <n v="52.42"/>
    <n v="1755.05"/>
    <n v="1807.47"/>
    <x v="7"/>
  </r>
  <r>
    <s v="TXN00269"/>
    <x v="640"/>
    <x v="8"/>
    <s v="EUR"/>
    <x v="2"/>
    <x v="1"/>
    <n v="3454.55"/>
    <x v="1"/>
    <x v="0"/>
    <n v="1.9"/>
    <n v="1"/>
    <n v="65.64"/>
    <n v="3388.91"/>
    <n v="3454.5499999999997"/>
    <x v="7"/>
  </r>
  <r>
    <s v="TXN00636"/>
    <x v="641"/>
    <x v="1"/>
    <s v="NOK"/>
    <x v="2"/>
    <x v="2"/>
    <n v="353.69"/>
    <x v="1"/>
    <x v="0"/>
    <n v="1.9"/>
    <n v="8.5999999999999993E-2"/>
    <n v="0.59572800000000004"/>
    <n v="30.758890500000003"/>
    <n v="31.354618500000004"/>
    <x v="7"/>
  </r>
  <r>
    <s v="TXN00861"/>
    <x v="642"/>
    <x v="7"/>
    <s v="EUR"/>
    <x v="1"/>
    <x v="3"/>
    <n v="1515.21"/>
    <x v="1"/>
    <x v="0"/>
    <n v="2.9"/>
    <n v="1"/>
    <n v="43.94"/>
    <n v="1471.27"/>
    <n v="1515.21"/>
    <x v="7"/>
  </r>
  <r>
    <s v="TXN00822"/>
    <x v="643"/>
    <x v="0"/>
    <s v="SEK"/>
    <x v="3"/>
    <x v="0"/>
    <n v="3108.55"/>
    <x v="1"/>
    <x v="0"/>
    <n v="3.2"/>
    <n v="8.7400000000000005E-2"/>
    <n v="9.2228583999999998"/>
    <n v="279.00189760000001"/>
    <n v="288.22475600000001"/>
    <x v="7"/>
  </r>
  <r>
    <s v="TXN00961"/>
    <x v="644"/>
    <x v="6"/>
    <s v="EUR"/>
    <x v="2"/>
    <x v="2"/>
    <n v="1014.68"/>
    <x v="0"/>
    <x v="0"/>
    <n v="1.9"/>
    <n v="1"/>
    <n v="0"/>
    <n v="0"/>
    <n v="0"/>
    <x v="7"/>
  </r>
  <r>
    <s v="TXN00277"/>
    <x v="645"/>
    <x v="8"/>
    <s v="EUR"/>
    <x v="4"/>
    <x v="2"/>
    <n v="3831.48"/>
    <x v="2"/>
    <x v="3"/>
    <n v="2.1"/>
    <n v="1"/>
    <n v="0"/>
    <n v="0"/>
    <n v="0"/>
    <x v="7"/>
  </r>
  <r>
    <s v="TXN00259"/>
    <x v="646"/>
    <x v="3"/>
    <s v="EUR"/>
    <x v="1"/>
    <x v="4"/>
    <n v="4889.7700000000004"/>
    <x v="1"/>
    <x v="0"/>
    <n v="2.9"/>
    <n v="1"/>
    <n v="141.80000000000001"/>
    <n v="4747.97"/>
    <n v="4889.7700000000004"/>
    <x v="7"/>
  </r>
  <r>
    <s v="TXN00466"/>
    <x v="647"/>
    <x v="4"/>
    <s v="GBP"/>
    <x v="0"/>
    <x v="4"/>
    <n v="1498.8"/>
    <x v="1"/>
    <x v="0"/>
    <n v="2.5"/>
    <n v="1.1801999999999999"/>
    <n v="43.05303"/>
    <n v="1679.06817"/>
    <n v="1722.1212"/>
    <x v="7"/>
  </r>
  <r>
    <s v="TXN00410"/>
    <x v="648"/>
    <x v="1"/>
    <s v="NOK"/>
    <x v="4"/>
    <x v="2"/>
    <n v="509.67"/>
    <x v="1"/>
    <x v="0"/>
    <n v="2.1"/>
    <n v="8.5999999999999993E-2"/>
    <n v="0.94855500000000004"/>
    <n v="44.233690500000009"/>
    <n v="45.182245500000008"/>
    <x v="7"/>
  </r>
  <r>
    <s v="TXN00754"/>
    <x v="649"/>
    <x v="4"/>
    <s v="GBP"/>
    <x v="2"/>
    <x v="4"/>
    <n v="1569.37"/>
    <x v="1"/>
    <x v="0"/>
    <n v="1.9"/>
    <n v="1.1801999999999999"/>
    <n v="34.263179999999998"/>
    <n v="1768.9429499999999"/>
    <n v="1803.2061299999998"/>
    <x v="7"/>
  </r>
  <r>
    <s v="TXN00965"/>
    <x v="650"/>
    <x v="1"/>
    <s v="NOK"/>
    <x v="3"/>
    <x v="0"/>
    <n v="3490.6"/>
    <x v="1"/>
    <x v="0"/>
    <n v="3.2"/>
    <n v="8.5999999999999993E-2"/>
    <n v="9.9022050000000004"/>
    <n v="299.53948500000001"/>
    <n v="309.44168999999999"/>
    <x v="7"/>
  </r>
  <r>
    <s v="TXN00960"/>
    <x v="651"/>
    <x v="4"/>
    <s v="GBP"/>
    <x v="4"/>
    <x v="2"/>
    <n v="3696.52"/>
    <x v="2"/>
    <x v="2"/>
    <n v="2.1"/>
    <n v="1.1801999999999999"/>
    <n v="0"/>
    <n v="0"/>
    <n v="0"/>
    <x v="7"/>
  </r>
  <r>
    <s v="TXN00478"/>
    <x v="652"/>
    <x v="2"/>
    <s v="EUR"/>
    <x v="1"/>
    <x v="1"/>
    <n v="2110.15"/>
    <x v="1"/>
    <x v="0"/>
    <n v="2.9"/>
    <n v="1"/>
    <n v="61.19"/>
    <n v="2048.96"/>
    <n v="2110.15"/>
    <x v="7"/>
  </r>
  <r>
    <s v="TXN00874"/>
    <x v="653"/>
    <x v="8"/>
    <s v="EUR"/>
    <x v="0"/>
    <x v="4"/>
    <n v="1401.66"/>
    <x v="2"/>
    <x v="4"/>
    <n v="2.5"/>
    <n v="1"/>
    <n v="0"/>
    <n v="0"/>
    <n v="0"/>
    <x v="7"/>
  </r>
  <r>
    <s v="TXN00366"/>
    <x v="654"/>
    <x v="8"/>
    <s v="EUR"/>
    <x v="1"/>
    <x v="3"/>
    <n v="524.98"/>
    <x v="1"/>
    <x v="0"/>
    <n v="2.9"/>
    <n v="1"/>
    <n v="15.22"/>
    <n v="509.76"/>
    <n v="524.98"/>
    <x v="8"/>
  </r>
  <r>
    <s v="TXN00543"/>
    <x v="655"/>
    <x v="5"/>
    <s v="PLN"/>
    <x v="3"/>
    <x v="0"/>
    <n v="2762.84"/>
    <x v="1"/>
    <x v="0"/>
    <n v="3.2"/>
    <n v="0.23269999999999999"/>
    <n v="20.581848000000001"/>
    <n v="622.607304"/>
    <n v="643.18915200000004"/>
    <x v="8"/>
  </r>
  <r>
    <s v="TXN00408"/>
    <x v="656"/>
    <x v="6"/>
    <s v="EUR"/>
    <x v="3"/>
    <x v="4"/>
    <n v="2516.94"/>
    <x v="2"/>
    <x v="3"/>
    <n v="3.2"/>
    <n v="1"/>
    <n v="0"/>
    <n v="0"/>
    <n v="0"/>
    <x v="8"/>
  </r>
  <r>
    <s v="TXN00128"/>
    <x v="657"/>
    <x v="8"/>
    <s v="EUR"/>
    <x v="2"/>
    <x v="1"/>
    <n v="2878.31"/>
    <x v="1"/>
    <x v="0"/>
    <n v="1.9"/>
    <n v="1"/>
    <n v="54.69"/>
    <n v="2823.62"/>
    <n v="2878.31"/>
    <x v="8"/>
  </r>
  <r>
    <s v="TXN00113"/>
    <x v="658"/>
    <x v="6"/>
    <s v="EUR"/>
    <x v="2"/>
    <x v="2"/>
    <n v="1924.09"/>
    <x v="0"/>
    <x v="0"/>
    <n v="1.9"/>
    <n v="1"/>
    <n v="0"/>
    <n v="0"/>
    <n v="0"/>
    <x v="8"/>
  </r>
  <r>
    <s v="TXN00901"/>
    <x v="659"/>
    <x v="8"/>
    <s v="EUR"/>
    <x v="1"/>
    <x v="2"/>
    <n v="805.2"/>
    <x v="1"/>
    <x v="0"/>
    <n v="2.9"/>
    <n v="1"/>
    <n v="23.35"/>
    <n v="781.85"/>
    <n v="805.2"/>
    <x v="8"/>
  </r>
  <r>
    <s v="TXN00358"/>
    <x v="660"/>
    <x v="9"/>
    <s v="EUR"/>
    <x v="1"/>
    <x v="0"/>
    <n v="3177.85"/>
    <x v="1"/>
    <x v="0"/>
    <n v="2.9"/>
    <n v="1"/>
    <n v="92.16"/>
    <n v="3085.69"/>
    <n v="3177.85"/>
    <x v="8"/>
  </r>
  <r>
    <s v="TXN00468"/>
    <x v="661"/>
    <x v="3"/>
    <s v="EUR"/>
    <x v="3"/>
    <x v="3"/>
    <n v="33.520000000000003"/>
    <x v="1"/>
    <x v="0"/>
    <n v="3.2"/>
    <n v="1"/>
    <n v="1.07"/>
    <n v="32.450000000000003"/>
    <n v="33.520000000000003"/>
    <x v="8"/>
  </r>
  <r>
    <s v="TXN00748"/>
    <x v="662"/>
    <x v="3"/>
    <s v="EUR"/>
    <x v="1"/>
    <x v="2"/>
    <n v="3214.79"/>
    <x v="2"/>
    <x v="2"/>
    <n v="2.9"/>
    <n v="1"/>
    <n v="0"/>
    <n v="0"/>
    <n v="0"/>
    <x v="8"/>
  </r>
  <r>
    <s v="TXN00474"/>
    <x v="663"/>
    <x v="2"/>
    <s v="EUR"/>
    <x v="4"/>
    <x v="0"/>
    <n v="105.43"/>
    <x v="1"/>
    <x v="0"/>
    <n v="2.1"/>
    <n v="1"/>
    <n v="2.21"/>
    <n v="103.22"/>
    <n v="105.42999999999999"/>
    <x v="8"/>
  </r>
  <r>
    <s v="TXN00298"/>
    <x v="664"/>
    <x v="6"/>
    <s v="EUR"/>
    <x v="0"/>
    <x v="2"/>
    <n v="3666.53"/>
    <x v="1"/>
    <x v="0"/>
    <n v="2.5"/>
    <n v="1"/>
    <n v="91.66"/>
    <n v="3574.87"/>
    <n v="3666.5299999999997"/>
    <x v="8"/>
  </r>
  <r>
    <s v="TXN00094"/>
    <x v="665"/>
    <x v="9"/>
    <s v="EUR"/>
    <x v="4"/>
    <x v="2"/>
    <n v="4057.6"/>
    <x v="1"/>
    <x v="0"/>
    <n v="2.1"/>
    <n v="1"/>
    <n v="85.21"/>
    <n v="3972.39"/>
    <n v="4057.6"/>
    <x v="8"/>
  </r>
  <r>
    <s v="TXN00495"/>
    <x v="666"/>
    <x v="5"/>
    <s v="PLN"/>
    <x v="3"/>
    <x v="3"/>
    <n v="2539.58"/>
    <x v="0"/>
    <x v="0"/>
    <n v="3.2"/>
    <n v="0.23269999999999999"/>
    <n v="0"/>
    <n v="0"/>
    <n v="0"/>
    <x v="8"/>
  </r>
  <r>
    <s v="TXN00839"/>
    <x v="667"/>
    <x v="1"/>
    <s v="NOK"/>
    <x v="2"/>
    <x v="3"/>
    <n v="4543.1499999999996"/>
    <x v="1"/>
    <x v="0"/>
    <n v="1.9"/>
    <n v="8.5999999999999993E-2"/>
    <n v="7.6522680000000003"/>
    <n v="395.09797950000001"/>
    <n v="402.7502475"/>
    <x v="8"/>
  </r>
  <r>
    <s v="TXN00908"/>
    <x v="668"/>
    <x v="4"/>
    <s v="GBP"/>
    <x v="3"/>
    <x v="4"/>
    <n v="2124.67"/>
    <x v="1"/>
    <x v="0"/>
    <n v="3.2"/>
    <n v="1.1801999999999999"/>
    <n v="78.120509999999996"/>
    <n v="2363.1253199999996"/>
    <n v="2441.2458299999998"/>
    <x v="8"/>
  </r>
  <r>
    <s v="TXN00970"/>
    <x v="669"/>
    <x v="2"/>
    <s v="EUR"/>
    <x v="2"/>
    <x v="3"/>
    <n v="4996.3100000000004"/>
    <x v="1"/>
    <x v="0"/>
    <n v="1.9"/>
    <n v="1"/>
    <n v="94.93"/>
    <n v="4901.38"/>
    <n v="4996.3100000000004"/>
    <x v="8"/>
  </r>
  <r>
    <s v="TXN00846"/>
    <x v="670"/>
    <x v="6"/>
    <s v="EUR"/>
    <x v="4"/>
    <x v="3"/>
    <n v="3958.19"/>
    <x v="1"/>
    <x v="0"/>
    <n v="2.1"/>
    <n v="1"/>
    <n v="83.12"/>
    <n v="3875.07"/>
    <n v="3958.19"/>
    <x v="8"/>
  </r>
  <r>
    <s v="TXN00868"/>
    <x v="671"/>
    <x v="7"/>
    <s v="EUR"/>
    <x v="2"/>
    <x v="3"/>
    <n v="420.42"/>
    <x v="2"/>
    <x v="4"/>
    <n v="1.9"/>
    <n v="1"/>
    <n v="0"/>
    <n v="0"/>
    <n v="0"/>
    <x v="8"/>
  </r>
  <r>
    <s v="TXN00924"/>
    <x v="672"/>
    <x v="8"/>
    <s v="EUR"/>
    <x v="4"/>
    <x v="4"/>
    <n v="1085.68"/>
    <x v="1"/>
    <x v="0"/>
    <n v="2.1"/>
    <n v="1"/>
    <n v="22.8"/>
    <n v="1062.8800000000001"/>
    <n v="1085.68"/>
    <x v="8"/>
  </r>
  <r>
    <s v="TXN00762"/>
    <x v="673"/>
    <x v="8"/>
    <s v="EUR"/>
    <x v="4"/>
    <x v="0"/>
    <n v="3632.74"/>
    <x v="1"/>
    <x v="0"/>
    <n v="2.1"/>
    <n v="1"/>
    <n v="76.290000000000006"/>
    <n v="3556.45"/>
    <n v="3632.74"/>
    <x v="8"/>
  </r>
  <r>
    <s v="TXN00349"/>
    <x v="674"/>
    <x v="4"/>
    <s v="GBP"/>
    <x v="2"/>
    <x v="3"/>
    <n v="1346.77"/>
    <x v="0"/>
    <x v="0"/>
    <n v="1.9"/>
    <n v="1.1801999999999999"/>
    <n v="0"/>
    <n v="0"/>
    <n v="0"/>
    <x v="8"/>
  </r>
  <r>
    <s v="TXN00740"/>
    <x v="675"/>
    <x v="9"/>
    <s v="EUR"/>
    <x v="1"/>
    <x v="2"/>
    <n v="4087"/>
    <x v="0"/>
    <x v="0"/>
    <n v="2.9"/>
    <n v="1"/>
    <n v="0"/>
    <n v="0"/>
    <n v="0"/>
    <x v="8"/>
  </r>
  <r>
    <s v="TXN00421"/>
    <x v="676"/>
    <x v="4"/>
    <s v="GBP"/>
    <x v="4"/>
    <x v="1"/>
    <n v="4912.07"/>
    <x v="1"/>
    <x v="0"/>
    <n v="2.1"/>
    <n v="1.1801999999999999"/>
    <n v="118.51935"/>
    <n v="5525.4490800000003"/>
    <n v="5643.9684299999999"/>
    <x v="8"/>
  </r>
  <r>
    <s v="TXN00382"/>
    <x v="677"/>
    <x v="5"/>
    <s v="PLN"/>
    <x v="1"/>
    <x v="0"/>
    <n v="4298.21"/>
    <x v="1"/>
    <x v="0"/>
    <n v="2.9"/>
    <n v="0.23269999999999999"/>
    <n v="29.018520000000002"/>
    <n v="971.60476800000015"/>
    <n v="1000.6232880000001"/>
    <x v="8"/>
  </r>
  <r>
    <s v="TXN00890"/>
    <x v="678"/>
    <x v="5"/>
    <s v="PLN"/>
    <x v="4"/>
    <x v="4"/>
    <n v="1504.61"/>
    <x v="2"/>
    <x v="1"/>
    <n v="2.1"/>
    <n v="0.23269999999999999"/>
    <n v="0"/>
    <n v="0"/>
    <n v="0"/>
    <x v="8"/>
  </r>
  <r>
    <s v="TXN00891"/>
    <x v="679"/>
    <x v="4"/>
    <s v="GBP"/>
    <x v="2"/>
    <x v="2"/>
    <n v="1443.9"/>
    <x v="1"/>
    <x v="0"/>
    <n v="1.9"/>
    <n v="1.1801999999999999"/>
    <n v="31.51707"/>
    <n v="1627.52403"/>
    <n v="1659.0411000000001"/>
    <x v="8"/>
  </r>
  <r>
    <s v="TXN00406"/>
    <x v="680"/>
    <x v="0"/>
    <s v="SEK"/>
    <x v="0"/>
    <x v="3"/>
    <n v="447.73"/>
    <x v="2"/>
    <x v="1"/>
    <n v="2.5"/>
    <n v="8.7400000000000005E-2"/>
    <n v="0"/>
    <n v="0"/>
    <n v="0"/>
    <x v="8"/>
  </r>
  <r>
    <s v="TXN00218"/>
    <x v="681"/>
    <x v="0"/>
    <s v="SEK"/>
    <x v="1"/>
    <x v="1"/>
    <n v="3877.07"/>
    <x v="2"/>
    <x v="1"/>
    <n v="2.9"/>
    <n v="8.7400000000000005E-2"/>
    <n v="0"/>
    <n v="0"/>
    <n v="0"/>
    <x v="8"/>
  </r>
  <r>
    <s v="TXN00785"/>
    <x v="682"/>
    <x v="6"/>
    <s v="EUR"/>
    <x v="1"/>
    <x v="3"/>
    <n v="1703.03"/>
    <x v="1"/>
    <x v="0"/>
    <n v="2.9"/>
    <n v="1"/>
    <n v="49.39"/>
    <n v="1653.64"/>
    <n v="1703.0300000000002"/>
    <x v="8"/>
  </r>
  <r>
    <s v="TXN00876"/>
    <x v="683"/>
    <x v="3"/>
    <s v="EUR"/>
    <x v="0"/>
    <x v="4"/>
    <n v="3399.23"/>
    <x v="1"/>
    <x v="0"/>
    <n v="2.5"/>
    <n v="1"/>
    <n v="84.98"/>
    <n v="3314.25"/>
    <n v="3399.23"/>
    <x v="8"/>
  </r>
  <r>
    <s v="TXN00976"/>
    <x v="684"/>
    <x v="4"/>
    <s v="GBP"/>
    <x v="4"/>
    <x v="1"/>
    <n v="1679.69"/>
    <x v="1"/>
    <x v="0"/>
    <n v="2.1"/>
    <n v="1.1801999999999999"/>
    <n v="40.525230000000008"/>
    <n v="1889.4385800000002"/>
    <n v="1929.9638100000002"/>
    <x v="8"/>
  </r>
  <r>
    <s v="TXN00180"/>
    <x v="685"/>
    <x v="6"/>
    <s v="EUR"/>
    <x v="1"/>
    <x v="1"/>
    <n v="4912.1000000000004"/>
    <x v="1"/>
    <x v="0"/>
    <n v="2.9"/>
    <n v="1"/>
    <n v="142.44999999999999"/>
    <n v="4769.6499999999996"/>
    <n v="4912.0999999999995"/>
    <x v="8"/>
  </r>
  <r>
    <s v="TXN00284"/>
    <x v="686"/>
    <x v="1"/>
    <s v="NOK"/>
    <x v="3"/>
    <x v="4"/>
    <n v="2993.61"/>
    <x v="1"/>
    <x v="0"/>
    <n v="3.2"/>
    <n v="8.5999999999999993E-2"/>
    <n v="8.4926700000000004"/>
    <n v="256.89085650000004"/>
    <n v="265.38352650000002"/>
    <x v="8"/>
  </r>
  <r>
    <s v="TXN00684"/>
    <x v="687"/>
    <x v="5"/>
    <s v="PLN"/>
    <x v="4"/>
    <x v="0"/>
    <n v="2462.31"/>
    <x v="1"/>
    <x v="0"/>
    <n v="2.1"/>
    <n v="0.23269999999999999"/>
    <n v="12.038088"/>
    <n v="561.18768"/>
    <n v="573.22576800000002"/>
    <x v="8"/>
  </r>
  <r>
    <s v="TXN00864"/>
    <x v="688"/>
    <x v="4"/>
    <s v="GBP"/>
    <x v="2"/>
    <x v="3"/>
    <n v="2648.91"/>
    <x v="1"/>
    <x v="0"/>
    <n v="1.9"/>
    <n v="1.1801999999999999"/>
    <n v="57.829169999999998"/>
    <n v="2985.7684199999999"/>
    <n v="3043.5975899999999"/>
    <x v="8"/>
  </r>
  <r>
    <s v="TXN00038"/>
    <x v="689"/>
    <x v="5"/>
    <s v="PLN"/>
    <x v="1"/>
    <x v="2"/>
    <n v="1853.94"/>
    <x v="1"/>
    <x v="0"/>
    <n v="2.9"/>
    <n v="0.23269999999999999"/>
    <n v="12.515328"/>
    <n v="419.08190400000001"/>
    <n v="431.59723200000002"/>
    <x v="8"/>
  </r>
  <r>
    <s v="TXN00951"/>
    <x v="690"/>
    <x v="4"/>
    <s v="GBP"/>
    <x v="0"/>
    <x v="4"/>
    <n v="4066"/>
    <x v="1"/>
    <x v="0"/>
    <n v="2.5"/>
    <n v="1.1801999999999999"/>
    <n v="116.79585000000002"/>
    <n v="4555.0381500000003"/>
    <n v="4671.8340000000007"/>
    <x v="8"/>
  </r>
  <r>
    <s v="TXN00852"/>
    <x v="691"/>
    <x v="3"/>
    <s v="EUR"/>
    <x v="1"/>
    <x v="4"/>
    <n v="3765.62"/>
    <x v="0"/>
    <x v="0"/>
    <n v="2.9"/>
    <n v="1"/>
    <n v="0"/>
    <n v="0"/>
    <n v="0"/>
    <x v="8"/>
  </r>
  <r>
    <s v="TXN00266"/>
    <x v="692"/>
    <x v="8"/>
    <s v="EUR"/>
    <x v="1"/>
    <x v="2"/>
    <n v="4908.6099999999997"/>
    <x v="2"/>
    <x v="3"/>
    <n v="2.9"/>
    <n v="1"/>
    <n v="0"/>
    <n v="0"/>
    <n v="0"/>
    <x v="8"/>
  </r>
  <r>
    <s v="TXN00888"/>
    <x v="693"/>
    <x v="9"/>
    <s v="EUR"/>
    <x v="0"/>
    <x v="4"/>
    <n v="120.96"/>
    <x v="1"/>
    <x v="0"/>
    <n v="2.5"/>
    <n v="1"/>
    <n v="3.02"/>
    <n v="117.94"/>
    <n v="120.96"/>
    <x v="8"/>
  </r>
  <r>
    <s v="TXN00234"/>
    <x v="694"/>
    <x v="5"/>
    <s v="PLN"/>
    <x v="4"/>
    <x v="0"/>
    <n v="621.38"/>
    <x v="2"/>
    <x v="1"/>
    <n v="2.1"/>
    <n v="0.23269999999999999"/>
    <n v="0"/>
    <n v="0"/>
    <n v="0"/>
    <x v="8"/>
  </r>
  <r>
    <s v="TXN00337"/>
    <x v="695"/>
    <x v="3"/>
    <s v="EUR"/>
    <x v="3"/>
    <x v="4"/>
    <n v="2137.58"/>
    <x v="2"/>
    <x v="1"/>
    <n v="3.2"/>
    <n v="1"/>
    <n v="0"/>
    <n v="0"/>
    <n v="0"/>
    <x v="8"/>
  </r>
  <r>
    <s v="TXN00085"/>
    <x v="696"/>
    <x v="2"/>
    <s v="EUR"/>
    <x v="0"/>
    <x v="0"/>
    <n v="2780.33"/>
    <x v="1"/>
    <x v="0"/>
    <n v="2.5"/>
    <n v="1"/>
    <n v="69.510000000000005"/>
    <n v="2710.82"/>
    <n v="2780.3300000000004"/>
    <x v="8"/>
  </r>
  <r>
    <s v="TXN00933"/>
    <x v="697"/>
    <x v="3"/>
    <s v="EUR"/>
    <x v="3"/>
    <x v="0"/>
    <n v="3820.74"/>
    <x v="1"/>
    <x v="0"/>
    <n v="3.2"/>
    <n v="1"/>
    <n v="122.26"/>
    <n v="3698.48"/>
    <n v="3820.7400000000002"/>
    <x v="8"/>
  </r>
  <r>
    <s v="TXN00448"/>
    <x v="698"/>
    <x v="9"/>
    <s v="EUR"/>
    <x v="2"/>
    <x v="2"/>
    <n v="337.43"/>
    <x v="0"/>
    <x v="0"/>
    <n v="1.9"/>
    <n v="1"/>
    <n v="0"/>
    <n v="0"/>
    <n v="0"/>
    <x v="8"/>
  </r>
  <r>
    <s v="TXN00554"/>
    <x v="699"/>
    <x v="5"/>
    <s v="PLN"/>
    <x v="0"/>
    <x v="0"/>
    <n v="4436.99"/>
    <x v="1"/>
    <x v="0"/>
    <n v="2.5"/>
    <n v="0.23269999999999999"/>
    <n v="25.822176000000002"/>
    <n v="1007.1090959999999"/>
    <n v="1032.9312719999998"/>
    <x v="8"/>
  </r>
  <r>
    <s v="TXN00023"/>
    <x v="700"/>
    <x v="2"/>
    <s v="EUR"/>
    <x v="4"/>
    <x v="3"/>
    <n v="1697.05"/>
    <x v="0"/>
    <x v="0"/>
    <n v="2.1"/>
    <n v="1"/>
    <n v="0"/>
    <n v="0"/>
    <n v="0"/>
    <x v="8"/>
  </r>
  <r>
    <s v="TXN00226"/>
    <x v="701"/>
    <x v="3"/>
    <s v="EUR"/>
    <x v="4"/>
    <x v="1"/>
    <n v="4674.34"/>
    <x v="1"/>
    <x v="0"/>
    <n v="2.1"/>
    <n v="1"/>
    <n v="98.16"/>
    <n v="4576.18"/>
    <n v="4674.34"/>
    <x v="8"/>
  </r>
  <r>
    <s v="TXN00227"/>
    <x v="702"/>
    <x v="4"/>
    <s v="GBP"/>
    <x v="3"/>
    <x v="2"/>
    <n v="3178.93"/>
    <x v="0"/>
    <x v="0"/>
    <n v="3.2"/>
    <n v="1.1801999999999999"/>
    <n v="0"/>
    <n v="0"/>
    <n v="0"/>
    <x v="8"/>
  </r>
  <r>
    <s v="TXN00244"/>
    <x v="703"/>
    <x v="1"/>
    <s v="NOK"/>
    <x v="2"/>
    <x v="2"/>
    <n v="1646.55"/>
    <x v="0"/>
    <x v="0"/>
    <n v="1.9"/>
    <n v="8.5999999999999993E-2"/>
    <n v="0"/>
    <n v="0"/>
    <n v="0"/>
    <x v="8"/>
  </r>
  <r>
    <s v="TXN00365"/>
    <x v="704"/>
    <x v="9"/>
    <s v="EUR"/>
    <x v="1"/>
    <x v="1"/>
    <n v="4087.37"/>
    <x v="2"/>
    <x v="1"/>
    <n v="2.9"/>
    <n v="1"/>
    <n v="0"/>
    <n v="0"/>
    <n v="0"/>
    <x v="8"/>
  </r>
  <r>
    <s v="TXN00569"/>
    <x v="705"/>
    <x v="2"/>
    <s v="EUR"/>
    <x v="3"/>
    <x v="0"/>
    <n v="1817.73"/>
    <x v="1"/>
    <x v="0"/>
    <n v="3.2"/>
    <n v="1"/>
    <n v="58.17"/>
    <n v="1759.56"/>
    <n v="1817.73"/>
    <x v="8"/>
  </r>
  <r>
    <s v="TXN00715"/>
    <x v="706"/>
    <x v="5"/>
    <s v="PLN"/>
    <x v="2"/>
    <x v="4"/>
    <n v="103.4"/>
    <x v="0"/>
    <x v="0"/>
    <n v="1.9"/>
    <n v="0.23269999999999999"/>
    <n v="0"/>
    <n v="0"/>
    <n v="0"/>
    <x v="8"/>
  </r>
  <r>
    <s v="TXN00986"/>
    <x v="707"/>
    <x v="3"/>
    <s v="EUR"/>
    <x v="1"/>
    <x v="3"/>
    <n v="4452.6899999999996"/>
    <x v="0"/>
    <x v="0"/>
    <n v="2.9"/>
    <n v="1"/>
    <n v="0"/>
    <n v="0"/>
    <n v="0"/>
    <x v="8"/>
  </r>
  <r>
    <s v="TXN00053"/>
    <x v="708"/>
    <x v="2"/>
    <s v="EUR"/>
    <x v="3"/>
    <x v="0"/>
    <n v="359.17"/>
    <x v="1"/>
    <x v="0"/>
    <n v="3.2"/>
    <n v="1"/>
    <n v="11.49"/>
    <n v="347.68"/>
    <n v="359.17"/>
    <x v="8"/>
  </r>
  <r>
    <s v="TXN00905"/>
    <x v="709"/>
    <x v="1"/>
    <s v="NOK"/>
    <x v="2"/>
    <x v="1"/>
    <n v="2487.29"/>
    <x v="1"/>
    <x v="0"/>
    <n v="1.9"/>
    <n v="8.5999999999999993E-2"/>
    <n v="4.1895990000000003"/>
    <n v="216.30865950000003"/>
    <n v="220.49825850000002"/>
    <x v="8"/>
  </r>
  <r>
    <s v="TXN00610"/>
    <x v="710"/>
    <x v="7"/>
    <s v="EUR"/>
    <x v="2"/>
    <x v="2"/>
    <n v="430.71"/>
    <x v="2"/>
    <x v="3"/>
    <n v="1.9"/>
    <n v="1"/>
    <n v="0"/>
    <n v="0"/>
    <n v="0"/>
    <x v="8"/>
  </r>
  <r>
    <s v="TXN00721"/>
    <x v="711"/>
    <x v="5"/>
    <s v="PLN"/>
    <x v="4"/>
    <x v="3"/>
    <n v="4112.47"/>
    <x v="0"/>
    <x v="0"/>
    <n v="2.1"/>
    <n v="0.23269999999999999"/>
    <n v="0"/>
    <n v="0"/>
    <n v="0"/>
    <x v="8"/>
  </r>
  <r>
    <s v="TXN00614"/>
    <x v="712"/>
    <x v="0"/>
    <s v="SEK"/>
    <x v="3"/>
    <x v="1"/>
    <n v="2413.44"/>
    <x v="1"/>
    <x v="0"/>
    <n v="3.2"/>
    <n v="8.7400000000000005E-2"/>
    <n v="7.1607656000000004"/>
    <n v="216.6133912"/>
    <n v="223.77415679999999"/>
    <x v="8"/>
  </r>
  <r>
    <s v="TXN00522"/>
    <x v="713"/>
    <x v="0"/>
    <s v="SEK"/>
    <x v="1"/>
    <x v="4"/>
    <n v="805.26"/>
    <x v="0"/>
    <x v="0"/>
    <n v="2.9"/>
    <n v="8.7400000000000005E-2"/>
    <n v="0"/>
    <n v="0"/>
    <n v="0"/>
    <x v="8"/>
  </r>
  <r>
    <s v="TXN00753"/>
    <x v="714"/>
    <x v="0"/>
    <s v="SEK"/>
    <x v="1"/>
    <x v="4"/>
    <n v="4450.68"/>
    <x v="1"/>
    <x v="0"/>
    <n v="2.9"/>
    <n v="8.7400000000000005E-2"/>
    <n v="11.967370399999998"/>
    <n v="400.69967919999993"/>
    <n v="412.66704959999993"/>
    <x v="8"/>
  </r>
  <r>
    <s v="TXN00119"/>
    <x v="715"/>
    <x v="3"/>
    <s v="EUR"/>
    <x v="0"/>
    <x v="2"/>
    <n v="383.39"/>
    <x v="1"/>
    <x v="0"/>
    <n v="2.5"/>
    <n v="1"/>
    <n v="9.58"/>
    <n v="373.81"/>
    <n v="383.39"/>
    <x v="8"/>
  </r>
  <r>
    <s v="TXN00272"/>
    <x v="716"/>
    <x v="5"/>
    <s v="PLN"/>
    <x v="1"/>
    <x v="4"/>
    <n v="569.91999999999996"/>
    <x v="0"/>
    <x v="0"/>
    <n v="2.9"/>
    <n v="0.23269999999999999"/>
    <n v="0"/>
    <n v="0"/>
    <n v="0"/>
    <x v="8"/>
  </r>
  <r>
    <s v="TXN00642"/>
    <x v="717"/>
    <x v="1"/>
    <s v="NOK"/>
    <x v="3"/>
    <x v="3"/>
    <n v="1838.11"/>
    <x v="0"/>
    <x v="0"/>
    <n v="3.2"/>
    <n v="8.5999999999999993E-2"/>
    <n v="0"/>
    <n v="0"/>
    <n v="0"/>
    <x v="8"/>
  </r>
  <r>
    <s v="TXN00983"/>
    <x v="718"/>
    <x v="3"/>
    <s v="EUR"/>
    <x v="0"/>
    <x v="0"/>
    <n v="3222.96"/>
    <x v="0"/>
    <x v="0"/>
    <n v="2.5"/>
    <n v="1"/>
    <n v="0"/>
    <n v="0"/>
    <n v="0"/>
    <x v="8"/>
  </r>
  <r>
    <s v="TXN00289"/>
    <x v="719"/>
    <x v="2"/>
    <s v="EUR"/>
    <x v="3"/>
    <x v="2"/>
    <n v="1658.01"/>
    <x v="1"/>
    <x v="0"/>
    <n v="3.2"/>
    <n v="1"/>
    <n v="53.06"/>
    <n v="1604.95"/>
    <n v="1658.01"/>
    <x v="8"/>
  </r>
  <r>
    <s v="TXN00217"/>
    <x v="720"/>
    <x v="5"/>
    <s v="PLN"/>
    <x v="3"/>
    <x v="2"/>
    <n v="4803"/>
    <x v="1"/>
    <x v="0"/>
    <n v="3.2"/>
    <n v="0.23269999999999999"/>
    <n v="35.781359999999999"/>
    <n v="1082.3570400000001"/>
    <n v="1118.1384"/>
    <x v="8"/>
  </r>
  <r>
    <s v="TXN00133"/>
    <x v="721"/>
    <x v="7"/>
    <s v="EUR"/>
    <x v="4"/>
    <x v="1"/>
    <n v="4571.1000000000004"/>
    <x v="2"/>
    <x v="3"/>
    <n v="2.1"/>
    <n v="1"/>
    <n v="0"/>
    <n v="0"/>
    <n v="0"/>
    <x v="8"/>
  </r>
  <r>
    <s v="TXN00725"/>
    <x v="722"/>
    <x v="6"/>
    <s v="EUR"/>
    <x v="1"/>
    <x v="1"/>
    <n v="755.11"/>
    <x v="1"/>
    <x v="0"/>
    <n v="2.9"/>
    <n v="1"/>
    <n v="21.9"/>
    <n v="733.21"/>
    <n v="755.11"/>
    <x v="8"/>
  </r>
  <r>
    <s v="TXN00755"/>
    <x v="723"/>
    <x v="6"/>
    <s v="EUR"/>
    <x v="2"/>
    <x v="0"/>
    <n v="2874.09"/>
    <x v="1"/>
    <x v="0"/>
    <n v="1.9"/>
    <n v="1"/>
    <n v="54.61"/>
    <n v="2819.48"/>
    <n v="2874.09"/>
    <x v="8"/>
  </r>
  <r>
    <s v="TXN00911"/>
    <x v="724"/>
    <x v="6"/>
    <s v="EUR"/>
    <x v="0"/>
    <x v="3"/>
    <n v="4549.8500000000004"/>
    <x v="2"/>
    <x v="3"/>
    <n v="2.5"/>
    <n v="1"/>
    <n v="0"/>
    <n v="0"/>
    <n v="0"/>
    <x v="8"/>
  </r>
  <r>
    <s v="TXN00782"/>
    <x v="725"/>
    <x v="6"/>
    <s v="EUR"/>
    <x v="3"/>
    <x v="2"/>
    <n v="891.33"/>
    <x v="1"/>
    <x v="0"/>
    <n v="3.2"/>
    <n v="1"/>
    <n v="28.52"/>
    <n v="862.81"/>
    <n v="891.32999999999993"/>
    <x v="8"/>
  </r>
  <r>
    <s v="TXN00359"/>
    <x v="726"/>
    <x v="8"/>
    <s v="EUR"/>
    <x v="4"/>
    <x v="0"/>
    <n v="1350"/>
    <x v="1"/>
    <x v="0"/>
    <n v="2.1"/>
    <n v="1"/>
    <n v="28.35"/>
    <n v="1321.65"/>
    <n v="1350"/>
    <x v="8"/>
  </r>
  <r>
    <s v="TXN00411"/>
    <x v="727"/>
    <x v="2"/>
    <s v="EUR"/>
    <x v="2"/>
    <x v="0"/>
    <n v="1780.48"/>
    <x v="1"/>
    <x v="0"/>
    <n v="1.9"/>
    <n v="1"/>
    <n v="33.83"/>
    <n v="1746.65"/>
    <n v="1780.48"/>
    <x v="8"/>
  </r>
  <r>
    <s v="TXN00239"/>
    <x v="728"/>
    <x v="4"/>
    <s v="GBP"/>
    <x v="0"/>
    <x v="2"/>
    <n v="4413.45"/>
    <x v="1"/>
    <x v="0"/>
    <n v="2.5"/>
    <n v="1.1801999999999999"/>
    <n v="126.78066000000001"/>
    <n v="4944.2733899999994"/>
    <n v="5071.0540499999997"/>
    <x v="9"/>
  </r>
  <r>
    <s v="TXN00006"/>
    <x v="729"/>
    <x v="8"/>
    <s v="EUR"/>
    <x v="1"/>
    <x v="4"/>
    <n v="1472.96"/>
    <x v="0"/>
    <x v="0"/>
    <n v="2.9"/>
    <n v="1"/>
    <n v="0"/>
    <n v="0"/>
    <n v="0"/>
    <x v="9"/>
  </r>
  <r>
    <s v="TXN00340"/>
    <x v="730"/>
    <x v="5"/>
    <s v="PLN"/>
    <x v="4"/>
    <x v="0"/>
    <n v="578.64"/>
    <x v="2"/>
    <x v="5"/>
    <n v="2.1"/>
    <n v="0.23269999999999999"/>
    <n v="0"/>
    <n v="0"/>
    <n v="0"/>
    <x v="9"/>
  </r>
  <r>
    <s v="TXN00303"/>
    <x v="731"/>
    <x v="0"/>
    <s v="SEK"/>
    <x v="0"/>
    <x v="2"/>
    <n v="544.01"/>
    <x v="1"/>
    <x v="0"/>
    <n v="2.5"/>
    <n v="8.7400000000000005E-2"/>
    <n v="1.2609919999999999"/>
    <n v="49.179615199999994"/>
    <n v="50.440607199999995"/>
    <x v="9"/>
  </r>
  <r>
    <s v="TXN00668"/>
    <x v="732"/>
    <x v="0"/>
    <s v="SEK"/>
    <x v="2"/>
    <x v="1"/>
    <n v="2748.51"/>
    <x v="0"/>
    <x v="0"/>
    <n v="1.9"/>
    <n v="8.7400000000000005E-2"/>
    <n v="0"/>
    <n v="0"/>
    <n v="0"/>
    <x v="9"/>
  </r>
  <r>
    <s v="TXN00584"/>
    <x v="733"/>
    <x v="6"/>
    <s v="EUR"/>
    <x v="0"/>
    <x v="4"/>
    <n v="2423.31"/>
    <x v="1"/>
    <x v="0"/>
    <n v="2.5"/>
    <n v="1"/>
    <n v="60.58"/>
    <n v="2362.73"/>
    <n v="2423.31"/>
    <x v="9"/>
  </r>
  <r>
    <s v="TXN00594"/>
    <x v="734"/>
    <x v="5"/>
    <s v="PLN"/>
    <x v="0"/>
    <x v="2"/>
    <n v="2291.41"/>
    <x v="1"/>
    <x v="0"/>
    <n v="2.5"/>
    <n v="0.23269999999999999"/>
    <n v="13.337111999999999"/>
    <n v="520.10313599999995"/>
    <n v="533.440248"/>
    <x v="9"/>
  </r>
  <r>
    <s v="TXN00728"/>
    <x v="735"/>
    <x v="3"/>
    <s v="EUR"/>
    <x v="1"/>
    <x v="0"/>
    <n v="4517.43"/>
    <x v="1"/>
    <x v="0"/>
    <n v="2.9"/>
    <n v="1"/>
    <n v="131.01"/>
    <n v="4386.42"/>
    <n v="4517.43"/>
    <x v="9"/>
  </r>
  <r>
    <s v="TXN00798"/>
    <x v="736"/>
    <x v="6"/>
    <s v="EUR"/>
    <x v="4"/>
    <x v="1"/>
    <n v="274.81"/>
    <x v="1"/>
    <x v="0"/>
    <n v="2.1"/>
    <n v="1"/>
    <n v="5.77"/>
    <n v="269.04000000000002"/>
    <n v="274.81"/>
    <x v="9"/>
  </r>
  <r>
    <s v="TXN00514"/>
    <x v="737"/>
    <x v="6"/>
    <s v="EUR"/>
    <x v="1"/>
    <x v="4"/>
    <n v="4341.5"/>
    <x v="0"/>
    <x v="0"/>
    <n v="2.9"/>
    <n v="1"/>
    <n v="0"/>
    <n v="0"/>
    <n v="0"/>
    <x v="9"/>
  </r>
  <r>
    <s v="TXN00121"/>
    <x v="738"/>
    <x v="4"/>
    <s v="GBP"/>
    <x v="4"/>
    <x v="1"/>
    <n v="4987.16"/>
    <x v="1"/>
    <x v="0"/>
    <n v="2.1"/>
    <n v="1.1801999999999999"/>
    <n v="120.33477000000001"/>
    <n v="5609.9120700000003"/>
    <n v="5730.2468400000007"/>
    <x v="9"/>
  </r>
  <r>
    <s v="TXN00350"/>
    <x v="739"/>
    <x v="6"/>
    <s v="EUR"/>
    <x v="2"/>
    <x v="2"/>
    <n v="4948.9799999999996"/>
    <x v="1"/>
    <x v="0"/>
    <n v="1.9"/>
    <n v="1"/>
    <n v="94.03"/>
    <n v="4854.95"/>
    <n v="4948.9799999999996"/>
    <x v="9"/>
  </r>
  <r>
    <s v="TXN00678"/>
    <x v="740"/>
    <x v="3"/>
    <s v="EUR"/>
    <x v="2"/>
    <x v="4"/>
    <n v="3423.4"/>
    <x v="1"/>
    <x v="0"/>
    <n v="1.9"/>
    <n v="1"/>
    <n v="65.040000000000006"/>
    <n v="3358.36"/>
    <n v="3423.4"/>
    <x v="9"/>
  </r>
  <r>
    <s v="TXN00067"/>
    <x v="741"/>
    <x v="9"/>
    <s v="EUR"/>
    <x v="4"/>
    <x v="0"/>
    <n v="1953.49"/>
    <x v="0"/>
    <x v="0"/>
    <n v="2.1"/>
    <n v="1"/>
    <n v="0"/>
    <n v="0"/>
    <n v="0"/>
    <x v="9"/>
  </r>
  <r>
    <s v="TXN00208"/>
    <x v="742"/>
    <x v="9"/>
    <s v="EUR"/>
    <x v="4"/>
    <x v="1"/>
    <n v="1791.3"/>
    <x v="1"/>
    <x v="0"/>
    <n v="2.1"/>
    <n v="1"/>
    <n v="37.619999999999997"/>
    <n v="1753.68"/>
    <n v="1791.3"/>
    <x v="9"/>
  </r>
  <r>
    <s v="TXN00309"/>
    <x v="743"/>
    <x v="9"/>
    <s v="EUR"/>
    <x v="4"/>
    <x v="1"/>
    <n v="88.13"/>
    <x v="1"/>
    <x v="0"/>
    <n v="2.1"/>
    <n v="1"/>
    <n v="1.85"/>
    <n v="86.28"/>
    <n v="88.13"/>
    <x v="9"/>
  </r>
  <r>
    <s v="TXN00143"/>
    <x v="744"/>
    <x v="9"/>
    <s v="EUR"/>
    <x v="0"/>
    <x v="1"/>
    <n v="957.14"/>
    <x v="1"/>
    <x v="0"/>
    <n v="2.5"/>
    <n v="1"/>
    <n v="23.93"/>
    <n v="933.21"/>
    <n v="957.14"/>
    <x v="9"/>
  </r>
  <r>
    <s v="TXN00039"/>
    <x v="745"/>
    <x v="1"/>
    <s v="NOK"/>
    <x v="2"/>
    <x v="3"/>
    <n v="3342.64"/>
    <x v="0"/>
    <x v="0"/>
    <n v="1.9"/>
    <n v="8.5999999999999993E-2"/>
    <n v="0"/>
    <n v="0"/>
    <n v="0"/>
    <x v="9"/>
  </r>
  <r>
    <s v="TXN00044"/>
    <x v="746"/>
    <x v="5"/>
    <s v="PLN"/>
    <x v="2"/>
    <x v="4"/>
    <n v="748.99"/>
    <x v="1"/>
    <x v="0"/>
    <n v="1.9"/>
    <n v="0.23269999999999999"/>
    <n v="3.3127440000000004"/>
    <n v="171.05212800000001"/>
    <n v="174.36487200000002"/>
    <x v="9"/>
  </r>
  <r>
    <s v="TXN00834"/>
    <x v="747"/>
    <x v="7"/>
    <s v="EUR"/>
    <x v="0"/>
    <x v="1"/>
    <n v="4848.33"/>
    <x v="0"/>
    <x v="0"/>
    <n v="2.5"/>
    <n v="1"/>
    <n v="0"/>
    <n v="0"/>
    <n v="0"/>
    <x v="9"/>
  </r>
  <r>
    <s v="TXN00069"/>
    <x v="748"/>
    <x v="2"/>
    <s v="EUR"/>
    <x v="0"/>
    <x v="2"/>
    <n v="1371.95"/>
    <x v="2"/>
    <x v="4"/>
    <n v="2.5"/>
    <n v="1"/>
    <n v="0"/>
    <n v="0"/>
    <n v="0"/>
    <x v="9"/>
  </r>
  <r>
    <s v="TXN00613"/>
    <x v="749"/>
    <x v="0"/>
    <s v="SEK"/>
    <x v="4"/>
    <x v="4"/>
    <n v="2991.95"/>
    <x v="0"/>
    <x v="0"/>
    <n v="2.1"/>
    <n v="8.7400000000000005E-2"/>
    <n v="0"/>
    <n v="0"/>
    <n v="0"/>
    <x v="9"/>
  </r>
  <r>
    <s v="TXN00360"/>
    <x v="750"/>
    <x v="1"/>
    <s v="NOK"/>
    <x v="0"/>
    <x v="1"/>
    <n v="4471.83"/>
    <x v="1"/>
    <x v="0"/>
    <n v="2.5"/>
    <n v="8.5999999999999993E-2"/>
    <n v="9.9110700000000005"/>
    <n v="386.5166595"/>
    <n v="396.4277295"/>
    <x v="9"/>
  </r>
  <r>
    <s v="TXN00107"/>
    <x v="751"/>
    <x v="4"/>
    <s v="GBP"/>
    <x v="3"/>
    <x v="1"/>
    <n v="1623.14"/>
    <x v="2"/>
    <x v="5"/>
    <n v="3.2"/>
    <n v="1.1801999999999999"/>
    <n v="0"/>
    <n v="0"/>
    <n v="0"/>
    <x v="9"/>
  </r>
  <r>
    <s v="TXN00581"/>
    <x v="752"/>
    <x v="0"/>
    <s v="SEK"/>
    <x v="2"/>
    <x v="1"/>
    <n v="1743.9"/>
    <x v="1"/>
    <x v="0"/>
    <n v="1.9"/>
    <n v="8.7400000000000005E-2"/>
    <n v="3.0718136"/>
    <n v="158.6225944"/>
    <n v="161.69440800000001"/>
    <x v="9"/>
  </r>
  <r>
    <s v="TXN00648"/>
    <x v="753"/>
    <x v="5"/>
    <s v="PLN"/>
    <x v="4"/>
    <x v="4"/>
    <n v="4992.18"/>
    <x v="2"/>
    <x v="3"/>
    <n v="2.1"/>
    <n v="0.23269999999999999"/>
    <n v="0"/>
    <n v="0"/>
    <n v="0"/>
    <x v="9"/>
  </r>
  <r>
    <s v="TXN00538"/>
    <x v="754"/>
    <x v="0"/>
    <s v="SEK"/>
    <x v="1"/>
    <x v="1"/>
    <n v="3361.71"/>
    <x v="1"/>
    <x v="0"/>
    <n v="2.9"/>
    <n v="8.7400000000000005E-2"/>
    <n v="9.0392727999999991"/>
    <n v="302.65847839999998"/>
    <n v="311.69775119999997"/>
    <x v="9"/>
  </r>
  <r>
    <s v="TXN00111"/>
    <x v="755"/>
    <x v="8"/>
    <s v="EUR"/>
    <x v="1"/>
    <x v="2"/>
    <n v="4961.3599999999997"/>
    <x v="1"/>
    <x v="0"/>
    <n v="2.9"/>
    <n v="1"/>
    <n v="143.88"/>
    <n v="4817.4799999999996"/>
    <n v="4961.3599999999997"/>
    <x v="9"/>
  </r>
  <r>
    <s v="TXN00116"/>
    <x v="756"/>
    <x v="6"/>
    <s v="EUR"/>
    <x v="3"/>
    <x v="2"/>
    <n v="4904.07"/>
    <x v="1"/>
    <x v="0"/>
    <n v="3.2"/>
    <n v="1"/>
    <n v="156.93"/>
    <n v="4747.1400000000003"/>
    <n v="4904.0700000000006"/>
    <x v="9"/>
  </r>
  <r>
    <s v="TXN00225"/>
    <x v="757"/>
    <x v="3"/>
    <s v="EUR"/>
    <x v="4"/>
    <x v="0"/>
    <n v="2519.29"/>
    <x v="1"/>
    <x v="0"/>
    <n v="2.1"/>
    <n v="1"/>
    <n v="52.91"/>
    <n v="2466.38"/>
    <n v="2519.29"/>
    <x v="9"/>
  </r>
  <r>
    <s v="TXN00194"/>
    <x v="758"/>
    <x v="0"/>
    <s v="SEK"/>
    <x v="1"/>
    <x v="1"/>
    <n v="428.54"/>
    <x v="1"/>
    <x v="0"/>
    <n v="2.9"/>
    <n v="8.7400000000000005E-2"/>
    <n v="1.1525095999999999"/>
    <n v="38.581719200000002"/>
    <n v="39.734228800000004"/>
    <x v="9"/>
  </r>
  <r>
    <s v="TXN00588"/>
    <x v="759"/>
    <x v="5"/>
    <s v="PLN"/>
    <x v="3"/>
    <x v="2"/>
    <n v="4472.6400000000003"/>
    <x v="1"/>
    <x v="0"/>
    <n v="3.2"/>
    <n v="0.23269999999999999"/>
    <n v="33.318336000000002"/>
    <n v="1007.9122560000002"/>
    <n v="1041.2305920000001"/>
    <x v="9"/>
  </r>
  <r>
    <s v="TXN00505"/>
    <x v="760"/>
    <x v="1"/>
    <s v="NOK"/>
    <x v="0"/>
    <x v="4"/>
    <n v="3907.6"/>
    <x v="1"/>
    <x v="0"/>
    <n v="2.5"/>
    <n v="8.5999999999999993E-2"/>
    <n v="8.6602185000000009"/>
    <n v="337.74852150000004"/>
    <n v="346.40874000000002"/>
    <x v="9"/>
  </r>
  <r>
    <s v="TXN00345"/>
    <x v="761"/>
    <x v="7"/>
    <s v="EUR"/>
    <x v="4"/>
    <x v="2"/>
    <n v="1579.75"/>
    <x v="2"/>
    <x v="5"/>
    <n v="2.1"/>
    <n v="1"/>
    <n v="0"/>
    <n v="0"/>
    <n v="0"/>
    <x v="9"/>
  </r>
  <r>
    <s v="TXN00735"/>
    <x v="762"/>
    <x v="7"/>
    <s v="EUR"/>
    <x v="2"/>
    <x v="0"/>
    <n v="2010.07"/>
    <x v="2"/>
    <x v="1"/>
    <n v="1.9"/>
    <n v="1"/>
    <n v="0"/>
    <n v="0"/>
    <n v="0"/>
    <x v="9"/>
  </r>
  <r>
    <s v="TXN00644"/>
    <x v="763"/>
    <x v="8"/>
    <s v="EUR"/>
    <x v="3"/>
    <x v="3"/>
    <n v="4119.9799999999996"/>
    <x v="1"/>
    <x v="0"/>
    <n v="3.2"/>
    <n v="1"/>
    <n v="131.84"/>
    <n v="3988.14"/>
    <n v="4119.9799999999996"/>
    <x v="9"/>
  </r>
  <r>
    <s v="TXN00930"/>
    <x v="764"/>
    <x v="3"/>
    <s v="EUR"/>
    <x v="3"/>
    <x v="2"/>
    <n v="2523.6999999999998"/>
    <x v="1"/>
    <x v="0"/>
    <n v="3.2"/>
    <n v="1"/>
    <n v="80.760000000000005"/>
    <n v="2442.94"/>
    <n v="2523.7000000000003"/>
    <x v="9"/>
  </r>
  <r>
    <s v="TXN00635"/>
    <x v="765"/>
    <x v="6"/>
    <s v="EUR"/>
    <x v="4"/>
    <x v="4"/>
    <n v="941.27"/>
    <x v="1"/>
    <x v="0"/>
    <n v="2.1"/>
    <n v="1"/>
    <n v="19.77"/>
    <n v="921.5"/>
    <n v="941.27"/>
    <x v="9"/>
  </r>
  <r>
    <s v="TXN00046"/>
    <x v="766"/>
    <x v="3"/>
    <s v="EUR"/>
    <x v="4"/>
    <x v="2"/>
    <n v="4881.2700000000004"/>
    <x v="1"/>
    <x v="0"/>
    <n v="2.1"/>
    <n v="1"/>
    <n v="102.51"/>
    <n v="4778.76"/>
    <n v="4881.2700000000004"/>
    <x v="9"/>
  </r>
  <r>
    <s v="TXN00003"/>
    <x v="767"/>
    <x v="0"/>
    <s v="SEK"/>
    <x v="0"/>
    <x v="2"/>
    <n v="2251.5500000000002"/>
    <x v="1"/>
    <x v="0"/>
    <n v="2.5"/>
    <n v="8.7400000000000005E-2"/>
    <n v="5.2192087999999996"/>
    <n v="203.54450720000003"/>
    <n v="208.76371600000002"/>
    <x v="9"/>
  </r>
  <r>
    <s v="TXN00524"/>
    <x v="768"/>
    <x v="4"/>
    <s v="GBP"/>
    <x v="3"/>
    <x v="0"/>
    <n v="1209.3399999999999"/>
    <x v="0"/>
    <x v="0"/>
    <n v="3.2"/>
    <n v="1.1801999999999999"/>
    <n v="0"/>
    <n v="0"/>
    <n v="0"/>
    <x v="9"/>
  </r>
  <r>
    <s v="TXN00819"/>
    <x v="769"/>
    <x v="2"/>
    <s v="EUR"/>
    <x v="4"/>
    <x v="1"/>
    <n v="1200.78"/>
    <x v="1"/>
    <x v="0"/>
    <n v="2.1"/>
    <n v="1"/>
    <n v="25.22"/>
    <n v="1175.56"/>
    <n v="1200.78"/>
    <x v="9"/>
  </r>
  <r>
    <s v="TXN00442"/>
    <x v="770"/>
    <x v="7"/>
    <s v="EUR"/>
    <x v="2"/>
    <x v="1"/>
    <n v="4390.6899999999996"/>
    <x v="1"/>
    <x v="0"/>
    <n v="1.9"/>
    <n v="1"/>
    <n v="83.42"/>
    <n v="4307.2700000000004"/>
    <n v="4390.6900000000005"/>
    <x v="9"/>
  </r>
  <r>
    <s v="TXN00413"/>
    <x v="771"/>
    <x v="6"/>
    <s v="EUR"/>
    <x v="2"/>
    <x v="1"/>
    <n v="886.03"/>
    <x v="1"/>
    <x v="0"/>
    <n v="1.9"/>
    <n v="1"/>
    <n v="16.829999999999998"/>
    <n v="869.2"/>
    <n v="886.03000000000009"/>
    <x v="9"/>
  </r>
  <r>
    <s v="TXN00650"/>
    <x v="772"/>
    <x v="8"/>
    <s v="EUR"/>
    <x v="2"/>
    <x v="1"/>
    <n v="1806.44"/>
    <x v="2"/>
    <x v="2"/>
    <n v="1.9"/>
    <n v="1"/>
    <n v="0"/>
    <n v="0"/>
    <n v="0"/>
    <x v="9"/>
  </r>
  <r>
    <s v="TXN00560"/>
    <x v="773"/>
    <x v="7"/>
    <s v="EUR"/>
    <x v="1"/>
    <x v="2"/>
    <n v="2251.52"/>
    <x v="2"/>
    <x v="2"/>
    <n v="2.9"/>
    <n v="1"/>
    <n v="0"/>
    <n v="0"/>
    <n v="0"/>
    <x v="9"/>
  </r>
  <r>
    <s v="TXN00145"/>
    <x v="774"/>
    <x v="0"/>
    <s v="SEK"/>
    <x v="4"/>
    <x v="4"/>
    <n v="1087.5999999999999"/>
    <x v="1"/>
    <x v="0"/>
    <n v="2.1"/>
    <n v="8.7400000000000005E-2"/>
    <n v="2.1177248"/>
    <n v="98.724547199999989"/>
    <n v="100.84227199999999"/>
    <x v="9"/>
  </r>
  <r>
    <s v="TXN00849"/>
    <x v="775"/>
    <x v="7"/>
    <s v="EUR"/>
    <x v="0"/>
    <x v="3"/>
    <n v="1872.28"/>
    <x v="0"/>
    <x v="0"/>
    <n v="2.5"/>
    <n v="1"/>
    <n v="0"/>
    <n v="0"/>
    <n v="0"/>
    <x v="9"/>
  </r>
  <r>
    <s v="TXN00124"/>
    <x v="776"/>
    <x v="3"/>
    <s v="EUR"/>
    <x v="4"/>
    <x v="2"/>
    <n v="404.05"/>
    <x v="2"/>
    <x v="5"/>
    <n v="2.1"/>
    <n v="1"/>
    <n v="0"/>
    <n v="0"/>
    <n v="0"/>
    <x v="9"/>
  </r>
  <r>
    <s v="TXN00835"/>
    <x v="777"/>
    <x v="6"/>
    <s v="EUR"/>
    <x v="3"/>
    <x v="3"/>
    <n v="3660.89"/>
    <x v="1"/>
    <x v="0"/>
    <n v="3.2"/>
    <n v="1"/>
    <n v="117.15"/>
    <n v="3543.74"/>
    <n v="3660.89"/>
    <x v="9"/>
  </r>
  <r>
    <s v="TXN00420"/>
    <x v="778"/>
    <x v="1"/>
    <s v="NOK"/>
    <x v="3"/>
    <x v="4"/>
    <n v="1112.27"/>
    <x v="0"/>
    <x v="0"/>
    <n v="3.2"/>
    <n v="8.5999999999999993E-2"/>
    <n v="0"/>
    <n v="0"/>
    <n v="0"/>
    <x v="9"/>
  </r>
  <r>
    <s v="TXN00752"/>
    <x v="779"/>
    <x v="5"/>
    <s v="PLN"/>
    <x v="1"/>
    <x v="4"/>
    <n v="2412.85"/>
    <x v="1"/>
    <x v="0"/>
    <n v="2.9"/>
    <n v="0.23269999999999999"/>
    <n v="16.289016"/>
    <n v="545.42246399999999"/>
    <n v="561.71147999999994"/>
    <x v="9"/>
  </r>
  <r>
    <s v="TXN00781"/>
    <x v="780"/>
    <x v="5"/>
    <s v="PLN"/>
    <x v="3"/>
    <x v="1"/>
    <n v="2009.07"/>
    <x v="1"/>
    <x v="0"/>
    <n v="3.2"/>
    <n v="0.23269999999999999"/>
    <n v="14.966712000000001"/>
    <n v="452.74478399999998"/>
    <n v="467.71149600000001"/>
    <x v="9"/>
  </r>
  <r>
    <s v="TXN00489"/>
    <x v="781"/>
    <x v="3"/>
    <s v="EUR"/>
    <x v="2"/>
    <x v="0"/>
    <n v="3898.03"/>
    <x v="0"/>
    <x v="0"/>
    <n v="1.9"/>
    <n v="1"/>
    <n v="0"/>
    <n v="0"/>
    <n v="0"/>
    <x v="9"/>
  </r>
  <r>
    <s v="TXN00889"/>
    <x v="782"/>
    <x v="1"/>
    <s v="NOK"/>
    <x v="1"/>
    <x v="0"/>
    <n v="509.28"/>
    <x v="1"/>
    <x v="0"/>
    <n v="2.9"/>
    <n v="8.5999999999999993E-2"/>
    <n v="1.3093605000000001"/>
    <n v="43.838311500000003"/>
    <n v="45.147672"/>
    <x v="9"/>
  </r>
  <r>
    <s v="TXN00717"/>
    <x v="783"/>
    <x v="3"/>
    <s v="EUR"/>
    <x v="2"/>
    <x v="3"/>
    <n v="4324.32"/>
    <x v="1"/>
    <x v="0"/>
    <n v="1.9"/>
    <n v="1"/>
    <n v="82.16"/>
    <n v="4242.16"/>
    <n v="4324.32"/>
    <x v="9"/>
  </r>
  <r>
    <s v="TXN00688"/>
    <x v="784"/>
    <x v="0"/>
    <s v="SEK"/>
    <x v="1"/>
    <x v="4"/>
    <n v="555.49"/>
    <x v="2"/>
    <x v="4"/>
    <n v="2.9"/>
    <n v="8.7400000000000005E-2"/>
    <n v="0"/>
    <n v="0"/>
    <n v="0"/>
    <x v="9"/>
  </r>
  <r>
    <s v="TXN00559"/>
    <x v="785"/>
    <x v="3"/>
    <s v="EUR"/>
    <x v="3"/>
    <x v="2"/>
    <n v="2588.04"/>
    <x v="2"/>
    <x v="5"/>
    <n v="3.2"/>
    <n v="1"/>
    <n v="0"/>
    <n v="0"/>
    <n v="0"/>
    <x v="9"/>
  </r>
  <r>
    <s v="TXN00892"/>
    <x v="786"/>
    <x v="2"/>
    <s v="EUR"/>
    <x v="2"/>
    <x v="3"/>
    <n v="3591.36"/>
    <x v="0"/>
    <x v="0"/>
    <n v="1.9"/>
    <n v="1"/>
    <n v="0"/>
    <n v="0"/>
    <n v="0"/>
    <x v="9"/>
  </r>
  <r>
    <s v="TXN00273"/>
    <x v="787"/>
    <x v="3"/>
    <s v="EUR"/>
    <x v="3"/>
    <x v="4"/>
    <n v="2214.7800000000002"/>
    <x v="1"/>
    <x v="0"/>
    <n v="3.2"/>
    <n v="1"/>
    <n v="70.87"/>
    <n v="2143.91"/>
    <n v="2214.7799999999997"/>
    <x v="9"/>
  </r>
  <r>
    <s v="TXN00917"/>
    <x v="788"/>
    <x v="3"/>
    <s v="EUR"/>
    <x v="4"/>
    <x v="4"/>
    <n v="3570.68"/>
    <x v="1"/>
    <x v="0"/>
    <n v="2.1"/>
    <n v="1"/>
    <n v="74.98"/>
    <n v="3495.7"/>
    <n v="3570.68"/>
    <x v="9"/>
  </r>
  <r>
    <s v="TXN00068"/>
    <x v="789"/>
    <x v="9"/>
    <s v="EUR"/>
    <x v="3"/>
    <x v="1"/>
    <n v="3769.84"/>
    <x v="2"/>
    <x v="5"/>
    <n v="3.2"/>
    <n v="1"/>
    <n v="0"/>
    <n v="0"/>
    <n v="0"/>
    <x v="9"/>
  </r>
  <r>
    <s v="TXN00170"/>
    <x v="790"/>
    <x v="8"/>
    <s v="EUR"/>
    <x v="0"/>
    <x v="1"/>
    <n v="584.72"/>
    <x v="1"/>
    <x v="0"/>
    <n v="2.5"/>
    <n v="1"/>
    <n v="14.62"/>
    <n v="570.1"/>
    <n v="584.72"/>
    <x v="9"/>
  </r>
  <r>
    <s v="TXN00077"/>
    <x v="791"/>
    <x v="8"/>
    <s v="EUR"/>
    <x v="0"/>
    <x v="2"/>
    <n v="389.22"/>
    <x v="1"/>
    <x v="0"/>
    <n v="2.5"/>
    <n v="1"/>
    <n v="9.73"/>
    <n v="379.49"/>
    <n v="389.22"/>
    <x v="9"/>
  </r>
  <r>
    <s v="TXN00104"/>
    <x v="792"/>
    <x v="3"/>
    <s v="EUR"/>
    <x v="0"/>
    <x v="4"/>
    <n v="3261.03"/>
    <x v="1"/>
    <x v="0"/>
    <n v="2.5"/>
    <n v="1"/>
    <n v="81.53"/>
    <n v="3179.5"/>
    <n v="3261.03"/>
    <x v="9"/>
  </r>
  <r>
    <s v="TXN00007"/>
    <x v="793"/>
    <x v="4"/>
    <s v="GBP"/>
    <x v="1"/>
    <x v="2"/>
    <n v="3867.61"/>
    <x v="1"/>
    <x v="0"/>
    <n v="2.9"/>
    <n v="1.1801999999999999"/>
    <n v="128.87183999999999"/>
    <n v="4315.0120500000003"/>
    <n v="4443.8838900000001"/>
    <x v="9"/>
  </r>
  <r>
    <s v="TXN00656"/>
    <x v="794"/>
    <x v="9"/>
    <s v="EUR"/>
    <x v="3"/>
    <x v="1"/>
    <n v="4400.16"/>
    <x v="2"/>
    <x v="2"/>
    <n v="3.2"/>
    <n v="1"/>
    <n v="0"/>
    <n v="0"/>
    <n v="0"/>
    <x v="9"/>
  </r>
  <r>
    <s v="TXN00808"/>
    <x v="795"/>
    <x v="2"/>
    <s v="EUR"/>
    <x v="1"/>
    <x v="0"/>
    <n v="4286.3"/>
    <x v="2"/>
    <x v="1"/>
    <n v="2.9"/>
    <n v="1"/>
    <n v="0"/>
    <n v="0"/>
    <n v="0"/>
    <x v="9"/>
  </r>
  <r>
    <s v="TXN00236"/>
    <x v="796"/>
    <x v="2"/>
    <s v="EUR"/>
    <x v="4"/>
    <x v="0"/>
    <n v="4979.8900000000003"/>
    <x v="2"/>
    <x v="2"/>
    <n v="2.1"/>
    <n v="1"/>
    <n v="0"/>
    <n v="0"/>
    <n v="0"/>
    <x v="9"/>
  </r>
  <r>
    <s v="TXN00763"/>
    <x v="797"/>
    <x v="5"/>
    <s v="PLN"/>
    <x v="1"/>
    <x v="1"/>
    <n v="3779.86"/>
    <x v="1"/>
    <x v="0"/>
    <n v="2.9"/>
    <n v="0.23269999999999999"/>
    <n v="25.519536000000002"/>
    <n v="854.431872"/>
    <n v="879.95140800000001"/>
    <x v="9"/>
  </r>
  <r>
    <s v="TXN00276"/>
    <x v="798"/>
    <x v="8"/>
    <s v="EUR"/>
    <x v="3"/>
    <x v="3"/>
    <n v="2710.41"/>
    <x v="1"/>
    <x v="0"/>
    <n v="3.2"/>
    <n v="1"/>
    <n v="86.73"/>
    <n v="2623.68"/>
    <n v="2710.41"/>
    <x v="9"/>
  </r>
  <r>
    <s v="TXN00802"/>
    <x v="799"/>
    <x v="2"/>
    <s v="EUR"/>
    <x v="3"/>
    <x v="2"/>
    <n v="3897.09"/>
    <x v="1"/>
    <x v="0"/>
    <n v="3.2"/>
    <n v="1"/>
    <n v="124.71"/>
    <n v="3772.38"/>
    <n v="3897.09"/>
    <x v="9"/>
  </r>
  <r>
    <s v="TXN00035"/>
    <x v="800"/>
    <x v="1"/>
    <s v="NOK"/>
    <x v="1"/>
    <x v="0"/>
    <n v="3290.29"/>
    <x v="0"/>
    <x v="0"/>
    <n v="2.9"/>
    <n v="8.5999999999999993E-2"/>
    <n v="0"/>
    <n v="0"/>
    <n v="0"/>
    <x v="9"/>
  </r>
  <r>
    <s v="TXN00057"/>
    <x v="801"/>
    <x v="5"/>
    <s v="PLN"/>
    <x v="0"/>
    <x v="0"/>
    <n v="2216.38"/>
    <x v="1"/>
    <x v="0"/>
    <n v="2.5"/>
    <n v="0.23269999999999999"/>
    <n v="12.899448"/>
    <n v="503.07381599999997"/>
    <n v="515.97326399999997"/>
    <x v="9"/>
  </r>
  <r>
    <s v="TXN00051"/>
    <x v="802"/>
    <x v="4"/>
    <s v="GBP"/>
    <x v="2"/>
    <x v="0"/>
    <n v="1734.98"/>
    <x v="1"/>
    <x v="0"/>
    <n v="1.9"/>
    <n v="1.1801999999999999"/>
    <n v="37.871040000000001"/>
    <n v="1955.6209799999999"/>
    <n v="1993.4920199999999"/>
    <x v="9"/>
  </r>
  <r>
    <s v="TXN00820"/>
    <x v="803"/>
    <x v="2"/>
    <s v="EUR"/>
    <x v="3"/>
    <x v="1"/>
    <n v="4490.6899999999996"/>
    <x v="0"/>
    <x v="0"/>
    <n v="3.2"/>
    <n v="1"/>
    <n v="0"/>
    <n v="0"/>
    <n v="0"/>
    <x v="9"/>
  </r>
  <r>
    <s v="TXN00247"/>
    <x v="804"/>
    <x v="9"/>
    <s v="EUR"/>
    <x v="2"/>
    <x v="0"/>
    <n v="1335"/>
    <x v="0"/>
    <x v="0"/>
    <n v="1.9"/>
    <n v="1"/>
    <n v="0"/>
    <n v="0"/>
    <n v="0"/>
    <x v="9"/>
  </r>
  <r>
    <s v="TXN00238"/>
    <x v="805"/>
    <x v="9"/>
    <s v="EUR"/>
    <x v="3"/>
    <x v="0"/>
    <n v="2991.62"/>
    <x v="2"/>
    <x v="3"/>
    <n v="3.2"/>
    <n v="1"/>
    <n v="0"/>
    <n v="0"/>
    <n v="0"/>
    <x v="9"/>
  </r>
  <r>
    <s v="TXN00268"/>
    <x v="806"/>
    <x v="9"/>
    <s v="EUR"/>
    <x v="3"/>
    <x v="1"/>
    <n v="3466.92"/>
    <x v="1"/>
    <x v="0"/>
    <n v="3.2"/>
    <n v="1"/>
    <n v="110.94"/>
    <n v="3355.98"/>
    <n v="3466.92"/>
    <x v="9"/>
  </r>
  <r>
    <s v="TXN00532"/>
    <x v="807"/>
    <x v="4"/>
    <s v="GBP"/>
    <x v="3"/>
    <x v="4"/>
    <n v="539.62"/>
    <x v="1"/>
    <x v="0"/>
    <n v="3.2"/>
    <n v="1.1801999999999999"/>
    <n v="19.843229999999998"/>
    <n v="600.18015000000003"/>
    <n v="620.02337999999997"/>
    <x v="9"/>
  </r>
  <r>
    <s v="TXN00952"/>
    <x v="808"/>
    <x v="0"/>
    <s v="SEK"/>
    <x v="1"/>
    <x v="3"/>
    <n v="3705.18"/>
    <x v="2"/>
    <x v="1"/>
    <n v="2.9"/>
    <n v="8.7400000000000005E-2"/>
    <n v="0"/>
    <n v="0"/>
    <n v="0"/>
    <x v="9"/>
  </r>
  <r>
    <s v="TXN00457"/>
    <x v="809"/>
    <x v="0"/>
    <s v="SEK"/>
    <x v="3"/>
    <x v="4"/>
    <n v="3240.24"/>
    <x v="0"/>
    <x v="0"/>
    <n v="3.2"/>
    <n v="8.7400000000000005E-2"/>
    <n v="0"/>
    <n v="0"/>
    <n v="0"/>
    <x v="9"/>
  </r>
  <r>
    <s v="TXN00105"/>
    <x v="810"/>
    <x v="6"/>
    <s v="EUR"/>
    <x v="1"/>
    <x v="0"/>
    <n v="1746.33"/>
    <x v="1"/>
    <x v="0"/>
    <n v="2.9"/>
    <n v="1"/>
    <n v="50.64"/>
    <n v="1695.69"/>
    <n v="1746.3300000000002"/>
    <x v="9"/>
  </r>
  <r>
    <s v="TXN00013"/>
    <x v="811"/>
    <x v="1"/>
    <s v="NOK"/>
    <x v="0"/>
    <x v="1"/>
    <n v="1104.4100000000001"/>
    <x v="1"/>
    <x v="0"/>
    <n v="2.5"/>
    <n v="8.5999999999999993E-2"/>
    <n v="2.4476265000000001"/>
    <n v="95.458320000000001"/>
    <n v="97.905946499999999"/>
    <x v="9"/>
  </r>
  <r>
    <s v="TXN00804"/>
    <x v="812"/>
    <x v="8"/>
    <s v="EUR"/>
    <x v="4"/>
    <x v="2"/>
    <n v="4640.16"/>
    <x v="2"/>
    <x v="1"/>
    <n v="2.1"/>
    <n v="1"/>
    <n v="0"/>
    <n v="0"/>
    <n v="0"/>
    <x v="9"/>
  </r>
  <r>
    <s v="TXN00127"/>
    <x v="813"/>
    <x v="8"/>
    <s v="EUR"/>
    <x v="3"/>
    <x v="0"/>
    <n v="4228.07"/>
    <x v="1"/>
    <x v="0"/>
    <n v="3.2"/>
    <n v="1"/>
    <n v="135.30000000000001"/>
    <n v="4092.77"/>
    <n v="4228.07"/>
    <x v="9"/>
  </r>
  <r>
    <s v="TXN00157"/>
    <x v="814"/>
    <x v="5"/>
    <s v="PLN"/>
    <x v="1"/>
    <x v="0"/>
    <n v="1774.45"/>
    <x v="2"/>
    <x v="4"/>
    <n v="2.9"/>
    <n v="0.23269999999999999"/>
    <n v="0"/>
    <n v="0"/>
    <n v="0"/>
    <x v="9"/>
  </r>
  <r>
    <s v="TXN00024"/>
    <x v="815"/>
    <x v="4"/>
    <s v="GBP"/>
    <x v="1"/>
    <x v="2"/>
    <n v="346.33"/>
    <x v="1"/>
    <x v="0"/>
    <n v="2.9"/>
    <n v="1.1801999999999999"/>
    <n v="11.535959999999999"/>
    <n v="386.39721000000003"/>
    <n v="397.93317000000002"/>
    <x v="9"/>
  </r>
  <r>
    <s v="TXN00172"/>
    <x v="816"/>
    <x v="4"/>
    <s v="GBP"/>
    <x v="0"/>
    <x v="1"/>
    <n v="3731.57"/>
    <x v="1"/>
    <x v="0"/>
    <n v="2.5"/>
    <n v="1.1801999999999999"/>
    <n v="107.19021000000001"/>
    <n v="4180.3837200000007"/>
    <n v="4287.5739300000005"/>
    <x v="9"/>
  </r>
  <r>
    <s v="TXN00090"/>
    <x v="817"/>
    <x v="7"/>
    <s v="EUR"/>
    <x v="1"/>
    <x v="2"/>
    <n v="1488.27"/>
    <x v="1"/>
    <x v="0"/>
    <n v="2.9"/>
    <n v="1"/>
    <n v="43.16"/>
    <n v="1445.11"/>
    <n v="1488.27"/>
    <x v="9"/>
  </r>
  <r>
    <s v="TXN00002"/>
    <x v="818"/>
    <x v="9"/>
    <s v="EUR"/>
    <x v="1"/>
    <x v="2"/>
    <n v="1170.98"/>
    <x v="0"/>
    <x v="0"/>
    <n v="2.9"/>
    <n v="1"/>
    <n v="0"/>
    <n v="0"/>
    <n v="0"/>
    <x v="9"/>
  </r>
  <r>
    <s v="TXN00809"/>
    <x v="819"/>
    <x v="6"/>
    <s v="EUR"/>
    <x v="3"/>
    <x v="3"/>
    <n v="3652.79"/>
    <x v="1"/>
    <x v="0"/>
    <n v="3.2"/>
    <n v="1"/>
    <n v="116.89"/>
    <n v="3535.9"/>
    <n v="3652.79"/>
    <x v="9"/>
  </r>
  <r>
    <s v="TXN00760"/>
    <x v="820"/>
    <x v="6"/>
    <s v="EUR"/>
    <x v="3"/>
    <x v="2"/>
    <n v="1313.65"/>
    <x v="1"/>
    <x v="0"/>
    <n v="3.2"/>
    <n v="1"/>
    <n v="42.04"/>
    <n v="1271.6099999999999"/>
    <n v="1313.6499999999999"/>
    <x v="9"/>
  </r>
  <r>
    <s v="TXN00893"/>
    <x v="821"/>
    <x v="4"/>
    <s v="GBP"/>
    <x v="2"/>
    <x v="4"/>
    <n v="2381.59"/>
    <x v="1"/>
    <x v="0"/>
    <n v="1.9"/>
    <n v="1.1801999999999999"/>
    <n v="51.992249999999999"/>
    <n v="2684.4546600000003"/>
    <n v="2736.4469100000001"/>
    <x v="9"/>
  </r>
  <r>
    <s v="TXN00322"/>
    <x v="822"/>
    <x v="6"/>
    <s v="EUR"/>
    <x v="1"/>
    <x v="2"/>
    <n v="1530.24"/>
    <x v="2"/>
    <x v="3"/>
    <n v="2.9"/>
    <n v="1"/>
    <n v="0"/>
    <n v="0"/>
    <n v="0"/>
    <x v="9"/>
  </r>
  <r>
    <s v="TXN00185"/>
    <x v="823"/>
    <x v="7"/>
    <s v="EUR"/>
    <x v="2"/>
    <x v="0"/>
    <n v="3221.03"/>
    <x v="1"/>
    <x v="0"/>
    <n v="1.9"/>
    <n v="1"/>
    <n v="61.2"/>
    <n v="3159.83"/>
    <n v="3221.0299999999997"/>
    <x v="9"/>
  </r>
  <r>
    <s v="TXN00796"/>
    <x v="824"/>
    <x v="6"/>
    <s v="EUR"/>
    <x v="2"/>
    <x v="3"/>
    <n v="3139.69"/>
    <x v="1"/>
    <x v="0"/>
    <n v="1.9"/>
    <n v="1"/>
    <n v="59.65"/>
    <n v="3080.04"/>
    <n v="3139.69"/>
    <x v="10"/>
  </r>
  <r>
    <s v="TXN00683"/>
    <x v="825"/>
    <x v="9"/>
    <s v="EUR"/>
    <x v="3"/>
    <x v="3"/>
    <n v="3443.83"/>
    <x v="2"/>
    <x v="1"/>
    <n v="3.2"/>
    <n v="1"/>
    <n v="0"/>
    <n v="0"/>
    <n v="0"/>
    <x v="10"/>
  </r>
  <r>
    <s v="TXN00019"/>
    <x v="826"/>
    <x v="9"/>
    <s v="EUR"/>
    <x v="1"/>
    <x v="1"/>
    <n v="4394.82"/>
    <x v="1"/>
    <x v="0"/>
    <n v="2.9"/>
    <n v="1"/>
    <n v="127.45"/>
    <n v="4267.37"/>
    <n v="4394.82"/>
    <x v="10"/>
  </r>
  <r>
    <s v="TXN00906"/>
    <x v="827"/>
    <x v="5"/>
    <s v="PLN"/>
    <x v="3"/>
    <x v="4"/>
    <n v="3688.81"/>
    <x v="1"/>
    <x v="0"/>
    <n v="3.2"/>
    <n v="0.23269999999999999"/>
    <n v="27.479712000000003"/>
    <n v="831.27525600000001"/>
    <n v="858.75496799999996"/>
    <x v="10"/>
  </r>
  <r>
    <s v="TXN00460"/>
    <x v="828"/>
    <x v="5"/>
    <s v="PLN"/>
    <x v="4"/>
    <x v="3"/>
    <n v="3280.45"/>
    <x v="1"/>
    <x v="0"/>
    <n v="2.1"/>
    <n v="0.23269999999999999"/>
    <n v="16.037592"/>
    <n v="747.65116799999998"/>
    <n v="763.68876"/>
    <x v="10"/>
  </r>
  <r>
    <s v="TXN00243"/>
    <x v="829"/>
    <x v="0"/>
    <s v="SEK"/>
    <x v="1"/>
    <x v="3"/>
    <n v="204.18"/>
    <x v="1"/>
    <x v="0"/>
    <n v="2.9"/>
    <n v="8.7400000000000005E-2"/>
    <n v="0.54890240000000001"/>
    <n v="18.3826672"/>
    <n v="18.9315696"/>
    <x v="10"/>
  </r>
  <r>
    <s v="TXN00967"/>
    <x v="830"/>
    <x v="6"/>
    <s v="EUR"/>
    <x v="4"/>
    <x v="1"/>
    <n v="3617.75"/>
    <x v="2"/>
    <x v="2"/>
    <n v="2.1"/>
    <n v="1"/>
    <n v="0"/>
    <n v="0"/>
    <n v="0"/>
    <x v="10"/>
  </r>
  <r>
    <s v="TXN00216"/>
    <x v="831"/>
    <x v="6"/>
    <s v="EUR"/>
    <x v="3"/>
    <x v="1"/>
    <n v="2225.2600000000002"/>
    <x v="1"/>
    <x v="0"/>
    <n v="3.2"/>
    <n v="1"/>
    <n v="71.209999999999994"/>
    <n v="2154.0500000000002"/>
    <n v="2225.2600000000002"/>
    <x v="10"/>
  </r>
  <r>
    <s v="TXN00103"/>
    <x v="832"/>
    <x v="4"/>
    <s v="GBP"/>
    <x v="4"/>
    <x v="4"/>
    <n v="2939.74"/>
    <x v="1"/>
    <x v="0"/>
    <n v="2.1"/>
    <n v="1.1801999999999999"/>
    <n v="70.927769999999995"/>
    <n v="3306.8334900000004"/>
    <n v="3377.7612600000002"/>
    <x v="10"/>
  </r>
  <r>
    <s v="TXN00607"/>
    <x v="833"/>
    <x v="7"/>
    <s v="EUR"/>
    <x v="0"/>
    <x v="1"/>
    <n v="3742"/>
    <x v="0"/>
    <x v="0"/>
    <n v="2.5"/>
    <n v="1"/>
    <n v="0"/>
    <n v="0"/>
    <n v="0"/>
    <x v="10"/>
  </r>
  <r>
    <s v="TXN00582"/>
    <x v="834"/>
    <x v="8"/>
    <s v="EUR"/>
    <x v="2"/>
    <x v="3"/>
    <n v="1312.93"/>
    <x v="2"/>
    <x v="5"/>
    <n v="1.9"/>
    <n v="1"/>
    <n v="0"/>
    <n v="0"/>
    <n v="0"/>
    <x v="10"/>
  </r>
  <r>
    <s v="TXN00052"/>
    <x v="835"/>
    <x v="8"/>
    <s v="EUR"/>
    <x v="2"/>
    <x v="2"/>
    <n v="1281.07"/>
    <x v="2"/>
    <x v="4"/>
    <n v="1.9"/>
    <n v="1"/>
    <n v="0"/>
    <n v="0"/>
    <n v="0"/>
    <x v="10"/>
  </r>
  <r>
    <s v="TXN00507"/>
    <x v="836"/>
    <x v="2"/>
    <s v="EUR"/>
    <x v="3"/>
    <x v="0"/>
    <n v="4818.33"/>
    <x v="1"/>
    <x v="0"/>
    <n v="3.2"/>
    <n v="1"/>
    <n v="154.19"/>
    <n v="4664.1400000000003"/>
    <n v="4818.33"/>
    <x v="10"/>
  </r>
  <r>
    <s v="TXN00191"/>
    <x v="837"/>
    <x v="6"/>
    <s v="EUR"/>
    <x v="4"/>
    <x v="4"/>
    <n v="1203.45"/>
    <x v="2"/>
    <x v="1"/>
    <n v="2.1"/>
    <n v="1"/>
    <n v="0"/>
    <n v="0"/>
    <n v="0"/>
    <x v="10"/>
  </r>
  <r>
    <s v="TXN00083"/>
    <x v="838"/>
    <x v="5"/>
    <s v="PLN"/>
    <x v="1"/>
    <x v="0"/>
    <n v="4256.25"/>
    <x v="1"/>
    <x v="0"/>
    <n v="2.9"/>
    <n v="0.23269999999999999"/>
    <n v="28.734504000000001"/>
    <n v="962.120496"/>
    <n v="990.85500000000002"/>
    <x v="10"/>
  </r>
  <r>
    <s v="TXN00223"/>
    <x v="839"/>
    <x v="7"/>
    <s v="EUR"/>
    <x v="0"/>
    <x v="0"/>
    <n v="2633.22"/>
    <x v="2"/>
    <x v="5"/>
    <n v="2.5"/>
    <n v="1"/>
    <n v="0"/>
    <n v="0"/>
    <n v="0"/>
    <x v="10"/>
  </r>
  <r>
    <s v="TXN00695"/>
    <x v="840"/>
    <x v="0"/>
    <s v="SEK"/>
    <x v="0"/>
    <x v="3"/>
    <n v="3843.62"/>
    <x v="1"/>
    <x v="0"/>
    <n v="2.5"/>
    <n v="8.7400000000000005E-2"/>
    <n v="8.9094648000000003"/>
    <n v="347.47098160000002"/>
    <n v="356.38044640000004"/>
    <x v="10"/>
  </r>
  <r>
    <s v="TXN00596"/>
    <x v="841"/>
    <x v="0"/>
    <s v="SEK"/>
    <x v="3"/>
    <x v="2"/>
    <n v="1354.35"/>
    <x v="0"/>
    <x v="0"/>
    <n v="3.2"/>
    <n v="8.7400000000000005E-2"/>
    <n v="0"/>
    <n v="0"/>
    <n v="0"/>
    <x v="10"/>
  </r>
  <r>
    <s v="TXN00219"/>
    <x v="842"/>
    <x v="6"/>
    <s v="EUR"/>
    <x v="4"/>
    <x v="3"/>
    <n v="687.28"/>
    <x v="1"/>
    <x v="0"/>
    <n v="2.1"/>
    <n v="1"/>
    <n v="14.43"/>
    <n v="672.85"/>
    <n v="687.28"/>
    <x v="10"/>
  </r>
  <r>
    <s v="TXN00270"/>
    <x v="843"/>
    <x v="3"/>
    <s v="EUR"/>
    <x v="0"/>
    <x v="2"/>
    <n v="2280.34"/>
    <x v="0"/>
    <x v="0"/>
    <n v="2.5"/>
    <n v="1"/>
    <n v="0"/>
    <n v="0"/>
    <n v="0"/>
    <x v="10"/>
  </r>
  <r>
    <s v="TXN00777"/>
    <x v="844"/>
    <x v="6"/>
    <s v="EUR"/>
    <x v="3"/>
    <x v="3"/>
    <n v="183.96"/>
    <x v="1"/>
    <x v="0"/>
    <n v="3.2"/>
    <n v="1"/>
    <n v="5.89"/>
    <n v="178.07"/>
    <n v="183.95999999999998"/>
    <x v="10"/>
  </r>
  <r>
    <s v="TXN00730"/>
    <x v="845"/>
    <x v="5"/>
    <s v="PLN"/>
    <x v="4"/>
    <x v="4"/>
    <n v="401.94"/>
    <x v="2"/>
    <x v="5"/>
    <n v="2.1"/>
    <n v="0.23269999999999999"/>
    <n v="0"/>
    <n v="0"/>
    <n v="0"/>
    <x v="10"/>
  </r>
  <r>
    <s v="TXN00710"/>
    <x v="846"/>
    <x v="9"/>
    <s v="EUR"/>
    <x v="3"/>
    <x v="1"/>
    <n v="2806.47"/>
    <x v="1"/>
    <x v="0"/>
    <n v="3.2"/>
    <n v="1"/>
    <n v="89.81"/>
    <n v="2716.66"/>
    <n v="2806.47"/>
    <x v="10"/>
  </r>
  <r>
    <s v="TXN00081"/>
    <x v="847"/>
    <x v="6"/>
    <s v="EUR"/>
    <x v="0"/>
    <x v="0"/>
    <n v="4130.42"/>
    <x v="0"/>
    <x v="0"/>
    <n v="2.5"/>
    <n v="1"/>
    <n v="0"/>
    <n v="0"/>
    <n v="0"/>
    <x v="10"/>
  </r>
  <r>
    <s v="TXN00056"/>
    <x v="848"/>
    <x v="8"/>
    <s v="EUR"/>
    <x v="2"/>
    <x v="3"/>
    <n v="1526.34"/>
    <x v="1"/>
    <x v="0"/>
    <n v="1.9"/>
    <n v="1"/>
    <n v="29"/>
    <n v="1497.34"/>
    <n v="1526.34"/>
    <x v="10"/>
  </r>
  <r>
    <s v="TXN00444"/>
    <x v="849"/>
    <x v="8"/>
    <s v="EUR"/>
    <x v="1"/>
    <x v="0"/>
    <n v="4448.9799999999996"/>
    <x v="1"/>
    <x v="0"/>
    <n v="2.9"/>
    <n v="1"/>
    <n v="129.02000000000001"/>
    <n v="4319.96"/>
    <n v="4448.9800000000005"/>
    <x v="10"/>
  </r>
  <r>
    <s v="TXN00736"/>
    <x v="850"/>
    <x v="3"/>
    <s v="EUR"/>
    <x v="0"/>
    <x v="0"/>
    <n v="339.64"/>
    <x v="1"/>
    <x v="0"/>
    <n v="2.5"/>
    <n v="1"/>
    <n v="8.49"/>
    <n v="331.15"/>
    <n v="339.64"/>
    <x v="10"/>
  </r>
  <r>
    <s v="TXN00592"/>
    <x v="851"/>
    <x v="1"/>
    <s v="NOK"/>
    <x v="3"/>
    <x v="0"/>
    <n v="922.53"/>
    <x v="0"/>
    <x v="0"/>
    <n v="3.2"/>
    <n v="8.5999999999999993E-2"/>
    <n v="0"/>
    <n v="0"/>
    <n v="0"/>
    <x v="10"/>
  </r>
  <r>
    <s v="TXN00323"/>
    <x v="852"/>
    <x v="5"/>
    <s v="PLN"/>
    <x v="0"/>
    <x v="1"/>
    <n v="2158.77"/>
    <x v="0"/>
    <x v="0"/>
    <n v="2.5"/>
    <n v="0.23269999999999999"/>
    <n v="0"/>
    <n v="0"/>
    <n v="0"/>
    <x v="10"/>
  </r>
  <r>
    <s v="TXN00517"/>
    <x v="853"/>
    <x v="2"/>
    <s v="EUR"/>
    <x v="3"/>
    <x v="4"/>
    <n v="2737.61"/>
    <x v="0"/>
    <x v="0"/>
    <n v="3.2"/>
    <n v="1"/>
    <n v="0"/>
    <n v="0"/>
    <n v="0"/>
    <x v="10"/>
  </r>
  <r>
    <s v="TXN00109"/>
    <x v="854"/>
    <x v="6"/>
    <s v="EUR"/>
    <x v="1"/>
    <x v="2"/>
    <n v="1342.61"/>
    <x v="1"/>
    <x v="0"/>
    <n v="2.9"/>
    <n v="1"/>
    <n v="38.94"/>
    <n v="1303.67"/>
    <n v="1342.6100000000001"/>
    <x v="10"/>
  </r>
  <r>
    <s v="TXN00877"/>
    <x v="855"/>
    <x v="4"/>
    <s v="GBP"/>
    <x v="2"/>
    <x v="0"/>
    <n v="3965.73"/>
    <x v="1"/>
    <x v="0"/>
    <n v="1.9"/>
    <n v="1.1801999999999999"/>
    <n v="86.577149999999989"/>
    <n v="4470.0466200000001"/>
    <n v="4556.6237700000001"/>
    <x v="10"/>
  </r>
  <r>
    <s v="TXN00479"/>
    <x v="856"/>
    <x v="3"/>
    <s v="EUR"/>
    <x v="0"/>
    <x v="3"/>
    <n v="2562.81"/>
    <x v="0"/>
    <x v="0"/>
    <n v="2.5"/>
    <n v="1"/>
    <n v="0"/>
    <n v="0"/>
    <n v="0"/>
    <x v="10"/>
  </r>
  <r>
    <s v="TXN00954"/>
    <x v="857"/>
    <x v="3"/>
    <s v="EUR"/>
    <x v="4"/>
    <x v="2"/>
    <n v="400.32"/>
    <x v="0"/>
    <x v="0"/>
    <n v="2.1"/>
    <n v="1"/>
    <n v="0"/>
    <n v="0"/>
    <n v="0"/>
    <x v="10"/>
  </r>
  <r>
    <s v="TXN00120"/>
    <x v="858"/>
    <x v="4"/>
    <s v="GBP"/>
    <x v="3"/>
    <x v="4"/>
    <n v="1906.25"/>
    <x v="1"/>
    <x v="0"/>
    <n v="3.2"/>
    <n v="1.1801999999999999"/>
    <n v="70.088999999999999"/>
    <n v="2120.1922500000001"/>
    <n v="2190.28125"/>
    <x v="10"/>
  </r>
  <r>
    <s v="TXN00528"/>
    <x v="859"/>
    <x v="2"/>
    <s v="EUR"/>
    <x v="0"/>
    <x v="3"/>
    <n v="1035.8399999999999"/>
    <x v="2"/>
    <x v="4"/>
    <n v="2.5"/>
    <n v="1"/>
    <n v="0"/>
    <n v="0"/>
    <n v="0"/>
    <x v="10"/>
  </r>
  <r>
    <s v="TXN00697"/>
    <x v="860"/>
    <x v="3"/>
    <s v="EUR"/>
    <x v="4"/>
    <x v="3"/>
    <n v="3116.58"/>
    <x v="1"/>
    <x v="0"/>
    <n v="2.1"/>
    <n v="1"/>
    <n v="65.45"/>
    <n v="3051.13"/>
    <n v="3116.58"/>
    <x v="10"/>
  </r>
  <r>
    <s v="TXN00885"/>
    <x v="861"/>
    <x v="4"/>
    <s v="GBP"/>
    <x v="0"/>
    <x v="1"/>
    <n v="4959.8100000000004"/>
    <x v="2"/>
    <x v="3"/>
    <n v="2.5"/>
    <n v="1.1801999999999999"/>
    <n v="0"/>
    <n v="0"/>
    <n v="0"/>
    <x v="10"/>
  </r>
  <r>
    <s v="TXN00521"/>
    <x v="862"/>
    <x v="7"/>
    <s v="EUR"/>
    <x v="0"/>
    <x v="4"/>
    <n v="2755.3"/>
    <x v="1"/>
    <x v="0"/>
    <n v="2.5"/>
    <n v="1"/>
    <n v="68.88"/>
    <n v="2686.42"/>
    <n v="2755.3"/>
    <x v="10"/>
  </r>
  <r>
    <s v="TXN00286"/>
    <x v="863"/>
    <x v="0"/>
    <s v="SEK"/>
    <x v="0"/>
    <x v="3"/>
    <n v="4861.7299999999996"/>
    <x v="2"/>
    <x v="5"/>
    <n v="2.5"/>
    <n v="8.7400000000000005E-2"/>
    <n v="0"/>
    <n v="0"/>
    <n v="0"/>
    <x v="10"/>
  </r>
  <r>
    <s v="TXN00988"/>
    <x v="864"/>
    <x v="4"/>
    <s v="GBP"/>
    <x v="1"/>
    <x v="3"/>
    <n v="2249.1999999999998"/>
    <x v="0"/>
    <x v="0"/>
    <n v="2.9"/>
    <n v="1.1801999999999999"/>
    <n v="0"/>
    <n v="0"/>
    <n v="0"/>
    <x v="10"/>
  </r>
  <r>
    <s v="TXN00131"/>
    <x v="865"/>
    <x v="7"/>
    <s v="EUR"/>
    <x v="0"/>
    <x v="3"/>
    <n v="2902.07"/>
    <x v="1"/>
    <x v="0"/>
    <n v="2.5"/>
    <n v="1"/>
    <n v="72.55"/>
    <n v="2829.52"/>
    <n v="2902.07"/>
    <x v="10"/>
  </r>
  <r>
    <s v="TXN00916"/>
    <x v="866"/>
    <x v="3"/>
    <s v="EUR"/>
    <x v="1"/>
    <x v="0"/>
    <n v="1008.38"/>
    <x v="1"/>
    <x v="0"/>
    <n v="2.9"/>
    <n v="1"/>
    <n v="29.24"/>
    <n v="979.14"/>
    <n v="1008.38"/>
    <x v="10"/>
  </r>
  <r>
    <s v="TXN00177"/>
    <x v="867"/>
    <x v="7"/>
    <s v="EUR"/>
    <x v="2"/>
    <x v="3"/>
    <n v="1766.19"/>
    <x v="1"/>
    <x v="0"/>
    <n v="1.9"/>
    <n v="1"/>
    <n v="33.56"/>
    <n v="1732.63"/>
    <n v="1766.19"/>
    <x v="10"/>
  </r>
  <r>
    <s v="TXN00913"/>
    <x v="868"/>
    <x v="8"/>
    <s v="EUR"/>
    <x v="1"/>
    <x v="1"/>
    <n v="4333.5600000000004"/>
    <x v="2"/>
    <x v="2"/>
    <n v="2.9"/>
    <n v="1"/>
    <n v="0"/>
    <n v="0"/>
    <n v="0"/>
    <x v="10"/>
  </r>
  <r>
    <s v="TXN00586"/>
    <x v="869"/>
    <x v="2"/>
    <s v="EUR"/>
    <x v="3"/>
    <x v="0"/>
    <n v="4777.67"/>
    <x v="0"/>
    <x v="0"/>
    <n v="3.2"/>
    <n v="1"/>
    <n v="0"/>
    <n v="0"/>
    <n v="0"/>
    <x v="10"/>
  </r>
  <r>
    <s v="TXN00994"/>
    <x v="870"/>
    <x v="6"/>
    <s v="EUR"/>
    <x v="0"/>
    <x v="2"/>
    <n v="730.29"/>
    <x v="1"/>
    <x v="0"/>
    <n v="2.5"/>
    <n v="1"/>
    <n v="18.260000000000002"/>
    <n v="712.03"/>
    <n v="730.29"/>
    <x v="10"/>
  </r>
  <r>
    <s v="TXN00432"/>
    <x v="871"/>
    <x v="6"/>
    <s v="EUR"/>
    <x v="1"/>
    <x v="1"/>
    <n v="3926.53"/>
    <x v="2"/>
    <x v="2"/>
    <n v="2.9"/>
    <n v="1"/>
    <n v="0"/>
    <n v="0"/>
    <n v="0"/>
    <x v="10"/>
  </r>
  <r>
    <s v="TXN00897"/>
    <x v="872"/>
    <x v="1"/>
    <s v="NOK"/>
    <x v="0"/>
    <x v="4"/>
    <n v="3635.81"/>
    <x v="1"/>
    <x v="0"/>
    <n v="2.5"/>
    <n v="8.5999999999999993E-2"/>
    <n v="8.0582850000000015"/>
    <n v="314.25627150000003"/>
    <n v="322.31455650000004"/>
    <x v="10"/>
  </r>
  <r>
    <s v="TXN00231"/>
    <x v="873"/>
    <x v="0"/>
    <s v="SEK"/>
    <x v="3"/>
    <x v="1"/>
    <n v="2419.89"/>
    <x v="2"/>
    <x v="3"/>
    <n v="3.2"/>
    <n v="8.7400000000000005E-2"/>
    <n v="0"/>
    <n v="0"/>
    <n v="0"/>
    <x v="10"/>
  </r>
  <r>
    <s v="TXN00001"/>
    <x v="874"/>
    <x v="7"/>
    <s v="EUR"/>
    <x v="4"/>
    <x v="2"/>
    <n v="706.29"/>
    <x v="1"/>
    <x v="0"/>
    <n v="2.1"/>
    <n v="1"/>
    <n v="14.83"/>
    <n v="691.46"/>
    <n v="706.29000000000008"/>
    <x v="10"/>
  </r>
  <r>
    <s v="TXN00711"/>
    <x v="875"/>
    <x v="7"/>
    <s v="EUR"/>
    <x v="3"/>
    <x v="3"/>
    <n v="1545.79"/>
    <x v="0"/>
    <x v="0"/>
    <n v="3.2"/>
    <n v="1"/>
    <n v="0"/>
    <n v="0"/>
    <n v="0"/>
    <x v="10"/>
  </r>
  <r>
    <s v="TXN00476"/>
    <x v="876"/>
    <x v="0"/>
    <s v="SEK"/>
    <x v="2"/>
    <x v="3"/>
    <n v="2973.68"/>
    <x v="1"/>
    <x v="0"/>
    <n v="1.9"/>
    <n v="8.7400000000000005E-2"/>
    <n v="5.2386799999999996"/>
    <n v="270.48092959999997"/>
    <n v="275.71960959999996"/>
    <x v="10"/>
  </r>
  <r>
    <s v="TXN00341"/>
    <x v="877"/>
    <x v="8"/>
    <s v="EUR"/>
    <x v="2"/>
    <x v="0"/>
    <n v="2939.15"/>
    <x v="1"/>
    <x v="0"/>
    <n v="1.9"/>
    <n v="1"/>
    <n v="55.84"/>
    <n v="2883.31"/>
    <n v="2939.15"/>
    <x v="10"/>
  </r>
  <r>
    <s v="TXN00018"/>
    <x v="878"/>
    <x v="2"/>
    <s v="EUR"/>
    <x v="4"/>
    <x v="1"/>
    <n v="3814.93"/>
    <x v="0"/>
    <x v="0"/>
    <n v="2.1"/>
    <n v="1"/>
    <n v="0"/>
    <n v="0"/>
    <n v="0"/>
    <x v="10"/>
  </r>
  <r>
    <s v="TXN00640"/>
    <x v="879"/>
    <x v="4"/>
    <s v="GBP"/>
    <x v="2"/>
    <x v="3"/>
    <n v="228.45"/>
    <x v="1"/>
    <x v="0"/>
    <n v="1.9"/>
    <n v="1.1801999999999999"/>
    <n v="4.9866599999999996"/>
    <n v="257.50239000000005"/>
    <n v="262.48905000000002"/>
    <x v="10"/>
  </r>
  <r>
    <s v="TXN00050"/>
    <x v="880"/>
    <x v="0"/>
    <s v="SEK"/>
    <x v="3"/>
    <x v="3"/>
    <n v="585.55999999999995"/>
    <x v="1"/>
    <x v="0"/>
    <n v="3.2"/>
    <n v="8.7400000000000005E-2"/>
    <n v="1.7375727999999997"/>
    <n v="52.555550400000001"/>
    <n v="54.293123200000004"/>
    <x v="10"/>
  </r>
  <r>
    <s v="TXN00206"/>
    <x v="881"/>
    <x v="6"/>
    <s v="EUR"/>
    <x v="0"/>
    <x v="2"/>
    <n v="4059.37"/>
    <x v="1"/>
    <x v="0"/>
    <n v="2.5"/>
    <n v="1"/>
    <n v="101.48"/>
    <n v="3957.89"/>
    <n v="4059.37"/>
    <x v="10"/>
  </r>
  <r>
    <s v="TXN00176"/>
    <x v="882"/>
    <x v="5"/>
    <s v="PLN"/>
    <x v="3"/>
    <x v="2"/>
    <n v="2204.42"/>
    <x v="2"/>
    <x v="2"/>
    <n v="3.2"/>
    <n v="0.23269999999999999"/>
    <n v="0"/>
    <n v="0"/>
    <n v="0"/>
    <x v="10"/>
  </r>
  <r>
    <s v="TXN00174"/>
    <x v="883"/>
    <x v="4"/>
    <s v="GBP"/>
    <x v="4"/>
    <x v="1"/>
    <n v="994.39"/>
    <x v="0"/>
    <x v="0"/>
    <n v="2.1"/>
    <n v="1.1801999999999999"/>
    <n v="0"/>
    <n v="0"/>
    <n v="0"/>
    <x v="10"/>
  </r>
  <r>
    <s v="TXN00086"/>
    <x v="884"/>
    <x v="6"/>
    <s v="EUR"/>
    <x v="1"/>
    <x v="3"/>
    <n v="1478.24"/>
    <x v="2"/>
    <x v="1"/>
    <n v="2.9"/>
    <n v="1"/>
    <n v="0"/>
    <n v="0"/>
    <n v="0"/>
    <x v="10"/>
  </r>
  <r>
    <s v="TXN00138"/>
    <x v="885"/>
    <x v="6"/>
    <s v="EUR"/>
    <x v="3"/>
    <x v="0"/>
    <n v="592.21"/>
    <x v="1"/>
    <x v="0"/>
    <n v="3.2"/>
    <n v="1"/>
    <n v="18.95"/>
    <n v="573.26"/>
    <n v="592.21"/>
    <x v="10"/>
  </r>
  <r>
    <s v="TXN00454"/>
    <x v="886"/>
    <x v="2"/>
    <s v="EUR"/>
    <x v="3"/>
    <x v="0"/>
    <n v="2571.27"/>
    <x v="1"/>
    <x v="0"/>
    <n v="3.2"/>
    <n v="1"/>
    <n v="82.28"/>
    <n v="2488.9899999999998"/>
    <n v="2571.27"/>
    <x v="10"/>
  </r>
  <r>
    <s v="TXN00515"/>
    <x v="887"/>
    <x v="2"/>
    <s v="EUR"/>
    <x v="2"/>
    <x v="1"/>
    <n v="3467.75"/>
    <x v="1"/>
    <x v="0"/>
    <n v="1.9"/>
    <n v="1"/>
    <n v="65.89"/>
    <n v="3401.86"/>
    <n v="3467.75"/>
    <x v="10"/>
  </r>
  <r>
    <s v="TXN00944"/>
    <x v="888"/>
    <x v="4"/>
    <s v="GBP"/>
    <x v="3"/>
    <x v="0"/>
    <n v="4007.49"/>
    <x v="1"/>
    <x v="0"/>
    <n v="3.2"/>
    <n v="1.1801999999999999"/>
    <n v="147.34776000000002"/>
    <n v="4457.2582499999999"/>
    <n v="4604.6060099999995"/>
    <x v="10"/>
  </r>
  <r>
    <s v="TXN00948"/>
    <x v="889"/>
    <x v="3"/>
    <s v="EUR"/>
    <x v="0"/>
    <x v="4"/>
    <n v="3151.5"/>
    <x v="0"/>
    <x v="0"/>
    <n v="2.5"/>
    <n v="1"/>
    <n v="0"/>
    <n v="0"/>
    <n v="0"/>
    <x v="10"/>
  </r>
  <r>
    <s v="TXN00552"/>
    <x v="890"/>
    <x v="0"/>
    <s v="SEK"/>
    <x v="3"/>
    <x v="1"/>
    <n v="2897.37"/>
    <x v="0"/>
    <x v="0"/>
    <n v="3.2"/>
    <n v="8.7400000000000005E-2"/>
    <n v="0"/>
    <n v="0"/>
    <n v="0"/>
    <x v="10"/>
  </r>
  <r>
    <s v="TXN00418"/>
    <x v="891"/>
    <x v="0"/>
    <s v="SEK"/>
    <x v="2"/>
    <x v="1"/>
    <n v="1123.95"/>
    <x v="0"/>
    <x v="0"/>
    <n v="1.9"/>
    <n v="8.7400000000000005E-2"/>
    <n v="0"/>
    <n v="0"/>
    <n v="0"/>
    <x v="10"/>
  </r>
  <r>
    <s v="TXN00527"/>
    <x v="892"/>
    <x v="0"/>
    <s v="SEK"/>
    <x v="1"/>
    <x v="3"/>
    <n v="845.3"/>
    <x v="0"/>
    <x v="0"/>
    <n v="2.9"/>
    <n v="8.7400000000000005E-2"/>
    <n v="0"/>
    <n v="0"/>
    <n v="0"/>
    <x v="10"/>
  </r>
  <r>
    <s v="TXN00261"/>
    <x v="893"/>
    <x v="0"/>
    <s v="SEK"/>
    <x v="1"/>
    <x v="2"/>
    <n v="2095.25"/>
    <x v="1"/>
    <x v="0"/>
    <n v="2.9"/>
    <n v="8.7400000000000005E-2"/>
    <n v="5.6336671999999997"/>
    <n v="188.63791279999998"/>
    <n v="194.27157999999997"/>
    <x v="10"/>
  </r>
  <r>
    <s v="TXN00570"/>
    <x v="894"/>
    <x v="7"/>
    <s v="EUR"/>
    <x v="2"/>
    <x v="0"/>
    <n v="2827.7"/>
    <x v="0"/>
    <x v="0"/>
    <n v="1.9"/>
    <n v="1"/>
    <n v="0"/>
    <n v="0"/>
    <n v="0"/>
    <x v="10"/>
  </r>
  <r>
    <s v="TXN00425"/>
    <x v="895"/>
    <x v="3"/>
    <s v="EUR"/>
    <x v="0"/>
    <x v="3"/>
    <n v="3997.98"/>
    <x v="1"/>
    <x v="0"/>
    <n v="2.5"/>
    <n v="1"/>
    <n v="99.95"/>
    <n v="3898.03"/>
    <n v="3997.98"/>
    <x v="10"/>
  </r>
  <r>
    <s v="TXN00477"/>
    <x v="896"/>
    <x v="4"/>
    <s v="GBP"/>
    <x v="0"/>
    <x v="0"/>
    <n v="1907.47"/>
    <x v="0"/>
    <x v="0"/>
    <n v="2.5"/>
    <n v="1.1801999999999999"/>
    <n v="0"/>
    <n v="0"/>
    <n v="0"/>
    <x v="10"/>
  </r>
  <r>
    <s v="TXN00701"/>
    <x v="897"/>
    <x v="3"/>
    <s v="EUR"/>
    <x v="1"/>
    <x v="4"/>
    <n v="4191.6899999999996"/>
    <x v="1"/>
    <x v="0"/>
    <n v="2.9"/>
    <n v="1"/>
    <n v="121.56"/>
    <n v="4070.13"/>
    <n v="4191.6900000000005"/>
    <x v="10"/>
  </r>
  <r>
    <s v="TXN00279"/>
    <x v="898"/>
    <x v="3"/>
    <s v="EUR"/>
    <x v="2"/>
    <x v="0"/>
    <n v="2648.92"/>
    <x v="1"/>
    <x v="0"/>
    <n v="1.9"/>
    <n v="1"/>
    <n v="50.33"/>
    <n v="2598.59"/>
    <n v="2648.92"/>
    <x v="10"/>
  </r>
  <r>
    <s v="TXN00260"/>
    <x v="899"/>
    <x v="2"/>
    <s v="EUR"/>
    <x v="3"/>
    <x v="1"/>
    <n v="1434.22"/>
    <x v="1"/>
    <x v="0"/>
    <n v="3.2"/>
    <n v="1"/>
    <n v="45.9"/>
    <n v="1388.32"/>
    <n v="1434.22"/>
    <x v="10"/>
  </r>
  <r>
    <s v="TXN00175"/>
    <x v="900"/>
    <x v="6"/>
    <s v="EUR"/>
    <x v="0"/>
    <x v="4"/>
    <n v="3801.79"/>
    <x v="2"/>
    <x v="5"/>
    <n v="2.5"/>
    <n v="1"/>
    <n v="0"/>
    <n v="0"/>
    <n v="0"/>
    <x v="11"/>
  </r>
  <r>
    <s v="TXN00464"/>
    <x v="901"/>
    <x v="5"/>
    <s v="PLN"/>
    <x v="4"/>
    <x v="1"/>
    <n v="2108.16"/>
    <x v="1"/>
    <x v="0"/>
    <n v="2.1"/>
    <n v="0.23269999999999999"/>
    <n v="10.306056000000002"/>
    <n v="480.473592"/>
    <n v="490.77964800000001"/>
    <x v="11"/>
  </r>
  <r>
    <s v="TXN00141"/>
    <x v="902"/>
    <x v="6"/>
    <s v="EUR"/>
    <x v="2"/>
    <x v="0"/>
    <n v="4695.87"/>
    <x v="1"/>
    <x v="0"/>
    <n v="1.9"/>
    <n v="1"/>
    <n v="89.22"/>
    <n v="4606.6499999999996"/>
    <n v="4695.87"/>
    <x v="11"/>
  </r>
  <r>
    <s v="TXN00363"/>
    <x v="903"/>
    <x v="4"/>
    <s v="GBP"/>
    <x v="3"/>
    <x v="2"/>
    <n v="268.42"/>
    <x v="1"/>
    <x v="0"/>
    <n v="3.2"/>
    <n v="1.1801999999999999"/>
    <n v="9.8699100000000008"/>
    <n v="298.54467"/>
    <n v="308.41458"/>
    <x v="11"/>
  </r>
  <r>
    <s v="TXN00956"/>
    <x v="904"/>
    <x v="8"/>
    <s v="EUR"/>
    <x v="2"/>
    <x v="0"/>
    <n v="1520.97"/>
    <x v="0"/>
    <x v="0"/>
    <n v="1.9"/>
    <n v="1"/>
    <n v="0"/>
    <n v="0"/>
    <n v="0"/>
    <x v="11"/>
  </r>
  <r>
    <s v="TXN00443"/>
    <x v="905"/>
    <x v="1"/>
    <s v="NOK"/>
    <x v="0"/>
    <x v="3"/>
    <n v="869.28"/>
    <x v="2"/>
    <x v="1"/>
    <n v="2.5"/>
    <n v="8.5999999999999993E-2"/>
    <n v="0"/>
    <n v="0"/>
    <n v="0"/>
    <x v="11"/>
  </r>
  <r>
    <s v="TXN00768"/>
    <x v="906"/>
    <x v="6"/>
    <s v="EUR"/>
    <x v="4"/>
    <x v="4"/>
    <n v="3854.78"/>
    <x v="0"/>
    <x v="0"/>
    <n v="2.1"/>
    <n v="1"/>
    <n v="0"/>
    <n v="0"/>
    <n v="0"/>
    <x v="11"/>
  </r>
  <r>
    <s v="TXN00061"/>
    <x v="907"/>
    <x v="4"/>
    <s v="GBP"/>
    <x v="0"/>
    <x v="2"/>
    <n v="887.67"/>
    <x v="0"/>
    <x v="0"/>
    <n v="2.5"/>
    <n v="1.1801999999999999"/>
    <n v="0"/>
    <n v="0"/>
    <n v="0"/>
    <x v="11"/>
  </r>
  <r>
    <s v="TXN00500"/>
    <x v="908"/>
    <x v="6"/>
    <s v="EUR"/>
    <x v="1"/>
    <x v="3"/>
    <n v="3799.01"/>
    <x v="1"/>
    <x v="0"/>
    <n v="2.9"/>
    <n v="1"/>
    <n v="110.17"/>
    <n v="3688.84"/>
    <n v="3799.01"/>
    <x v="11"/>
  </r>
  <r>
    <s v="TXN00573"/>
    <x v="909"/>
    <x v="2"/>
    <s v="EUR"/>
    <x v="0"/>
    <x v="2"/>
    <n v="510.39"/>
    <x v="0"/>
    <x v="0"/>
    <n v="2.5"/>
    <n v="1"/>
    <n v="0"/>
    <n v="0"/>
    <n v="0"/>
    <x v="11"/>
  </r>
  <r>
    <s v="TXN00129"/>
    <x v="910"/>
    <x v="9"/>
    <s v="EUR"/>
    <x v="2"/>
    <x v="3"/>
    <n v="4553.9799999999996"/>
    <x v="2"/>
    <x v="3"/>
    <n v="1.9"/>
    <n v="1"/>
    <n v="0"/>
    <n v="0"/>
    <n v="0"/>
    <x v="11"/>
  </r>
  <r>
    <s v="TXN00302"/>
    <x v="911"/>
    <x v="9"/>
    <s v="EUR"/>
    <x v="2"/>
    <x v="4"/>
    <n v="2062.58"/>
    <x v="1"/>
    <x v="0"/>
    <n v="1.9"/>
    <n v="1"/>
    <n v="39.19"/>
    <n v="2023.39"/>
    <n v="2062.58"/>
    <x v="11"/>
  </r>
  <r>
    <s v="TXN00150"/>
    <x v="912"/>
    <x v="6"/>
    <s v="EUR"/>
    <x v="1"/>
    <x v="3"/>
    <n v="4992.95"/>
    <x v="2"/>
    <x v="2"/>
    <n v="2.9"/>
    <n v="1"/>
    <n v="0"/>
    <n v="0"/>
    <n v="0"/>
    <x v="11"/>
  </r>
  <r>
    <s v="TXN00147"/>
    <x v="913"/>
    <x v="9"/>
    <s v="EUR"/>
    <x v="3"/>
    <x v="2"/>
    <n v="2948.38"/>
    <x v="1"/>
    <x v="0"/>
    <n v="3.2"/>
    <n v="1"/>
    <n v="94.35"/>
    <n v="2854.03"/>
    <n v="2948.38"/>
    <x v="11"/>
  </r>
  <r>
    <s v="TXN00783"/>
    <x v="914"/>
    <x v="8"/>
    <s v="EUR"/>
    <x v="1"/>
    <x v="1"/>
    <n v="2437.65"/>
    <x v="2"/>
    <x v="1"/>
    <n v="2.9"/>
    <n v="1"/>
    <n v="0"/>
    <n v="0"/>
    <n v="0"/>
    <x v="11"/>
  </r>
  <r>
    <s v="TXN00433"/>
    <x v="915"/>
    <x v="0"/>
    <s v="SEK"/>
    <x v="0"/>
    <x v="2"/>
    <n v="1861.39"/>
    <x v="2"/>
    <x v="3"/>
    <n v="2.5"/>
    <n v="8.7400000000000005E-2"/>
    <n v="0"/>
    <n v="0"/>
    <n v="0"/>
    <x v="11"/>
  </r>
  <r>
    <s v="TXN00212"/>
    <x v="916"/>
    <x v="6"/>
    <s v="EUR"/>
    <x v="2"/>
    <x v="0"/>
    <n v="841.56"/>
    <x v="2"/>
    <x v="3"/>
    <n v="1.9"/>
    <n v="1"/>
    <n v="0"/>
    <n v="0"/>
    <n v="0"/>
    <x v="11"/>
  </r>
  <r>
    <s v="TXN00189"/>
    <x v="917"/>
    <x v="1"/>
    <s v="NOK"/>
    <x v="4"/>
    <x v="4"/>
    <n v="1889.83"/>
    <x v="1"/>
    <x v="0"/>
    <n v="2.1"/>
    <n v="8.5999999999999993E-2"/>
    <n v="3.5185184999999999"/>
    <n v="164.01491100000001"/>
    <n v="167.53342950000001"/>
    <x v="11"/>
  </r>
  <r>
    <s v="TXN00079"/>
    <x v="918"/>
    <x v="0"/>
    <s v="SEK"/>
    <x v="3"/>
    <x v="3"/>
    <n v="4249.38"/>
    <x v="2"/>
    <x v="4"/>
    <n v="3.2"/>
    <n v="8.7400000000000005E-2"/>
    <n v="0"/>
    <n v="0"/>
    <n v="0"/>
    <x v="11"/>
  </r>
  <r>
    <s v="TXN00878"/>
    <x v="919"/>
    <x v="0"/>
    <s v="SEK"/>
    <x v="3"/>
    <x v="4"/>
    <n v="1724.64"/>
    <x v="0"/>
    <x v="0"/>
    <n v="3.2"/>
    <n v="8.7400000000000005E-2"/>
    <n v="0"/>
    <n v="0"/>
    <n v="0"/>
    <x v="11"/>
  </r>
  <r>
    <s v="TXN00910"/>
    <x v="920"/>
    <x v="2"/>
    <s v="EUR"/>
    <x v="3"/>
    <x v="4"/>
    <n v="1929.6"/>
    <x v="1"/>
    <x v="0"/>
    <n v="3.2"/>
    <n v="1"/>
    <n v="61.75"/>
    <n v="1867.85"/>
    <n v="1929.6"/>
    <x v="11"/>
  </r>
  <r>
    <s v="TXN00054"/>
    <x v="921"/>
    <x v="7"/>
    <s v="EUR"/>
    <x v="2"/>
    <x v="1"/>
    <n v="3337.8"/>
    <x v="1"/>
    <x v="0"/>
    <n v="1.9"/>
    <n v="1"/>
    <n v="63.42"/>
    <n v="3274.38"/>
    <n v="3337.8"/>
    <x v="11"/>
  </r>
  <r>
    <s v="TXN00040"/>
    <x v="922"/>
    <x v="3"/>
    <s v="EUR"/>
    <x v="3"/>
    <x v="3"/>
    <n v="4449.67"/>
    <x v="0"/>
    <x v="0"/>
    <n v="3.2"/>
    <n v="1"/>
    <n v="0"/>
    <n v="0"/>
    <n v="0"/>
    <x v="11"/>
  </r>
  <r>
    <s v="TXN00832"/>
    <x v="923"/>
    <x v="3"/>
    <s v="EUR"/>
    <x v="3"/>
    <x v="0"/>
    <n v="2703.93"/>
    <x v="1"/>
    <x v="0"/>
    <n v="3.2"/>
    <n v="1"/>
    <n v="86.53"/>
    <n v="2617.4"/>
    <n v="2703.9300000000003"/>
    <x v="11"/>
  </r>
  <r>
    <s v="TXN00203"/>
    <x v="924"/>
    <x v="0"/>
    <s v="SEK"/>
    <x v="3"/>
    <x v="3"/>
    <n v="4767.4799999999996"/>
    <x v="0"/>
    <x v="0"/>
    <n v="3.2"/>
    <n v="8.7400000000000005E-2"/>
    <n v="0"/>
    <n v="0"/>
    <n v="0"/>
    <x v="11"/>
  </r>
  <r>
    <s v="TXN00969"/>
    <x v="925"/>
    <x v="3"/>
    <s v="EUR"/>
    <x v="4"/>
    <x v="2"/>
    <n v="3032.69"/>
    <x v="1"/>
    <x v="0"/>
    <n v="2.1"/>
    <n v="1"/>
    <n v="63.69"/>
    <n v="2969"/>
    <n v="3032.69"/>
    <x v="11"/>
  </r>
  <r>
    <s v="TXN00551"/>
    <x v="926"/>
    <x v="5"/>
    <s v="PLN"/>
    <x v="0"/>
    <x v="0"/>
    <n v="4590.33"/>
    <x v="1"/>
    <x v="0"/>
    <n v="2.5"/>
    <n v="0.23269999999999999"/>
    <n v="26.716128000000001"/>
    <n v="1041.9126959999999"/>
    <n v="1068.6288239999999"/>
    <x v="11"/>
  </r>
  <r>
    <s v="TXN00492"/>
    <x v="927"/>
    <x v="0"/>
    <s v="SEK"/>
    <x v="2"/>
    <x v="3"/>
    <n v="2169.91"/>
    <x v="1"/>
    <x v="0"/>
    <n v="1.9"/>
    <n v="8.7400000000000005E-2"/>
    <n v="3.8228455999999995"/>
    <n v="197.37120959999999"/>
    <n v="201.19405519999998"/>
    <x v="11"/>
  </r>
  <r>
    <s v="TXN00106"/>
    <x v="928"/>
    <x v="3"/>
    <s v="EUR"/>
    <x v="3"/>
    <x v="0"/>
    <n v="3471.43"/>
    <x v="1"/>
    <x v="0"/>
    <n v="3.2"/>
    <n v="1"/>
    <n v="111.09"/>
    <n v="3360.34"/>
    <n v="3471.4300000000003"/>
    <x v="11"/>
  </r>
  <r>
    <s v="TXN00214"/>
    <x v="929"/>
    <x v="5"/>
    <s v="PLN"/>
    <x v="2"/>
    <x v="2"/>
    <n v="4764.42"/>
    <x v="1"/>
    <x v="0"/>
    <n v="1.9"/>
    <n v="0.23269999999999999"/>
    <n v="21.073056000000001"/>
    <n v="1088.08392"/>
    <n v="1109.156976"/>
    <x v="11"/>
  </r>
  <r>
    <s v="TXN00904"/>
    <x v="930"/>
    <x v="4"/>
    <s v="GBP"/>
    <x v="0"/>
    <x v="2"/>
    <n v="1187.8499999999999"/>
    <x v="0"/>
    <x v="0"/>
    <n v="2.5"/>
    <n v="1.1801999999999999"/>
    <n v="0"/>
    <n v="0"/>
    <n v="0"/>
    <x v="11"/>
  </r>
  <r>
    <s v="TXN00186"/>
    <x v="931"/>
    <x v="0"/>
    <s v="SEK"/>
    <x v="1"/>
    <x v="0"/>
    <n v="2547.36"/>
    <x v="1"/>
    <x v="0"/>
    <n v="2.9"/>
    <n v="8.7400000000000005E-2"/>
    <n v="6.8492264"/>
    <n v="229.34199279999999"/>
    <n v="236.19121919999998"/>
    <x v="11"/>
  </r>
  <r>
    <s v="TXN00140"/>
    <x v="932"/>
    <x v="0"/>
    <s v="SEK"/>
    <x v="0"/>
    <x v="4"/>
    <n v="3713.92"/>
    <x v="1"/>
    <x v="0"/>
    <n v="2.5"/>
    <n v="8.7400000000000005E-2"/>
    <n v="8.6090519999999984"/>
    <n v="335.74561039999998"/>
    <n v="344.3546624"/>
    <x v="11"/>
  </r>
  <r>
    <s v="TXN00955"/>
    <x v="933"/>
    <x v="0"/>
    <s v="SEK"/>
    <x v="1"/>
    <x v="3"/>
    <n v="1980.72"/>
    <x v="1"/>
    <x v="0"/>
    <n v="2.9"/>
    <n v="8.7400000000000005E-2"/>
    <n v="5.3258367999999994"/>
    <n v="178.32652159999998"/>
    <n v="183.65235839999997"/>
    <x v="11"/>
  </r>
  <r>
    <s v="TXN00510"/>
    <x v="934"/>
    <x v="3"/>
    <s v="EUR"/>
    <x v="2"/>
    <x v="4"/>
    <n v="3474.62"/>
    <x v="1"/>
    <x v="0"/>
    <n v="1.9"/>
    <n v="1"/>
    <n v="66.02"/>
    <n v="3408.6"/>
    <n v="3474.62"/>
    <x v="11"/>
  </r>
  <r>
    <s v="TXN00968"/>
    <x v="935"/>
    <x v="5"/>
    <s v="PLN"/>
    <x v="0"/>
    <x v="2"/>
    <n v="3112.99"/>
    <x v="1"/>
    <x v="0"/>
    <n v="2.5"/>
    <n v="0.23269999999999999"/>
    <n v="18.116495999999998"/>
    <n v="706.58757600000001"/>
    <n v="724.704072"/>
    <x v="11"/>
  </r>
  <r>
    <s v="TXN00659"/>
    <x v="936"/>
    <x v="6"/>
    <s v="EUR"/>
    <x v="2"/>
    <x v="4"/>
    <n v="2528.6"/>
    <x v="1"/>
    <x v="0"/>
    <n v="1.9"/>
    <n v="1"/>
    <n v="48.04"/>
    <n v="2480.56"/>
    <n v="2528.6"/>
    <x v="11"/>
  </r>
  <r>
    <s v="TXN00136"/>
    <x v="937"/>
    <x v="7"/>
    <s v="EUR"/>
    <x v="2"/>
    <x v="0"/>
    <n v="4113.8599999999997"/>
    <x v="1"/>
    <x v="0"/>
    <n v="1.9"/>
    <n v="1"/>
    <n v="78.16"/>
    <n v="4035.7"/>
    <n v="4113.8599999999997"/>
    <x v="11"/>
  </r>
  <r>
    <s v="TXN00579"/>
    <x v="938"/>
    <x v="2"/>
    <s v="EUR"/>
    <x v="1"/>
    <x v="2"/>
    <n v="443.35"/>
    <x v="1"/>
    <x v="0"/>
    <n v="2.9"/>
    <n v="1"/>
    <n v="12.86"/>
    <n v="430.49"/>
    <n v="443.35"/>
    <x v="11"/>
  </r>
  <r>
    <s v="TXN00137"/>
    <x v="939"/>
    <x v="9"/>
    <s v="EUR"/>
    <x v="2"/>
    <x v="4"/>
    <n v="1646.75"/>
    <x v="0"/>
    <x v="0"/>
    <n v="1.9"/>
    <n v="1"/>
    <n v="0"/>
    <n v="0"/>
    <n v="0"/>
    <x v="11"/>
  </r>
  <r>
    <s v="TXN00557"/>
    <x v="940"/>
    <x v="2"/>
    <s v="EUR"/>
    <x v="2"/>
    <x v="2"/>
    <n v="3239.82"/>
    <x v="2"/>
    <x v="4"/>
    <n v="1.9"/>
    <n v="1"/>
    <n v="0"/>
    <n v="0"/>
    <n v="0"/>
    <x v="11"/>
  </r>
  <r>
    <s v="TXN00356"/>
    <x v="941"/>
    <x v="3"/>
    <s v="EUR"/>
    <x v="2"/>
    <x v="1"/>
    <n v="3142.79"/>
    <x v="2"/>
    <x v="2"/>
    <n v="1.9"/>
    <n v="1"/>
    <n v="0"/>
    <n v="0"/>
    <n v="0"/>
    <x v="11"/>
  </r>
  <r>
    <s v="TXN00993"/>
    <x v="942"/>
    <x v="1"/>
    <s v="NOK"/>
    <x v="2"/>
    <x v="4"/>
    <n v="3896.34"/>
    <x v="1"/>
    <x v="0"/>
    <n v="1.9"/>
    <n v="8.5999999999999993E-2"/>
    <n v="6.5627595000000003"/>
    <n v="338.8477815"/>
    <n v="345.41054100000002"/>
    <x v="11"/>
  </r>
  <r>
    <s v="TXN00311"/>
    <x v="943"/>
    <x v="8"/>
    <s v="EUR"/>
    <x v="4"/>
    <x v="3"/>
    <n v="2508.96"/>
    <x v="1"/>
    <x v="0"/>
    <n v="2.1"/>
    <n v="1"/>
    <n v="52.69"/>
    <n v="2456.27"/>
    <n v="2508.96"/>
    <x v="11"/>
  </r>
  <r>
    <s v="TXN00591"/>
    <x v="944"/>
    <x v="1"/>
    <s v="NOK"/>
    <x v="1"/>
    <x v="4"/>
    <n v="4790.3900000000003"/>
    <x v="2"/>
    <x v="3"/>
    <n v="2.9"/>
    <n v="8.5999999999999993E-2"/>
    <n v="0"/>
    <n v="0"/>
    <n v="0"/>
    <x v="11"/>
  </r>
  <r>
    <s v="TXN00769"/>
    <x v="945"/>
    <x v="5"/>
    <s v="PLN"/>
    <x v="2"/>
    <x v="3"/>
    <n v="3367.28"/>
    <x v="1"/>
    <x v="0"/>
    <n v="1.9"/>
    <n v="0.23269999999999999"/>
    <n v="14.894544"/>
    <n v="769.00824000000011"/>
    <n v="783.90278400000011"/>
    <x v="11"/>
  </r>
  <r>
    <s v="TXN00836"/>
    <x v="946"/>
    <x v="7"/>
    <s v="EUR"/>
    <x v="1"/>
    <x v="0"/>
    <n v="3091.43"/>
    <x v="1"/>
    <x v="0"/>
    <n v="2.9"/>
    <n v="1"/>
    <n v="89.65"/>
    <n v="3001.78"/>
    <n v="3091.4300000000003"/>
    <x v="11"/>
  </r>
  <r>
    <s v="TXN00166"/>
    <x v="947"/>
    <x v="6"/>
    <s v="EUR"/>
    <x v="2"/>
    <x v="1"/>
    <n v="236.63"/>
    <x v="2"/>
    <x v="5"/>
    <n v="1.9"/>
    <n v="1"/>
    <n v="0"/>
    <n v="0"/>
    <n v="0"/>
    <x v="11"/>
  </r>
  <r>
    <s v="TXN00249"/>
    <x v="948"/>
    <x v="1"/>
    <s v="NOK"/>
    <x v="1"/>
    <x v="2"/>
    <n v="104.5"/>
    <x v="1"/>
    <x v="0"/>
    <n v="2.9"/>
    <n v="8.5999999999999993E-2"/>
    <n v="0.2686095"/>
    <n v="8.9953155000000002"/>
    <n v="9.2639250000000004"/>
    <x v="11"/>
  </r>
  <r>
    <s v="TXN00571"/>
    <x v="949"/>
    <x v="2"/>
    <s v="EUR"/>
    <x v="0"/>
    <x v="4"/>
    <n v="3921.1"/>
    <x v="2"/>
    <x v="1"/>
    <n v="2.5"/>
    <n v="1"/>
    <n v="0"/>
    <n v="0"/>
    <n v="0"/>
    <x v="11"/>
  </r>
  <r>
    <s v="TXN00016"/>
    <x v="950"/>
    <x v="0"/>
    <s v="SEK"/>
    <x v="3"/>
    <x v="1"/>
    <n v="566.65"/>
    <x v="2"/>
    <x v="1"/>
    <n v="3.2"/>
    <n v="8.7400000000000005E-2"/>
    <n v="0"/>
    <n v="0"/>
    <n v="0"/>
    <x v="11"/>
  </r>
  <r>
    <s v="TXN00589"/>
    <x v="951"/>
    <x v="2"/>
    <s v="EUR"/>
    <x v="4"/>
    <x v="2"/>
    <n v="4364.99"/>
    <x v="1"/>
    <x v="0"/>
    <n v="2.1"/>
    <n v="1"/>
    <n v="91.66"/>
    <n v="4273.33"/>
    <n v="4364.99"/>
    <x v="11"/>
  </r>
  <r>
    <s v="TXN00125"/>
    <x v="952"/>
    <x v="1"/>
    <s v="NOK"/>
    <x v="4"/>
    <x v="2"/>
    <n v="2311.14"/>
    <x v="1"/>
    <x v="0"/>
    <n v="2.1"/>
    <n v="8.5999999999999993E-2"/>
    <n v="4.3021845000000001"/>
    <n v="200.58037650000003"/>
    <n v="204.88256100000004"/>
    <x v="11"/>
  </r>
  <r>
    <s v="TXN00439"/>
    <x v="953"/>
    <x v="3"/>
    <s v="EUR"/>
    <x v="2"/>
    <x v="1"/>
    <n v="1605.55"/>
    <x v="1"/>
    <x v="0"/>
    <n v="1.9"/>
    <n v="1"/>
    <n v="30.51"/>
    <n v="1575.04"/>
    <n v="1605.55"/>
    <x v="11"/>
  </r>
  <r>
    <s v="TXN00817"/>
    <x v="954"/>
    <x v="5"/>
    <s v="PLN"/>
    <x v="1"/>
    <x v="4"/>
    <n v="4727.16"/>
    <x v="1"/>
    <x v="0"/>
    <n v="2.9"/>
    <n v="0.23269999999999999"/>
    <n v="31.914552"/>
    <n v="1068.5682959999999"/>
    <n v="1100.4828479999999"/>
    <x v="11"/>
  </r>
  <r>
    <s v="TXN00666"/>
    <x v="955"/>
    <x v="4"/>
    <s v="GBP"/>
    <x v="1"/>
    <x v="3"/>
    <n v="1222.81"/>
    <x v="0"/>
    <x v="0"/>
    <n v="2.9"/>
    <n v="1.1801999999999999"/>
    <n v="0"/>
    <n v="0"/>
    <n v="0"/>
    <x v="11"/>
  </r>
  <r>
    <s v="TXN00799"/>
    <x v="956"/>
    <x v="3"/>
    <s v="EUR"/>
    <x v="4"/>
    <x v="3"/>
    <n v="279.60000000000002"/>
    <x v="1"/>
    <x v="0"/>
    <n v="2.1"/>
    <n v="1"/>
    <n v="5.87"/>
    <n v="273.73"/>
    <n v="279.60000000000002"/>
    <x v="11"/>
  </r>
  <r>
    <s v="TXN00882"/>
    <x v="957"/>
    <x v="6"/>
    <s v="EUR"/>
    <x v="0"/>
    <x v="4"/>
    <n v="4273.21"/>
    <x v="0"/>
    <x v="0"/>
    <n v="2.5"/>
    <n v="1"/>
    <n v="0"/>
    <n v="0"/>
    <n v="0"/>
    <x v="11"/>
  </r>
  <r>
    <s v="TXN00490"/>
    <x v="958"/>
    <x v="3"/>
    <s v="EUR"/>
    <x v="0"/>
    <x v="0"/>
    <n v="573.55999999999995"/>
    <x v="2"/>
    <x v="2"/>
    <n v="2.5"/>
    <n v="1"/>
    <n v="0"/>
    <n v="0"/>
    <n v="0"/>
    <x v="11"/>
  </r>
  <r>
    <s v="TXN00151"/>
    <x v="959"/>
    <x v="6"/>
    <s v="EUR"/>
    <x v="1"/>
    <x v="3"/>
    <n v="1617.34"/>
    <x v="1"/>
    <x v="0"/>
    <n v="2.9"/>
    <n v="1"/>
    <n v="46.9"/>
    <n v="1570.44"/>
    <n v="1617.3400000000001"/>
    <x v="11"/>
  </r>
  <r>
    <s v="TXN00529"/>
    <x v="960"/>
    <x v="6"/>
    <s v="EUR"/>
    <x v="3"/>
    <x v="3"/>
    <n v="446.73"/>
    <x v="1"/>
    <x v="0"/>
    <n v="3.2"/>
    <n v="1"/>
    <n v="14.3"/>
    <n v="432.43"/>
    <n v="446.73"/>
    <x v="11"/>
  </r>
  <r>
    <s v="TXN00927"/>
    <x v="961"/>
    <x v="8"/>
    <s v="EUR"/>
    <x v="0"/>
    <x v="4"/>
    <n v="1288.57"/>
    <x v="1"/>
    <x v="0"/>
    <n v="2.5"/>
    <n v="1"/>
    <n v="32.21"/>
    <n v="1256.3599999999999"/>
    <n v="1288.57"/>
    <x v="11"/>
  </r>
  <r>
    <s v="TXN00462"/>
    <x v="962"/>
    <x v="6"/>
    <s v="EUR"/>
    <x v="3"/>
    <x v="4"/>
    <n v="1507.97"/>
    <x v="1"/>
    <x v="0"/>
    <n v="3.2"/>
    <n v="1"/>
    <n v="48.26"/>
    <n v="1459.71"/>
    <n v="1507.97"/>
    <x v="11"/>
  </r>
  <r>
    <s v="TXN00723"/>
    <x v="963"/>
    <x v="4"/>
    <s v="GBP"/>
    <x v="3"/>
    <x v="0"/>
    <n v="4447.04"/>
    <x v="1"/>
    <x v="0"/>
    <n v="3.2"/>
    <n v="1.1801999999999999"/>
    <n v="163.51419000000001"/>
    <n v="4946.1347699999997"/>
    <n v="5109.6489599999995"/>
    <x v="11"/>
  </r>
  <r>
    <s v="TXN00371"/>
    <x v="964"/>
    <x v="7"/>
    <s v="EUR"/>
    <x v="4"/>
    <x v="4"/>
    <n v="3038.57"/>
    <x v="1"/>
    <x v="0"/>
    <n v="2.1"/>
    <n v="1"/>
    <n v="63.81"/>
    <n v="2974.76"/>
    <n v="3038.57"/>
    <x v="11"/>
  </r>
  <r>
    <s v="TXN00816"/>
    <x v="965"/>
    <x v="9"/>
    <s v="EUR"/>
    <x v="3"/>
    <x v="0"/>
    <n v="3766.91"/>
    <x v="0"/>
    <x v="0"/>
    <n v="3.2"/>
    <n v="1"/>
    <n v="0"/>
    <n v="0"/>
    <n v="0"/>
    <x v="11"/>
  </r>
  <r>
    <s v="TXN00142"/>
    <x v="966"/>
    <x v="6"/>
    <s v="EUR"/>
    <x v="0"/>
    <x v="2"/>
    <n v="4278.7"/>
    <x v="1"/>
    <x v="0"/>
    <n v="2.5"/>
    <n v="1"/>
    <n v="106.97"/>
    <n v="4171.7299999999996"/>
    <n v="4278.7"/>
    <x v="11"/>
  </r>
  <r>
    <s v="TXN00691"/>
    <x v="967"/>
    <x v="3"/>
    <s v="EUR"/>
    <x v="0"/>
    <x v="0"/>
    <n v="461.3"/>
    <x v="0"/>
    <x v="0"/>
    <n v="2.5"/>
    <n v="1"/>
    <n v="0"/>
    <n v="0"/>
    <n v="0"/>
    <x v="11"/>
  </r>
  <r>
    <s v="TXN00957"/>
    <x v="968"/>
    <x v="8"/>
    <s v="EUR"/>
    <x v="3"/>
    <x v="3"/>
    <n v="634.20000000000005"/>
    <x v="1"/>
    <x v="0"/>
    <n v="3.2"/>
    <n v="1"/>
    <n v="20.29"/>
    <n v="613.91"/>
    <n v="634.19999999999993"/>
    <x v="11"/>
  </r>
  <r>
    <s v="TXN00190"/>
    <x v="969"/>
    <x v="3"/>
    <s v="EUR"/>
    <x v="0"/>
    <x v="3"/>
    <n v="2060.1799999999998"/>
    <x v="1"/>
    <x v="0"/>
    <n v="2.5"/>
    <n v="1"/>
    <n v="51.5"/>
    <n v="2008.68"/>
    <n v="2060.1800000000003"/>
    <x v="11"/>
  </r>
  <r>
    <s v="TXN00705"/>
    <x v="970"/>
    <x v="0"/>
    <s v="SEK"/>
    <x v="0"/>
    <x v="4"/>
    <n v="1057.1300000000001"/>
    <x v="1"/>
    <x v="0"/>
    <n v="2.5"/>
    <n v="8.7400000000000005E-2"/>
    <n v="2.4505895999999998"/>
    <n v="95.566503999999995"/>
    <n v="98.017093599999995"/>
    <x v="11"/>
  </r>
  <r>
    <s v="TXN00541"/>
    <x v="971"/>
    <x v="1"/>
    <s v="NOK"/>
    <x v="2"/>
    <x v="1"/>
    <n v="4040.42"/>
    <x v="2"/>
    <x v="1"/>
    <n v="1.9"/>
    <n v="8.5999999999999993E-2"/>
    <n v="0"/>
    <n v="0"/>
    <n v="0"/>
    <x v="11"/>
  </r>
  <r>
    <s v="TXN00669"/>
    <x v="972"/>
    <x v="9"/>
    <s v="EUR"/>
    <x v="0"/>
    <x v="4"/>
    <n v="4531.1400000000003"/>
    <x v="0"/>
    <x v="0"/>
    <n v="2.5"/>
    <n v="1"/>
    <n v="0"/>
    <n v="0"/>
    <n v="0"/>
    <x v="11"/>
  </r>
  <r>
    <s v="TXN00198"/>
    <x v="973"/>
    <x v="6"/>
    <s v="EUR"/>
    <x v="0"/>
    <x v="4"/>
    <n v="36.200000000000003"/>
    <x v="1"/>
    <x v="0"/>
    <n v="2.5"/>
    <n v="1"/>
    <n v="0.91"/>
    <n v="35.29"/>
    <n v="36.199999999999996"/>
    <x v="11"/>
  </r>
  <r>
    <s v="TXN00055"/>
    <x v="974"/>
    <x v="3"/>
    <s v="EUR"/>
    <x v="4"/>
    <x v="0"/>
    <n v="3328"/>
    <x v="2"/>
    <x v="1"/>
    <n v="2.1"/>
    <n v="1"/>
    <n v="0"/>
    <n v="0"/>
    <n v="0"/>
    <x v="11"/>
  </r>
  <r>
    <s v="TXN00078"/>
    <x v="975"/>
    <x v="1"/>
    <s v="NOK"/>
    <x v="1"/>
    <x v="4"/>
    <n v="3915.35"/>
    <x v="1"/>
    <x v="0"/>
    <n v="2.9"/>
    <n v="8.5999999999999993E-2"/>
    <n v="10.066207500000001"/>
    <n v="337.02957000000004"/>
    <n v="347.09577750000005"/>
    <x v="11"/>
  </r>
  <r>
    <s v="TXN00749"/>
    <x v="976"/>
    <x v="8"/>
    <s v="EUR"/>
    <x v="2"/>
    <x v="2"/>
    <n v="2277.4299999999998"/>
    <x v="2"/>
    <x v="5"/>
    <n v="1.9"/>
    <n v="1"/>
    <n v="0"/>
    <n v="0"/>
    <n v="0"/>
    <x v="11"/>
  </r>
  <r>
    <s v="TXN00092"/>
    <x v="977"/>
    <x v="6"/>
    <s v="EUR"/>
    <x v="1"/>
    <x v="3"/>
    <n v="2874.58"/>
    <x v="2"/>
    <x v="2"/>
    <n v="2.9"/>
    <n v="1"/>
    <n v="0"/>
    <n v="0"/>
    <n v="0"/>
    <x v="11"/>
  </r>
  <r>
    <s v="TXN00984"/>
    <x v="978"/>
    <x v="8"/>
    <s v="EUR"/>
    <x v="4"/>
    <x v="1"/>
    <n v="430.56"/>
    <x v="0"/>
    <x v="0"/>
    <n v="2.1"/>
    <n v="1"/>
    <n v="0"/>
    <n v="0"/>
    <n v="0"/>
    <x v="11"/>
  </r>
  <r>
    <s v="TXN00866"/>
    <x v="979"/>
    <x v="6"/>
    <s v="EUR"/>
    <x v="1"/>
    <x v="2"/>
    <n v="4175.3599999999997"/>
    <x v="2"/>
    <x v="2"/>
    <n v="2.9"/>
    <n v="1"/>
    <n v="0"/>
    <n v="0"/>
    <n v="0"/>
    <x v="11"/>
  </r>
  <r>
    <s v="TXN00587"/>
    <x v="980"/>
    <x v="7"/>
    <s v="EUR"/>
    <x v="1"/>
    <x v="0"/>
    <n v="3371.75"/>
    <x v="1"/>
    <x v="0"/>
    <n v="2.9"/>
    <n v="1"/>
    <n v="97.78"/>
    <n v="3273.97"/>
    <n v="3371.75"/>
    <x v="11"/>
  </r>
  <r>
    <s v="TXN00009"/>
    <x v="981"/>
    <x v="4"/>
    <s v="GBP"/>
    <x v="2"/>
    <x v="2"/>
    <n v="2675.36"/>
    <x v="1"/>
    <x v="0"/>
    <n v="1.9"/>
    <n v="1.1801999999999999"/>
    <n v="58.403669999999998"/>
    <n v="3015.5849700000003"/>
    <n v="3073.9886400000005"/>
    <x v="11"/>
  </r>
  <r>
    <s v="TXN00254"/>
    <x v="982"/>
    <x v="6"/>
    <s v="EUR"/>
    <x v="3"/>
    <x v="0"/>
    <n v="1750.53"/>
    <x v="1"/>
    <x v="0"/>
    <n v="3.2"/>
    <n v="1"/>
    <n v="56.02"/>
    <n v="1694.51"/>
    <n v="1750.53"/>
    <x v="11"/>
  </r>
  <r>
    <s v="TXN00354"/>
    <x v="983"/>
    <x v="1"/>
    <s v="NOK"/>
    <x v="3"/>
    <x v="4"/>
    <n v="4927.59"/>
    <x v="1"/>
    <x v="0"/>
    <n v="3.2"/>
    <n v="8.5999999999999993E-2"/>
    <n v="13.978332000000002"/>
    <n v="422.85252150000002"/>
    <n v="436.83085350000005"/>
    <x v="11"/>
  </r>
  <r>
    <s v="TXN00815"/>
    <x v="984"/>
    <x v="5"/>
    <s v="PLN"/>
    <x v="0"/>
    <x v="3"/>
    <n v="4303.3100000000004"/>
    <x v="1"/>
    <x v="0"/>
    <n v="2.5"/>
    <n v="0.23269999999999999"/>
    <n v="25.044623999999999"/>
    <n v="976.76594399999988"/>
    <n v="1001.8105679999999"/>
    <x v="11"/>
  </r>
  <r>
    <s v="TXN00814"/>
    <x v="985"/>
    <x v="1"/>
    <s v="NOK"/>
    <x v="2"/>
    <x v="3"/>
    <n v="4882.34"/>
    <x v="2"/>
    <x v="1"/>
    <n v="1.9"/>
    <n v="8.5999999999999993E-2"/>
    <n v="0"/>
    <n v="0"/>
    <n v="0"/>
    <x v="11"/>
  </r>
  <r>
    <s v="TXN00251"/>
    <x v="986"/>
    <x v="2"/>
    <s v="EUR"/>
    <x v="2"/>
    <x v="1"/>
    <n v="4990.63"/>
    <x v="2"/>
    <x v="5"/>
    <n v="1.9"/>
    <n v="1"/>
    <n v="0"/>
    <n v="0"/>
    <n v="0"/>
    <x v="11"/>
  </r>
  <r>
    <s v="TXN00099"/>
    <x v="987"/>
    <x v="6"/>
    <s v="EUR"/>
    <x v="1"/>
    <x v="2"/>
    <n v="4620.32"/>
    <x v="0"/>
    <x v="0"/>
    <n v="2.9"/>
    <n v="1"/>
    <n v="0"/>
    <n v="0"/>
    <n v="0"/>
    <x v="11"/>
  </r>
  <r>
    <s v="TXN00935"/>
    <x v="988"/>
    <x v="4"/>
    <s v="GBP"/>
    <x v="0"/>
    <x v="3"/>
    <n v="2213.1799999999998"/>
    <x v="0"/>
    <x v="0"/>
    <n v="2.5"/>
    <n v="1.1801999999999999"/>
    <n v="0"/>
    <n v="0"/>
    <n v="0"/>
    <x v="11"/>
  </r>
  <r>
    <s v="TXN00772"/>
    <x v="989"/>
    <x v="1"/>
    <s v="NOK"/>
    <x v="4"/>
    <x v="0"/>
    <n v="3285.41"/>
    <x v="0"/>
    <x v="0"/>
    <n v="2.1"/>
    <n v="8.5999999999999993E-2"/>
    <n v="0"/>
    <n v="0"/>
    <n v="0"/>
    <x v="11"/>
  </r>
  <r>
    <s v="TXN00301"/>
    <x v="990"/>
    <x v="2"/>
    <s v="EUR"/>
    <x v="2"/>
    <x v="0"/>
    <n v="1872.27"/>
    <x v="0"/>
    <x v="0"/>
    <n v="1.9"/>
    <n v="1"/>
    <n v="0"/>
    <n v="0"/>
    <n v="0"/>
    <x v="11"/>
  </r>
  <r>
    <s v="TXN00709"/>
    <x v="991"/>
    <x v="9"/>
    <s v="EUR"/>
    <x v="1"/>
    <x v="3"/>
    <n v="2329.7800000000002"/>
    <x v="1"/>
    <x v="0"/>
    <n v="2.9"/>
    <n v="1"/>
    <n v="67.56"/>
    <n v="2262.2199999999998"/>
    <n v="2329.7799999999997"/>
    <x v="11"/>
  </r>
  <r>
    <s v="TXN00246"/>
    <x v="992"/>
    <x v="6"/>
    <s v="EUR"/>
    <x v="1"/>
    <x v="1"/>
    <n v="1662.89"/>
    <x v="1"/>
    <x v="0"/>
    <n v="2.9"/>
    <n v="1"/>
    <n v="48.22"/>
    <n v="1614.67"/>
    <n v="1662.89"/>
    <x v="11"/>
  </r>
  <r>
    <s v="TXN00422"/>
    <x v="993"/>
    <x v="5"/>
    <s v="PLN"/>
    <x v="0"/>
    <x v="3"/>
    <n v="1333.41"/>
    <x v="1"/>
    <x v="0"/>
    <n v="2.5"/>
    <n v="0.23269999999999999"/>
    <n v="7.7615520000000009"/>
    <n v="302.656296"/>
    <n v="310.41784799999999"/>
    <x v="11"/>
  </r>
  <r>
    <s v="TXN00718"/>
    <x v="994"/>
    <x v="8"/>
    <s v="EUR"/>
    <x v="1"/>
    <x v="0"/>
    <n v="4386.47"/>
    <x v="1"/>
    <x v="0"/>
    <n v="2.9"/>
    <n v="1"/>
    <n v="127.21"/>
    <n v="4259.26"/>
    <n v="4386.47"/>
    <x v="11"/>
  </r>
  <r>
    <s v="TXN00858"/>
    <x v="995"/>
    <x v="4"/>
    <s v="GBP"/>
    <x v="4"/>
    <x v="2"/>
    <n v="4285.51"/>
    <x v="1"/>
    <x v="0"/>
    <n v="2.1"/>
    <n v="1.1801999999999999"/>
    <n v="103.41"/>
    <n v="4820.6409900000008"/>
    <n v="4924.0509900000006"/>
    <x v="11"/>
  </r>
  <r>
    <s v="TXN00310"/>
    <x v="996"/>
    <x v="4"/>
    <s v="GBP"/>
    <x v="3"/>
    <x v="2"/>
    <n v="2824.15"/>
    <x v="0"/>
    <x v="0"/>
    <n v="3.2"/>
    <n v="1.1801999999999999"/>
    <n v="0"/>
    <n v="0"/>
    <n v="0"/>
    <x v="11"/>
  </r>
  <r>
    <s v="TXN00995"/>
    <x v="997"/>
    <x v="0"/>
    <s v="SEK"/>
    <x v="2"/>
    <x v="3"/>
    <n v="3475.41"/>
    <x v="2"/>
    <x v="2"/>
    <n v="1.9"/>
    <n v="8.7400000000000005E-2"/>
    <n v="0"/>
    <n v="0"/>
    <n v="0"/>
    <x v="11"/>
  </r>
  <r>
    <s v="TXN00830"/>
    <x v="998"/>
    <x v="3"/>
    <s v="EUR"/>
    <x v="4"/>
    <x v="2"/>
    <n v="814.66"/>
    <x v="1"/>
    <x v="0"/>
    <n v="2.1"/>
    <n v="1"/>
    <n v="17.11"/>
    <n v="797.55"/>
    <n v="814.66"/>
    <x v="11"/>
  </r>
  <r>
    <s v="TXN00509"/>
    <x v="999"/>
    <x v="0"/>
    <s v="SEK"/>
    <x v="4"/>
    <x v="2"/>
    <n v="1056.47"/>
    <x v="1"/>
    <x v="0"/>
    <n v="2.1"/>
    <n v="8.7400000000000005E-2"/>
    <n v="2.0574568000000002"/>
    <n v="95.898441599999998"/>
    <n v="97.955898399999995"/>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E586ED3-50AC-414B-8A80-59A4CEDDF78D}" name="Revenue_Tren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G8" firstHeaderRow="1" firstDataRow="2" firstDataCol="1"/>
  <pivotFields count="15">
    <pivotField showAll="0"/>
    <pivotField numFmtId="169"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88"/>
        <item x="489"/>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axis="axisCol" showAll="0">
      <items count="6">
        <item x="4"/>
        <item x="2"/>
        <item x="3"/>
        <item x="1"/>
        <item x="0"/>
        <item t="default"/>
      </items>
    </pivotField>
    <pivotField showAll="0">
      <items count="6">
        <item x="0"/>
        <item x="3"/>
        <item x="4"/>
        <item x="2"/>
        <item x="1"/>
        <item t="default"/>
      </items>
    </pivotField>
    <pivotField numFmtId="4" showAll="0"/>
    <pivotField showAll="0"/>
    <pivotField showAll="0"/>
    <pivotField showAll="0"/>
    <pivotField numFmtId="167" showAll="0"/>
    <pivotField numFmtId="4" showAll="0"/>
    <pivotField dataField="1" numFmtId="4" showAll="0"/>
    <pivotField numFmtId="4" showAll="0"/>
    <pivotField axis="axisRow" showAll="0">
      <items count="13">
        <item x="0"/>
        <item x="1"/>
        <item x="2"/>
        <item h="1" x="3"/>
        <item h="1" x="4"/>
        <item h="1" x="5"/>
        <item h="1" x="6"/>
        <item h="1" x="7"/>
        <item h="1" x="8"/>
        <item h="1" x="9"/>
        <item h="1" x="10"/>
        <item h="1" x="11"/>
        <item t="default"/>
      </items>
    </pivotField>
  </pivotFields>
  <rowFields count="1">
    <field x="14"/>
  </rowFields>
  <rowItems count="4">
    <i>
      <x/>
    </i>
    <i>
      <x v="1"/>
    </i>
    <i>
      <x v="2"/>
    </i>
    <i t="grand">
      <x/>
    </i>
  </rowItems>
  <colFields count="1">
    <field x="4"/>
  </colFields>
  <colItems count="6">
    <i>
      <x/>
    </i>
    <i>
      <x v="1"/>
    </i>
    <i>
      <x v="2"/>
    </i>
    <i>
      <x v="3"/>
    </i>
    <i>
      <x v="4"/>
    </i>
    <i t="grand">
      <x/>
    </i>
  </colItems>
  <dataFields count="1">
    <dataField name="Sum of Net Amount EUR" fld="12" baseField="0" baseItem="0" numFmtId="165"/>
  </dataFields>
  <formats count="3">
    <format dxfId="2">
      <pivotArea outline="0" collapsedLevelsAreSubtotals="1" fieldPosition="0"/>
    </format>
    <format dxfId="1">
      <pivotArea dataOnly="0" labelOnly="1" fieldPosition="0">
        <references count="1">
          <reference field="4" count="0"/>
        </references>
      </pivotArea>
    </format>
    <format dxfId="0">
      <pivotArea dataOnly="0" labelOnly="1" grandCol="1" outline="0" fieldPosition="0"/>
    </format>
  </formats>
  <chartFormats count="6">
    <chartFormat chart="3" format="10" series="1">
      <pivotArea type="data" outline="0" fieldPosition="0">
        <references count="2">
          <reference field="4294967294" count="1" selected="0">
            <x v="0"/>
          </reference>
          <reference field="4" count="1" selected="0">
            <x v="0"/>
          </reference>
        </references>
      </pivotArea>
    </chartFormat>
    <chartFormat chart="3" format="11" series="1">
      <pivotArea type="data" outline="0" fieldPosition="0">
        <references count="2">
          <reference field="4294967294" count="1" selected="0">
            <x v="0"/>
          </reference>
          <reference field="4" count="1" selected="0">
            <x v="1"/>
          </reference>
        </references>
      </pivotArea>
    </chartFormat>
    <chartFormat chart="3" format="12" series="1">
      <pivotArea type="data" outline="0" fieldPosition="0">
        <references count="2">
          <reference field="4294967294" count="1" selected="0">
            <x v="0"/>
          </reference>
          <reference field="4" count="1" selected="0">
            <x v="2"/>
          </reference>
        </references>
      </pivotArea>
    </chartFormat>
    <chartFormat chart="3" format="13" series="1">
      <pivotArea type="data" outline="0" fieldPosition="0">
        <references count="2">
          <reference field="4294967294" count="1" selected="0">
            <x v="0"/>
          </reference>
          <reference field="4" count="1" selected="0">
            <x v="3"/>
          </reference>
        </references>
      </pivotArea>
    </chartFormat>
    <chartFormat chart="3" format="14" series="1">
      <pivotArea type="data" outline="0" fieldPosition="0">
        <references count="2">
          <reference field="4294967294" count="1" selected="0">
            <x v="0"/>
          </reference>
          <reference field="4" count="1" selected="0">
            <x v="4"/>
          </reference>
        </references>
      </pivotArea>
    </chartFormat>
    <chartFormat chart="3" format="1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13" name="Date &amp; Tim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20A644-BF7A-4824-B3E4-38EDC32CD124}" name="Payment_Method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D3:AJ15" firstHeaderRow="1" firstDataRow="2" firstDataCol="1"/>
  <pivotFields count="15">
    <pivotField showAll="0"/>
    <pivotField numFmtId="169"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88"/>
        <item x="489"/>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11">
        <item x="8"/>
        <item x="9"/>
        <item x="2"/>
        <item x="3"/>
        <item x="4"/>
        <item x="7"/>
        <item x="6"/>
        <item x="1"/>
        <item x="5"/>
        <item x="0"/>
        <item t="default"/>
      </items>
    </pivotField>
    <pivotField showAll="0"/>
    <pivotField showAll="0">
      <items count="6">
        <item x="4"/>
        <item x="2"/>
        <item x="3"/>
        <item x="1"/>
        <item x="0"/>
        <item t="default"/>
      </items>
    </pivotField>
    <pivotField axis="axisCol" showAll="0">
      <items count="6">
        <item x="0"/>
        <item x="3"/>
        <item x="4"/>
        <item x="2"/>
        <item x="1"/>
        <item t="default"/>
      </items>
    </pivotField>
    <pivotField numFmtId="4" showAll="0"/>
    <pivotField showAll="0"/>
    <pivotField showAll="0"/>
    <pivotField showAll="0"/>
    <pivotField numFmtId="167" showAll="0"/>
    <pivotField numFmtId="4" showAll="0"/>
    <pivotField dataField="1" numFmtId="4" showAll="0"/>
    <pivotField numFmtId="4" showAll="0"/>
    <pivotField showAll="0"/>
  </pivotFields>
  <rowFields count="1">
    <field x="2"/>
  </rowFields>
  <rowItems count="11">
    <i>
      <x/>
    </i>
    <i>
      <x v="1"/>
    </i>
    <i>
      <x v="2"/>
    </i>
    <i>
      <x v="3"/>
    </i>
    <i>
      <x v="4"/>
    </i>
    <i>
      <x v="5"/>
    </i>
    <i>
      <x v="6"/>
    </i>
    <i>
      <x v="7"/>
    </i>
    <i>
      <x v="8"/>
    </i>
    <i>
      <x v="9"/>
    </i>
    <i t="grand">
      <x/>
    </i>
  </rowItems>
  <colFields count="1">
    <field x="5"/>
  </colFields>
  <colItems count="6">
    <i>
      <x/>
    </i>
    <i>
      <x v="1"/>
    </i>
    <i>
      <x v="2"/>
    </i>
    <i>
      <x v="3"/>
    </i>
    <i>
      <x v="4"/>
    </i>
    <i t="grand">
      <x/>
    </i>
  </colItems>
  <dataFields count="1">
    <dataField name="Sum of Net Amount EUR" fld="12" baseField="0" baseItem="0" numFmtId="165"/>
  </dataFields>
  <formats count="2">
    <format dxfId="4">
      <pivotArea dataOnly="0" labelOnly="1" grandCol="1" outline="0" fieldPosition="0"/>
    </format>
    <format dxfId="3">
      <pivotArea outline="0" collapsedLevelsAreSubtotals="1" fieldPosition="0"/>
    </format>
  </formats>
  <chartFormats count="7">
    <chartFormat chart="3" format="10" series="1">
      <pivotArea type="data" outline="0" fieldPosition="0">
        <references count="2">
          <reference field="4294967294" count="1" selected="0">
            <x v="0"/>
          </reference>
          <reference field="5" count="1" selected="0">
            <x v="0"/>
          </reference>
        </references>
      </pivotArea>
    </chartFormat>
    <chartFormat chart="3" format="11" series="1">
      <pivotArea type="data" outline="0" fieldPosition="0">
        <references count="2">
          <reference field="4294967294" count="1" selected="0">
            <x v="0"/>
          </reference>
          <reference field="5" count="1" selected="0">
            <x v="1"/>
          </reference>
        </references>
      </pivotArea>
    </chartFormat>
    <chartFormat chart="3" format="12" series="1">
      <pivotArea type="data" outline="0" fieldPosition="0">
        <references count="2">
          <reference field="4294967294" count="1" selected="0">
            <x v="0"/>
          </reference>
          <reference field="5" count="1" selected="0">
            <x v="2"/>
          </reference>
        </references>
      </pivotArea>
    </chartFormat>
    <chartFormat chart="3" format="13" series="1">
      <pivotArea type="data" outline="0" fieldPosition="0">
        <references count="2">
          <reference field="4294967294" count="1" selected="0">
            <x v="0"/>
          </reference>
          <reference field="5" count="1" selected="0">
            <x v="3"/>
          </reference>
        </references>
      </pivotArea>
    </chartFormat>
    <chartFormat chart="3" format="14" series="1">
      <pivotArea type="data" outline="0" fieldPosition="0">
        <references count="2">
          <reference field="4294967294" count="1" selected="0">
            <x v="0"/>
          </reference>
          <reference field="5" count="1" selected="0">
            <x v="4"/>
          </reference>
        </references>
      </pivotArea>
    </chartFormat>
    <chartFormat chart="3" format="15">
      <pivotArea type="data" outline="0" fieldPosition="0">
        <references count="3">
          <reference field="4294967294" count="1" selected="0">
            <x v="0"/>
          </reference>
          <reference field="2" count="1" selected="0">
            <x v="8"/>
          </reference>
          <reference field="5" count="1" selected="0">
            <x v="3"/>
          </reference>
        </references>
      </pivotArea>
    </chartFormat>
    <chartFormat chart="3"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513" name="Date &amp; Tim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9A492A4-F514-4E7C-90C6-B5DFB8006DD7}" name="Decline_AN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Z3:AA9" firstHeaderRow="1" firstDataRow="1" firstDataCol="1"/>
  <pivotFields count="15">
    <pivotField dataField="1" showAll="0"/>
    <pivotField numFmtId="169"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88"/>
        <item x="489"/>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6">
        <item x="4"/>
        <item x="2"/>
        <item x="3"/>
        <item x="1"/>
        <item x="0"/>
        <item t="default"/>
      </items>
    </pivotField>
    <pivotField showAll="0">
      <items count="6">
        <item x="0"/>
        <item x="3"/>
        <item x="4"/>
        <item x="2"/>
        <item x="1"/>
        <item t="default"/>
      </items>
    </pivotField>
    <pivotField numFmtId="4" showAll="0"/>
    <pivotField showAll="0"/>
    <pivotField axis="axisRow" showAll="0">
      <items count="7">
        <item x="1"/>
        <item x="5"/>
        <item x="3"/>
        <item x="4"/>
        <item x="2"/>
        <item h="1" x="0"/>
        <item t="default"/>
      </items>
    </pivotField>
    <pivotField showAll="0"/>
    <pivotField numFmtId="167" showAll="0"/>
    <pivotField numFmtId="4" showAll="0"/>
    <pivotField numFmtId="4" showAll="0"/>
    <pivotField numFmtId="4" showAll="0"/>
    <pivotField showAll="0"/>
  </pivotFields>
  <rowFields count="1">
    <field x="8"/>
  </rowFields>
  <rowItems count="6">
    <i>
      <x/>
    </i>
    <i>
      <x v="1"/>
    </i>
    <i>
      <x v="2"/>
    </i>
    <i>
      <x v="3"/>
    </i>
    <i>
      <x v="4"/>
    </i>
    <i t="grand">
      <x/>
    </i>
  </rowItems>
  <colItems count="1">
    <i/>
  </colItems>
  <dataFields count="1">
    <dataField name="Count of Transaction ID" fld="0" subtotal="count" showDataAs="percentOfCol" baseField="0" baseItem="0" numFmtId="164"/>
  </dataFields>
  <formats count="3">
    <format dxfId="7">
      <pivotArea dataOnly="0" labelOnly="1" grandCol="1" outline="0" fieldPosition="0"/>
    </format>
    <format dxfId="6">
      <pivotArea outline="0" fieldPosition="0">
        <references count="1">
          <reference field="4294967294" count="1">
            <x v="0"/>
          </reference>
        </references>
      </pivotArea>
    </format>
    <format dxfId="5">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3"/>
          </reference>
        </references>
      </pivotArea>
    </chartFormat>
    <chartFormat chart="0" format="4">
      <pivotArea type="data" outline="0" fieldPosition="0">
        <references count="2">
          <reference field="4294967294" count="1" selected="0">
            <x v="0"/>
          </reference>
          <reference field="8" count="1" selected="0">
            <x v="4"/>
          </reference>
        </references>
      </pivotArea>
    </chartFormat>
    <chartFormat chart="3" format="11" series="1">
      <pivotArea type="data" outline="0" fieldPosition="0">
        <references count="1">
          <reference field="4294967294" count="1" selected="0">
            <x v="0"/>
          </reference>
        </references>
      </pivotArea>
    </chartFormat>
    <chartFormat chart="3" format="12">
      <pivotArea type="data" outline="0" fieldPosition="0">
        <references count="2">
          <reference field="4294967294" count="1" selected="0">
            <x v="0"/>
          </reference>
          <reference field="8" count="1" selected="0">
            <x v="0"/>
          </reference>
        </references>
      </pivotArea>
    </chartFormat>
    <chartFormat chart="3" format="13">
      <pivotArea type="data" outline="0" fieldPosition="0">
        <references count="2">
          <reference field="4294967294" count="1" selected="0">
            <x v="0"/>
          </reference>
          <reference field="8" count="1" selected="0">
            <x v="1"/>
          </reference>
        </references>
      </pivotArea>
    </chartFormat>
    <chartFormat chart="3" format="14">
      <pivotArea type="data" outline="0" fieldPosition="0">
        <references count="2">
          <reference field="4294967294" count="1" selected="0">
            <x v="0"/>
          </reference>
          <reference field="8" count="1" selected="0">
            <x v="2"/>
          </reference>
        </references>
      </pivotArea>
    </chartFormat>
    <chartFormat chart="3" format="15">
      <pivotArea type="data" outline="0" fieldPosition="0">
        <references count="2">
          <reference field="4294967294" count="1" selected="0">
            <x v="0"/>
          </reference>
          <reference field="8" count="1" selected="0">
            <x v="3"/>
          </reference>
        </references>
      </pivotArea>
    </chartFormat>
    <chartFormat chart="3" format="16">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filters count="1">
    <filter fld="1" type="dateBetween" evalOrder="-1" id="513" name="Date &amp; Tim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9C77DD-86AE-49C9-BC29-0CE4213A744B}" name="Fees_&amp;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U3:W9" firstHeaderRow="0" firstDataRow="1" firstDataCol="1"/>
  <pivotFields count="15">
    <pivotField showAll="0"/>
    <pivotField numFmtId="169"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88"/>
        <item x="489"/>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axis="axisRow" showAll="0" sortType="descending">
      <items count="6">
        <item x="4"/>
        <item x="2"/>
        <item x="3"/>
        <item x="1"/>
        <item x="0"/>
        <item t="default"/>
      </items>
      <autoSortScope>
        <pivotArea dataOnly="0" outline="0" fieldPosition="0">
          <references count="1">
            <reference field="4294967294" count="1" selected="0">
              <x v="0"/>
            </reference>
          </references>
        </pivotArea>
      </autoSortScope>
    </pivotField>
    <pivotField showAll="0">
      <items count="6">
        <item x="0"/>
        <item x="3"/>
        <item x="4"/>
        <item x="2"/>
        <item x="1"/>
        <item t="default"/>
      </items>
    </pivotField>
    <pivotField numFmtId="4" showAll="0"/>
    <pivotField showAll="0"/>
    <pivotField showAll="0"/>
    <pivotField showAll="0"/>
    <pivotField numFmtId="167" showAll="0"/>
    <pivotField dataField="1" numFmtId="4" showAll="0"/>
    <pivotField dataField="1" numFmtId="4" showAll="0"/>
    <pivotField numFmtId="4" showAll="0"/>
    <pivotField showAll="0"/>
  </pivotFields>
  <rowFields count="1">
    <field x="4"/>
  </rowFields>
  <rowItems count="6">
    <i>
      <x v="1"/>
    </i>
    <i>
      <x v="2"/>
    </i>
    <i>
      <x/>
    </i>
    <i>
      <x v="3"/>
    </i>
    <i>
      <x v="4"/>
    </i>
    <i t="grand">
      <x/>
    </i>
  </rowItems>
  <colFields count="1">
    <field x="-2"/>
  </colFields>
  <colItems count="2">
    <i>
      <x/>
    </i>
    <i i="1">
      <x v="1"/>
    </i>
  </colItems>
  <dataFields count="2">
    <dataField name="Sum of Net Amount EUR" fld="12" baseField="0" baseItem="0" numFmtId="4"/>
    <dataField name="Sum of Fee Amount EUR" fld="11" baseField="0" baseItem="0" numFmtId="4"/>
  </dataFields>
  <formats count="2">
    <format dxfId="9">
      <pivotArea outline="0" collapsedLevelsAreSubtotals="1" fieldPosition="0"/>
    </format>
    <format dxfId="8">
      <pivotArea dataOnly="0" labelOnly="1" grandCol="1" outline="0" fieldPosition="0"/>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513" name="Date &amp; Tim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3FB9908-3C13-4021-9A48-F96349E34172}" name="Geo"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P3:R14" firstHeaderRow="0" firstDataRow="1" firstDataCol="1"/>
  <pivotFields count="15">
    <pivotField showAll="0"/>
    <pivotField numFmtId="169"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88"/>
        <item x="489"/>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axis="axisRow" showAll="0">
      <items count="11">
        <item x="8"/>
        <item x="9"/>
        <item x="2"/>
        <item x="3"/>
        <item x="4"/>
        <item x="7"/>
        <item x="6"/>
        <item x="1"/>
        <item x="5"/>
        <item x="0"/>
        <item t="default"/>
      </items>
    </pivotField>
    <pivotField showAll="0"/>
    <pivotField showAll="0">
      <items count="6">
        <item x="4"/>
        <item x="2"/>
        <item x="3"/>
        <item x="1"/>
        <item x="0"/>
        <item t="default"/>
      </items>
    </pivotField>
    <pivotField showAll="0">
      <items count="6">
        <item x="0"/>
        <item x="3"/>
        <item x="4"/>
        <item x="2"/>
        <item x="1"/>
        <item t="default"/>
      </items>
    </pivotField>
    <pivotField numFmtId="4" showAll="0"/>
    <pivotField showAll="0"/>
    <pivotField showAll="0"/>
    <pivotField showAll="0"/>
    <pivotField numFmtId="167" showAll="0"/>
    <pivotField dataField="1" numFmtId="4" showAll="0"/>
    <pivotField dataField="1" numFmtId="4" showAll="0"/>
    <pivotField numFmtId="4"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Net Amount EUR" fld="12" baseField="0" baseItem="0" numFmtId="4"/>
    <dataField name="Sum of Fee Amount EUR" fld="11" baseField="0" baseItem="0" numFmtId="4"/>
  </dataFields>
  <formats count="2">
    <format dxfId="11">
      <pivotArea outline="0" collapsedLevelsAreSubtotals="1" fieldPosition="0"/>
    </format>
    <format dxfId="10">
      <pivotArea dataOnly="0" labelOnly="1" grandCol="1" outline="0"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dateBetween" evalOrder="-1" id="513" name="Date &amp; Tim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FBF581-6722-45C2-B595-85AB9CCBAEA7}" name="Transaction_status"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2">
  <location ref="J3:L7" firstHeaderRow="0" firstDataRow="1" firstDataCol="1"/>
  <pivotFields count="15">
    <pivotField dataField="1" showAll="0"/>
    <pivotField numFmtId="169"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90"/>
        <item x="488"/>
        <item x="489"/>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6">
        <item x="4"/>
        <item x="2"/>
        <item x="3"/>
        <item x="1"/>
        <item x="0"/>
        <item t="default"/>
      </items>
    </pivotField>
    <pivotField showAll="0">
      <items count="6">
        <item x="0"/>
        <item x="3"/>
        <item x="4"/>
        <item x="2"/>
        <item x="1"/>
        <item t="default"/>
      </items>
    </pivotField>
    <pivotField numFmtId="4" showAll="0"/>
    <pivotField axis="axisRow">
      <items count="4">
        <item x="2"/>
        <item x="0"/>
        <item x="1"/>
        <item t="default"/>
      </items>
    </pivotField>
    <pivotField showAll="0"/>
    <pivotField showAll="0"/>
    <pivotField numFmtId="167" showAll="0"/>
    <pivotField numFmtId="4" showAll="0"/>
    <pivotField numFmtId="4" showAll="0"/>
    <pivotField numFmtId="4" showAll="0"/>
    <pivotField showAll="0"/>
  </pivotFields>
  <rowFields count="1">
    <field x="7"/>
  </rowFields>
  <rowItems count="4">
    <i>
      <x/>
    </i>
    <i>
      <x v="1"/>
    </i>
    <i>
      <x v="2"/>
    </i>
    <i t="grand">
      <x/>
    </i>
  </rowItems>
  <colFields count="1">
    <field x="-2"/>
  </colFields>
  <colItems count="2">
    <i>
      <x/>
    </i>
    <i i="1">
      <x v="1"/>
    </i>
  </colItems>
  <dataFields count="2">
    <dataField name="Count of Transaction ID" fld="0" subtotal="count" showDataAs="percentOfCol" baseField="0" baseItem="0" numFmtId="164"/>
    <dataField name="Count of Transaction ID2" fld="0" subtotal="count" baseField="0" baseItem="0" numFmtId="3"/>
  </dataFields>
  <formats count="4">
    <format dxfId="15">
      <pivotArea dataOnly="0" labelOnly="1" grandCol="1" outline="0" fieldPosition="0"/>
    </format>
    <format dxfId="14">
      <pivotArea outline="0" fieldPosition="0">
        <references count="1">
          <reference field="4294967294" count="1">
            <x v="0"/>
          </reference>
        </references>
      </pivotArea>
    </format>
    <format dxfId="13">
      <pivotArea outline="0" collapsedLevelsAreSubtotals="1" fieldPosition="0"/>
    </format>
    <format dxfId="12">
      <pivotArea outline="0" fieldPosition="0">
        <references count="1">
          <reference field="4294967294" count="1">
            <x v="1"/>
          </reference>
        </references>
      </pivotArea>
    </format>
  </formats>
  <pivotTableStyleInfo name="PivotStyleLight16" showRowHeaders="1" showColHeaders="1" showRowStripes="0" showColStripes="0" showLastColumn="1"/>
  <filters count="1">
    <filter fld="1" type="dateBetween" evalOrder="-1" id="513" name="Date &amp; Time">
      <autoFilter ref="A1">
        <filterColumn colId="0">
          <customFilters and="1">
            <customFilter operator="greaterThanOrEqual" val="45292"/>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25FDC250-154F-48C5-B269-8374B098431E}" autoFormatId="16" applyNumberFormats="0" applyBorderFormats="0" applyFontFormats="0" applyPatternFormats="0" applyAlignmentFormats="0" applyWidthHeightFormats="0">
  <queryTableRefresh nextId="13">
    <queryTableFields count="12">
      <queryTableField id="1" name="Transaction ID" tableColumnId="1"/>
      <queryTableField id="2" name="Date &amp; Time" tableColumnId="2"/>
      <queryTableField id="3" name="GEO" tableColumnId="3"/>
      <queryTableField id="4" name="Currency" tableColumnId="4"/>
      <queryTableField id="5" name="PSP Provider" tableColumnId="5"/>
      <queryTableField id="6" name="Payment Method" tableColumnId="6"/>
      <queryTableField id="7" name="Amount" tableColumnId="7"/>
      <queryTableField id="8" name="Status" tableColumnId="8"/>
      <queryTableField id="9" name="Decline Reason" tableColumnId="9"/>
      <queryTableField id="10" name="Fee %" tableColumnId="10"/>
      <queryTableField id="11" name="Fee Amount" tableColumnId="11"/>
      <queryTableField id="12" name="Net Amount"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20600A11-06E3-408C-94C8-30624F38E1FC}" autoFormatId="16" applyNumberFormats="0" applyBorderFormats="0" applyFontFormats="0" applyPatternFormats="0" applyAlignmentFormats="0" applyWidthHeightFormats="0">
  <queryTableRefresh nextId="13">
    <queryTableFields count="12">
      <queryTableField id="1" name="Transaction ID" tableColumnId="1"/>
      <queryTableField id="2" name="Date &amp; Time" tableColumnId="2"/>
      <queryTableField id="3" name="GEO" tableColumnId="3"/>
      <queryTableField id="4" name="Currency" tableColumnId="4"/>
      <queryTableField id="5" name="PSP Provider" tableColumnId="5"/>
      <queryTableField id="6" name="Payment Method" tableColumnId="6"/>
      <queryTableField id="7" name="Amount" tableColumnId="7"/>
      <queryTableField id="8" name="Status" tableColumnId="8"/>
      <queryTableField id="9" name="Decline Reason" tableColumnId="9"/>
      <queryTableField id="10" name="Fee %" tableColumnId="10"/>
      <queryTableField id="11" name="Fee Amount" tableColumnId="11"/>
      <queryTableField id="12" name="Net Amount"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526E9F19-C666-47F4-B707-9731863CF60D}" autoFormatId="16" applyNumberFormats="0" applyBorderFormats="0" applyFontFormats="0" applyPatternFormats="0" applyAlignmentFormats="0" applyWidthHeightFormats="0">
  <queryTableRefresh nextId="25">
    <queryTableFields count="15">
      <queryTableField id="1" name="Transaction ID" tableColumnId="1"/>
      <queryTableField id="2" name="Date &amp; Time" tableColumnId="2"/>
      <queryTableField id="3" name="GEO" tableColumnId="3"/>
      <queryTableField id="4" name="Currency" tableColumnId="4"/>
      <queryTableField id="5" name="PSP Provider" tableColumnId="5"/>
      <queryTableField id="22" name="Payment Method" tableColumnId="14"/>
      <queryTableField id="7" name="Amount" tableColumnId="7"/>
      <queryTableField id="8" name="Status" tableColumnId="8"/>
      <queryTableField id="9" name="Decline Reason" tableColumnId="9"/>
      <queryTableField id="10" name="Fee %" tableColumnId="10"/>
      <queryTableField id="13" name="Exchange Rate to EUR" tableColumnId="13"/>
      <queryTableField id="16" name="Fee Amount EUR" tableColumnId="11"/>
      <queryTableField id="17" name="Net Amount EUR" tableColumnId="12"/>
      <queryTableField id="20" name="Gross Amount EUR" tableColumnId="6"/>
      <queryTableField id="23" name="Month Name"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SP_Provider" xr10:uid="{379BA2DC-4BE9-4CF8-A1AB-12581F5A41A9}" sourceName="PSP Provider">
  <pivotTables>
    <pivotTable tabId="16" name="Revenue_Trend"/>
    <pivotTable tabId="16" name="Transaction_status"/>
    <pivotTable tabId="16" name="Geo"/>
    <pivotTable tabId="16" name="Fees_&amp;_Revenue"/>
    <pivotTable tabId="16" name="Decline_ANL"/>
    <pivotTable tabId="16" name="Payment_Methods"/>
  </pivotTables>
  <data>
    <tabular pivotCacheId="571252895">
      <items count="5">
        <i x="4" s="1"/>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8AE0D82-54F2-4ADD-8A72-8D11E8D9FA6A}" sourceName="Payment Method">
  <pivotTables>
    <pivotTable tabId="16" name="Revenue_Trend"/>
    <pivotTable tabId="16" name="Transaction_status"/>
    <pivotTable tabId="16" name="Geo"/>
    <pivotTable tabId="16" name="Fees_&amp;_Revenue"/>
    <pivotTable tabId="16" name="Decline_ANL"/>
    <pivotTable tabId="16" name="Payment_Methods"/>
  </pivotTables>
  <data>
    <tabular pivotCacheId="571252895">
      <items count="5">
        <i x="0" s="1"/>
        <i x="3" s="1"/>
        <i x="4"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SP Provider" xr10:uid="{318E3502-70D5-44A4-A978-531A63FFA4E3}" cache="Slicer_PSP_Provider" caption="PSP Provider" showCaption="0" style="SlicerStyleLight" rowHeight="241300"/>
  <slicer name="Payment Method" xr10:uid="{CF938120-E58A-4BEC-A5F1-43E2591A765E}" cache="Slicer_Payment_Method" caption="Payment Method" showCaption="0" style="SlicerStyleLight" rowHeight="25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EA4884-FAE2-4817-AA76-C5CBE7C70ADA}" name="Raw_Data__Jan_Jun" displayName="Raw_Data__Jan_Jun" ref="A1:L486" tableType="queryTable" totalsRowShown="0">
  <autoFilter ref="A1:L486" xr:uid="{51EA4884-FAE2-4817-AA76-C5CBE7C70ADA}"/>
  <tableColumns count="12">
    <tableColumn id="1" xr3:uid="{9FA32F5B-0766-4266-9589-907C277B2E6F}" uniqueName="1" name="Transaction ID" queryTableFieldId="1" dataDxfId="56"/>
    <tableColumn id="2" xr3:uid="{06F4361A-AD36-4921-AA25-670F2DF10310}" uniqueName="2" name="Date &amp; Time" queryTableFieldId="2" dataDxfId="55"/>
    <tableColumn id="3" xr3:uid="{F469809E-F4C5-4FE8-A8B1-5E353B0BF948}" uniqueName="3" name="GEO" queryTableFieldId="3" dataDxfId="54"/>
    <tableColumn id="4" xr3:uid="{E588E4A2-9FE5-4F83-BCBC-315D8A5D077A}" uniqueName="4" name="Currency" queryTableFieldId="4" dataDxfId="53"/>
    <tableColumn id="5" xr3:uid="{0BEA8E5E-F479-415B-A047-B7086A5FD1D1}" uniqueName="5" name="PSP Provider" queryTableFieldId="5" dataDxfId="52"/>
    <tableColumn id="6" xr3:uid="{06236AF1-32B1-4F9E-B002-AA62A9FECDF4}" uniqueName="6" name="Payment Method" queryTableFieldId="6" dataDxfId="51"/>
    <tableColumn id="7" xr3:uid="{8ACDBC12-28E2-418C-9F83-20DB34B3EDDB}" uniqueName="7" name="Amount" queryTableFieldId="7" dataDxfId="50"/>
    <tableColumn id="8" xr3:uid="{CB7BE180-DB4F-4B7F-A569-4BC725559247}" uniqueName="8" name="Status" queryTableFieldId="8" dataDxfId="49"/>
    <tableColumn id="9" xr3:uid="{868CEC6D-23F0-4625-88E2-A94E13EE104C}" uniqueName="9" name="Decline Reason" queryTableFieldId="9" dataDxfId="48"/>
    <tableColumn id="10" xr3:uid="{E70756C6-04DA-4030-A99D-CD41B9B63176}" uniqueName="10" name="Fee %" queryTableFieldId="10"/>
    <tableColumn id="11" xr3:uid="{489726E5-56D3-4F8D-AD2E-A5A95B901186}" uniqueName="11" name="Fee Amount" queryTableFieldId="11" dataDxfId="47"/>
    <tableColumn id="12" xr3:uid="{1A3B0E88-69C6-4C00-83C6-48A4C85E4F8F}" uniqueName="12" name="Net Amount" queryTableFieldId="12" dataDxfId="4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3E4AD63-CFEA-41DC-8F16-DCB54C7539AA}" name="Raw_Data__Jul_Dec" displayName="Raw_Data__Jul_Dec" ref="A1:L516" tableType="queryTable" totalsRowShown="0">
  <autoFilter ref="A1:L516" xr:uid="{93E4AD63-CFEA-41DC-8F16-DCB54C7539AA}"/>
  <tableColumns count="12">
    <tableColumn id="1" xr3:uid="{EB75A968-2C31-4EAE-9345-38360FD6D800}" uniqueName="1" name="Transaction ID" queryTableFieldId="1" dataDxfId="45"/>
    <tableColumn id="2" xr3:uid="{F59008C1-5B3B-4F52-99D1-DD54081020CE}" uniqueName="2" name="Date &amp; Time" queryTableFieldId="2" dataDxfId="44"/>
    <tableColumn id="3" xr3:uid="{AF2CA27C-F03A-442F-BC78-78B0A44DF832}" uniqueName="3" name="GEO" queryTableFieldId="3" dataDxfId="43"/>
    <tableColumn id="4" xr3:uid="{44C925ED-32B0-41DF-BC56-6E8CB1364DEC}" uniqueName="4" name="Currency" queryTableFieldId="4" dataDxfId="42"/>
    <tableColumn id="5" xr3:uid="{BC6461B9-3933-44B1-85AA-D67EF6A3DC3D}" uniqueName="5" name="PSP Provider" queryTableFieldId="5" dataDxfId="41"/>
    <tableColumn id="6" xr3:uid="{DED61571-C28E-499F-BCAB-FF885E9C1EE6}" uniqueName="6" name="Payment Method" queryTableFieldId="6" dataDxfId="40"/>
    <tableColumn id="7" xr3:uid="{D8A9375C-F45E-4BDF-A2B7-DFE11895CC70}" uniqueName="7" name="Amount" queryTableFieldId="7" dataDxfId="39"/>
    <tableColumn id="8" xr3:uid="{5ACA8843-1797-4F38-8D40-E0CC23BB3DB4}" uniqueName="8" name="Status" queryTableFieldId="8" dataDxfId="38"/>
    <tableColumn id="9" xr3:uid="{758A5549-95BC-48A5-9393-B3D6A2F22266}" uniqueName="9" name="Decline Reason" queryTableFieldId="9" dataDxfId="37"/>
    <tableColumn id="10" xr3:uid="{EC1C9ECA-49EA-437F-B627-C702E3FACB4B}" uniqueName="10" name="Fee %" queryTableFieldId="10"/>
    <tableColumn id="11" xr3:uid="{5DB5BA99-CAC8-45FB-838B-96931310DA87}" uniqueName="11" name="Fee Amount" queryTableFieldId="11" dataDxfId="36"/>
    <tableColumn id="12" xr3:uid="{776F2244-DB87-4C3B-A6AB-95EFE0A55A05}" uniqueName="12" name="Net Amount" queryTableFieldId="12" dataDxfId="3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9282010-3BA5-44B8-B6EE-1F2CD474F59C}" name="FX_Rates" displayName="FX_Rates" ref="A2:C7" totalsRowShown="0" headerRowBorderDxfId="34" tableBorderDxfId="33">
  <autoFilter ref="A2:C7" xr:uid="{89282010-3BA5-44B8-B6EE-1F2CD474F59C}"/>
  <tableColumns count="3">
    <tableColumn id="1" xr3:uid="{8281B64D-FFF5-4DF2-88A7-2DFD178B31D7}" name="Currency" dataDxfId="32">
      <calculatedColumnFormula>D3</calculatedColumnFormula>
    </tableColumn>
    <tableColumn id="2" xr3:uid="{3EC60B65-C1A4-4FA6-ACE6-E1879F896659}" name="Rate to EUR" dataDxfId="31"/>
    <tableColumn id="3" xr3:uid="{4EA26BA9-2EDE-4EF9-9348-2CA091D5C59C}" name="Source" dataDxfId="3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6F6CBD5-0DA3-4F1A-9B92-3A9EACDB3585}" name="Raw_Data_Combined" displayName="Raw_Data_Combined" ref="A1:O1001" tableType="queryTable" totalsRowShown="0">
  <autoFilter ref="A1:O1001" xr:uid="{46F6CBD5-0DA3-4F1A-9B92-3A9EACDB3585}"/>
  <tableColumns count="15">
    <tableColumn id="1" xr3:uid="{726B7CFD-208F-4640-8049-ACB90F1518C7}" uniqueName="1" name="Transaction ID" queryTableFieldId="1" dataDxfId="29"/>
    <tableColumn id="2" xr3:uid="{F7238E86-21B7-4410-82AF-A42B1C230101}" uniqueName="2" name="Date &amp; Time" queryTableFieldId="2" dataDxfId="28"/>
    <tableColumn id="3" xr3:uid="{B06EFA13-4609-4EB5-BCD2-745D73358B2B}" uniqueName="3" name="GEO" queryTableFieldId="3" dataDxfId="27"/>
    <tableColumn id="4" xr3:uid="{060AEB1B-06E5-416D-879B-6BE2D682ED20}" uniqueName="4" name="Currency" queryTableFieldId="4" dataDxfId="26"/>
    <tableColumn id="5" xr3:uid="{FD7DF5CB-984B-4074-B4CB-EBB1A19E20EE}" uniqueName="5" name="PSP Provider" queryTableFieldId="5" dataDxfId="25"/>
    <tableColumn id="14" xr3:uid="{E164562F-1D55-41D3-B2E7-7034CC36B47E}" uniqueName="14" name="Payment Method" queryTableFieldId="22" dataDxfId="24"/>
    <tableColumn id="7" xr3:uid="{77DCC69A-B0B4-4511-A39E-DB0756CF00C0}" uniqueName="7" name="Amount" queryTableFieldId="7" dataDxfId="23"/>
    <tableColumn id="8" xr3:uid="{D68CACCE-A0C0-465D-A9D7-C32C312B452D}" uniqueName="8" name="Status" queryTableFieldId="8" dataDxfId="22"/>
    <tableColumn id="9" xr3:uid="{07F626F1-3870-4EA0-A546-FA0E4C5E5FF4}" uniqueName="9" name="Decline Reason" queryTableFieldId="9" dataDxfId="21"/>
    <tableColumn id="10" xr3:uid="{20A1E4A8-4C9D-4E47-96BE-CBE014C7F041}" uniqueName="10" name="Fee %" queryTableFieldId="10"/>
    <tableColumn id="13" xr3:uid="{8EFD5663-1946-4157-937D-F2A8549D241E}" uniqueName="13" name="Exchange Rate to EUR" queryTableFieldId="13" dataDxfId="20"/>
    <tableColumn id="11" xr3:uid="{FAEC428C-4251-4344-B7AE-AC3B0CF355A3}" uniqueName="11" name="Fee Amount EUR" queryTableFieldId="16" dataDxfId="19"/>
    <tableColumn id="12" xr3:uid="{BF25A180-BBDC-4CA0-B208-9F1FF788AB93}" uniqueName="12" name="Net Amount EUR" queryTableFieldId="17" dataDxfId="18"/>
    <tableColumn id="6" xr3:uid="{5417F377-E796-4321-A577-E4B38E7089F6}" uniqueName="6" name="Gross Amount EUR" queryTableFieldId="20" dataDxfId="17"/>
    <tableColumn id="15" xr3:uid="{5AB642D9-F38D-4FD8-A4B1-94D810CE73ED}" uniqueName="15" name="Month Name" queryTableFieldId="23" dataDxf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___Time" xr10:uid="{DBB47916-DA0F-4989-A4A8-1764B2338ABB}" sourceName="Date &amp; Time">
  <pivotTables>
    <pivotTable tabId="16" name="Revenue_Trend"/>
    <pivotTable tabId="16" name="Transaction_status"/>
    <pivotTable tabId="16" name="Geo"/>
    <pivotTable tabId="16" name="Fees_&amp;_Revenue"/>
    <pivotTable tabId="16" name="Decline_ANL"/>
    <pivotTable tabId="16" name="Payment_Methods"/>
  </pivotTables>
  <state minimalRefreshVersion="6" lastRefreshVersion="6" pivotCacheId="571252895" filterType="dateBetween">
    <selection startDate="2024-01-01T00:00:00" endDate="2024-12-31T00:00:00"/>
    <bounds startDate="2024-01-01T21:55:00" endDate="2025-01-01T23:59: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amp; Time" xr10:uid="{99B32224-539F-41D2-ADE4-37AC6B536F0D}" cache="NativeTimeline_Date___Time" caption="Date &amp; Time" showHeader="0" showSelectionLabel="0" showTimeLevel="0" level="2" selectionLevel="0" scrollPosition="2024-01-01T00:00:00" style="Timeline Style 1"/>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BBE37F1-5A1D-44A6-BC9C-3C3DC5FF62B5}">
  <we:reference id="wa200009404" version="1.0.0.5" store="en-GB"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7.bin"/><Relationship Id="rId4" Type="http://schemas.openxmlformats.org/officeDocument/2006/relationships/comments" Target="../comments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rinterSettings" Target="../printerSettings/printerSettings8.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9.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2BF5-0982-45CF-B564-6088B6BDAD85}">
  <sheetPr>
    <tabColor rgb="FF0097B2"/>
  </sheetPr>
  <dimension ref="A1:C53"/>
  <sheetViews>
    <sheetView view="pageBreakPreview" zoomScale="145" zoomScaleNormal="100" zoomScaleSheetLayoutView="145" workbookViewId="0">
      <pane ySplit="3" topLeftCell="A4" activePane="bottomLeft" state="frozen"/>
      <selection pane="bottomLeft" activeCell="C22" sqref="C22"/>
    </sheetView>
  </sheetViews>
  <sheetFormatPr defaultRowHeight="20.100000000000001" customHeight="1" x14ac:dyDescent="0.25"/>
  <cols>
    <col min="1" max="1" width="80.140625" bestFit="1" customWidth="1"/>
    <col min="2" max="2" width="60" customWidth="1"/>
    <col min="3" max="3" width="117.7109375" customWidth="1"/>
  </cols>
  <sheetData>
    <row r="1" spans="1:3" ht="20.100000000000001" customHeight="1" x14ac:dyDescent="0.25">
      <c r="A1" s="115" t="s">
        <v>1156</v>
      </c>
      <c r="B1" s="22"/>
      <c r="C1" s="22"/>
    </row>
    <row r="2" spans="1:3" ht="20.100000000000001" customHeight="1" x14ac:dyDescent="0.25">
      <c r="A2" s="116" t="s">
        <v>1157</v>
      </c>
      <c r="B2" s="22"/>
      <c r="C2" s="22"/>
    </row>
    <row r="3" spans="1:3" ht="20.100000000000001" customHeight="1" x14ac:dyDescent="0.25">
      <c r="A3" s="22"/>
      <c r="B3" s="22"/>
      <c r="C3" s="22"/>
    </row>
    <row r="4" spans="1:3" ht="20.100000000000001" customHeight="1" x14ac:dyDescent="0.25">
      <c r="A4" s="189" t="s">
        <v>1158</v>
      </c>
      <c r="B4" s="189"/>
      <c r="C4" s="189"/>
    </row>
    <row r="5" spans="1:3" ht="20.100000000000001" customHeight="1" x14ac:dyDescent="0.25">
      <c r="A5" s="118" t="s">
        <v>1159</v>
      </c>
      <c r="B5" s="190" t="s">
        <v>1247</v>
      </c>
      <c r="C5" s="190"/>
    </row>
    <row r="6" spans="1:3" ht="20.100000000000001" customHeight="1" x14ac:dyDescent="0.25">
      <c r="A6" s="120" t="s">
        <v>1160</v>
      </c>
      <c r="B6" s="190" t="s">
        <v>1161</v>
      </c>
      <c r="C6" s="190"/>
    </row>
    <row r="7" spans="1:3" ht="15" x14ac:dyDescent="0.25">
      <c r="A7" s="120" t="s">
        <v>1162</v>
      </c>
      <c r="B7" s="190" t="s">
        <v>1163</v>
      </c>
      <c r="C7" s="190"/>
    </row>
    <row r="8" spans="1:3" ht="27.75" customHeight="1" x14ac:dyDescent="0.25">
      <c r="A8" s="119" t="s">
        <v>1164</v>
      </c>
      <c r="B8" s="190" t="s">
        <v>1251</v>
      </c>
      <c r="C8" s="190"/>
    </row>
    <row r="9" spans="1:3" ht="20.100000000000001" customHeight="1" x14ac:dyDescent="0.25">
      <c r="A9" s="177" t="s">
        <v>1165</v>
      </c>
      <c r="B9" s="117"/>
      <c r="C9" s="117"/>
    </row>
    <row r="10" spans="1:3" ht="20.100000000000001" customHeight="1" x14ac:dyDescent="0.25">
      <c r="A10" s="121" t="s">
        <v>1166</v>
      </c>
      <c r="B10" s="121" t="s">
        <v>1167</v>
      </c>
      <c r="C10" s="121" t="s">
        <v>1168</v>
      </c>
    </row>
    <row r="11" spans="1:3" ht="20.100000000000001" customHeight="1" x14ac:dyDescent="0.25">
      <c r="A11" s="122" t="s">
        <v>0</v>
      </c>
      <c r="B11" s="123" t="s">
        <v>1169</v>
      </c>
      <c r="C11" s="124" t="s">
        <v>12</v>
      </c>
    </row>
    <row r="12" spans="1:3" ht="20.100000000000001" customHeight="1" x14ac:dyDescent="0.25">
      <c r="A12" s="125" t="s">
        <v>1</v>
      </c>
      <c r="B12" s="126" t="s">
        <v>1170</v>
      </c>
      <c r="C12" s="172">
        <v>45292.913194444445</v>
      </c>
    </row>
    <row r="13" spans="1:3" ht="20.100000000000001" customHeight="1" x14ac:dyDescent="0.25">
      <c r="A13" s="129" t="s">
        <v>2</v>
      </c>
      <c r="B13" s="130" t="s">
        <v>1171</v>
      </c>
      <c r="C13" s="131" t="s">
        <v>1172</v>
      </c>
    </row>
    <row r="14" spans="1:3" ht="20.100000000000001" customHeight="1" x14ac:dyDescent="0.25">
      <c r="A14" s="125" t="s">
        <v>3</v>
      </c>
      <c r="B14" s="126" t="s">
        <v>1173</v>
      </c>
      <c r="C14" s="132" t="s">
        <v>1174</v>
      </c>
    </row>
    <row r="15" spans="1:3" ht="20.100000000000001" customHeight="1" x14ac:dyDescent="0.25">
      <c r="A15" s="129" t="s">
        <v>4</v>
      </c>
      <c r="B15" s="130" t="s">
        <v>1175</v>
      </c>
      <c r="C15" s="131" t="s">
        <v>1176</v>
      </c>
    </row>
    <row r="16" spans="1:3" ht="20.100000000000001" customHeight="1" x14ac:dyDescent="0.25">
      <c r="A16" s="125" t="s">
        <v>5</v>
      </c>
      <c r="B16" s="126" t="s">
        <v>1177</v>
      </c>
      <c r="C16" s="132" t="s">
        <v>1178</v>
      </c>
    </row>
    <row r="17" spans="1:3" ht="20.100000000000001" customHeight="1" x14ac:dyDescent="0.25">
      <c r="A17" s="129" t="s">
        <v>6</v>
      </c>
      <c r="B17" s="130" t="s">
        <v>1179</v>
      </c>
      <c r="C17" s="131" t="s">
        <v>1180</v>
      </c>
    </row>
    <row r="18" spans="1:3" ht="20.100000000000001" customHeight="1" x14ac:dyDescent="0.25">
      <c r="A18" s="125" t="s">
        <v>7</v>
      </c>
      <c r="B18" s="126" t="s">
        <v>1181</v>
      </c>
      <c r="C18" s="132" t="s">
        <v>1182</v>
      </c>
    </row>
    <row r="19" spans="1:3" ht="20.100000000000001" customHeight="1" x14ac:dyDescent="0.25">
      <c r="A19" s="129" t="s">
        <v>8</v>
      </c>
      <c r="B19" s="130" t="s">
        <v>1183</v>
      </c>
      <c r="C19" s="131" t="s">
        <v>1184</v>
      </c>
    </row>
    <row r="20" spans="1:3" ht="20.100000000000001" customHeight="1" x14ac:dyDescent="0.25">
      <c r="A20" s="125" t="s">
        <v>9</v>
      </c>
      <c r="B20" s="126" t="s">
        <v>1185</v>
      </c>
      <c r="C20" s="132" t="s">
        <v>1186</v>
      </c>
    </row>
    <row r="21" spans="1:3" ht="20.100000000000001" customHeight="1" x14ac:dyDescent="0.25">
      <c r="A21" s="129" t="s">
        <v>1107</v>
      </c>
      <c r="B21" s="130" t="s">
        <v>1187</v>
      </c>
      <c r="C21" s="131" t="s">
        <v>1255</v>
      </c>
    </row>
    <row r="22" spans="1:3" ht="20.100000000000001" customHeight="1" x14ac:dyDescent="0.25">
      <c r="A22" s="125" t="s">
        <v>1111</v>
      </c>
      <c r="B22" s="126" t="s">
        <v>1188</v>
      </c>
      <c r="C22" s="173">
        <v>10.51</v>
      </c>
    </row>
    <row r="23" spans="1:3" ht="20.100000000000001" customHeight="1" x14ac:dyDescent="0.25">
      <c r="A23" s="129" t="s">
        <v>1112</v>
      </c>
      <c r="B23" s="130" t="s">
        <v>1189</v>
      </c>
      <c r="C23" s="174">
        <v>420.35</v>
      </c>
    </row>
    <row r="24" spans="1:3" ht="20.100000000000001" customHeight="1" x14ac:dyDescent="0.25">
      <c r="A24" s="125" t="s">
        <v>1113</v>
      </c>
      <c r="B24" s="126" t="s">
        <v>1190</v>
      </c>
      <c r="C24" s="173">
        <v>409.85</v>
      </c>
    </row>
    <row r="25" spans="1:3" ht="20.100000000000001" customHeight="1" x14ac:dyDescent="0.25">
      <c r="A25" s="127" t="s">
        <v>1130</v>
      </c>
      <c r="B25" s="128" t="s">
        <v>1191</v>
      </c>
      <c r="C25" s="175" t="s">
        <v>1131</v>
      </c>
    </row>
    <row r="26" spans="1:3" ht="20.100000000000001" customHeight="1" x14ac:dyDescent="0.25">
      <c r="A26" s="117" t="s">
        <v>1192</v>
      </c>
      <c r="B26" s="117"/>
      <c r="C26" s="117"/>
    </row>
    <row r="27" spans="1:3" ht="20.100000000000001" customHeight="1" x14ac:dyDescent="0.25">
      <c r="A27" s="118" t="s">
        <v>1193</v>
      </c>
      <c r="B27" s="188" t="s">
        <v>1254</v>
      </c>
      <c r="C27" s="188"/>
    </row>
    <row r="28" spans="1:3" ht="30.75" customHeight="1" x14ac:dyDescent="0.25">
      <c r="A28" s="120" t="s">
        <v>1194</v>
      </c>
      <c r="B28" s="188" t="s">
        <v>1245</v>
      </c>
      <c r="C28" s="188"/>
    </row>
    <row r="29" spans="1:3" ht="20.100000000000001" customHeight="1" x14ac:dyDescent="0.25">
      <c r="A29" s="120" t="s">
        <v>1084</v>
      </c>
      <c r="B29" s="188" t="s">
        <v>1195</v>
      </c>
      <c r="C29" s="188"/>
    </row>
    <row r="30" spans="1:3" ht="20.100000000000001" customHeight="1" x14ac:dyDescent="0.25">
      <c r="A30" s="120" t="s">
        <v>1112</v>
      </c>
      <c r="B30" s="188" t="s">
        <v>1196</v>
      </c>
      <c r="C30" s="188"/>
    </row>
    <row r="31" spans="1:3" ht="20.100000000000001" customHeight="1" x14ac:dyDescent="0.25">
      <c r="A31" s="120" t="s">
        <v>1197</v>
      </c>
      <c r="B31" s="188" t="s">
        <v>1198</v>
      </c>
      <c r="C31" s="188"/>
    </row>
    <row r="32" spans="1:3" ht="20.100000000000001" customHeight="1" x14ac:dyDescent="0.25">
      <c r="A32" s="120" t="s">
        <v>1199</v>
      </c>
      <c r="B32" s="188" t="s">
        <v>1200</v>
      </c>
      <c r="C32" s="188"/>
    </row>
    <row r="33" spans="1:3" ht="20.100000000000001" customHeight="1" x14ac:dyDescent="0.25">
      <c r="A33" s="120" t="s">
        <v>1201</v>
      </c>
      <c r="B33" s="188" t="s">
        <v>1202</v>
      </c>
      <c r="C33" s="188"/>
    </row>
    <row r="34" spans="1:3" ht="20.100000000000001" customHeight="1" x14ac:dyDescent="0.25">
      <c r="A34" s="119" t="s">
        <v>1203</v>
      </c>
      <c r="B34" s="188" t="s">
        <v>1204</v>
      </c>
      <c r="C34" s="188"/>
    </row>
    <row r="35" spans="1:3" ht="20.100000000000001" customHeight="1" x14ac:dyDescent="0.25">
      <c r="A35" s="177" t="s">
        <v>1205</v>
      </c>
      <c r="B35" s="117"/>
      <c r="C35" s="117"/>
    </row>
    <row r="36" spans="1:3" ht="20.100000000000001" customHeight="1" x14ac:dyDescent="0.25">
      <c r="A36" s="121" t="s">
        <v>1206</v>
      </c>
      <c r="B36" s="121" t="s">
        <v>1207</v>
      </c>
      <c r="C36" s="121" t="s">
        <v>1208</v>
      </c>
    </row>
    <row r="37" spans="1:3" ht="20.100000000000001" customHeight="1" x14ac:dyDescent="0.25">
      <c r="A37" s="133">
        <v>1</v>
      </c>
      <c r="B37" s="134" t="s">
        <v>1209</v>
      </c>
      <c r="C37" s="135" t="s">
        <v>1210</v>
      </c>
    </row>
    <row r="38" spans="1:3" ht="20.100000000000001" customHeight="1" x14ac:dyDescent="0.25">
      <c r="A38" s="136">
        <v>2</v>
      </c>
      <c r="B38" s="137" t="s">
        <v>1211</v>
      </c>
      <c r="C38" s="138" t="s">
        <v>1212</v>
      </c>
    </row>
    <row r="39" spans="1:3" ht="20.100000000000001" customHeight="1" x14ac:dyDescent="0.25">
      <c r="A39" s="142">
        <v>3</v>
      </c>
      <c r="B39" s="143" t="s">
        <v>1213</v>
      </c>
      <c r="C39" s="144" t="s">
        <v>1214</v>
      </c>
    </row>
    <row r="40" spans="1:3" ht="20.100000000000001" customHeight="1" x14ac:dyDescent="0.25">
      <c r="A40" s="136">
        <v>4</v>
      </c>
      <c r="B40" s="137" t="s">
        <v>1215</v>
      </c>
      <c r="C40" s="138" t="s">
        <v>1216</v>
      </c>
    </row>
    <row r="41" spans="1:3" ht="20.100000000000001" customHeight="1" x14ac:dyDescent="0.25">
      <c r="A41" s="142">
        <v>5</v>
      </c>
      <c r="B41" s="143" t="s">
        <v>1217</v>
      </c>
      <c r="C41" s="144" t="s">
        <v>1218</v>
      </c>
    </row>
    <row r="42" spans="1:3" ht="20.100000000000001" customHeight="1" x14ac:dyDescent="0.25">
      <c r="A42" s="136">
        <v>6</v>
      </c>
      <c r="B42" s="137" t="s">
        <v>1219</v>
      </c>
      <c r="C42" s="138" t="s">
        <v>1244</v>
      </c>
    </row>
    <row r="43" spans="1:3" ht="20.100000000000001" customHeight="1" x14ac:dyDescent="0.25">
      <c r="A43" s="142">
        <v>7</v>
      </c>
      <c r="B43" s="143" t="s">
        <v>1220</v>
      </c>
      <c r="C43" s="144" t="s">
        <v>1221</v>
      </c>
    </row>
    <row r="44" spans="1:3" ht="20.100000000000001" customHeight="1" x14ac:dyDescent="0.25">
      <c r="A44" s="136">
        <v>8</v>
      </c>
      <c r="B44" s="137" t="s">
        <v>1222</v>
      </c>
      <c r="C44" s="138" t="s">
        <v>1223</v>
      </c>
    </row>
    <row r="45" spans="1:3" ht="20.100000000000001" customHeight="1" x14ac:dyDescent="0.25">
      <c r="A45" s="139">
        <v>9</v>
      </c>
      <c r="B45" s="140" t="s">
        <v>1224</v>
      </c>
      <c r="C45" s="141" t="s">
        <v>1225</v>
      </c>
    </row>
    <row r="46" spans="1:3" ht="20.100000000000001" customHeight="1" x14ac:dyDescent="0.25">
      <c r="A46" s="117" t="s">
        <v>1226</v>
      </c>
      <c r="B46" s="117"/>
      <c r="C46" s="117"/>
    </row>
    <row r="47" spans="1:3" ht="20.100000000000001" customHeight="1" x14ac:dyDescent="0.25">
      <c r="A47" s="118" t="s">
        <v>1227</v>
      </c>
      <c r="B47" s="190" t="s">
        <v>1228</v>
      </c>
      <c r="C47" s="190"/>
    </row>
    <row r="48" spans="1:3" ht="19.5" customHeight="1" x14ac:dyDescent="0.25">
      <c r="A48" s="120" t="s">
        <v>1229</v>
      </c>
      <c r="B48" s="190" t="s">
        <v>1253</v>
      </c>
      <c r="C48" s="190"/>
    </row>
    <row r="49" spans="1:3" ht="20.100000000000001" customHeight="1" x14ac:dyDescent="0.25">
      <c r="A49" s="120" t="s">
        <v>1230</v>
      </c>
      <c r="B49" s="190" t="s">
        <v>1231</v>
      </c>
      <c r="C49" s="190"/>
    </row>
    <row r="50" spans="1:3" ht="20.100000000000001" customHeight="1" x14ac:dyDescent="0.25">
      <c r="A50" s="120" t="s">
        <v>1232</v>
      </c>
      <c r="B50" s="190" t="s">
        <v>1233</v>
      </c>
      <c r="C50" s="190"/>
    </row>
    <row r="51" spans="1:3" ht="20.100000000000001" customHeight="1" x14ac:dyDescent="0.25">
      <c r="A51" s="120" t="s">
        <v>1234</v>
      </c>
      <c r="B51" s="190" t="s">
        <v>1246</v>
      </c>
      <c r="C51" s="190"/>
    </row>
    <row r="52" spans="1:3" ht="20.100000000000001" customHeight="1" x14ac:dyDescent="0.25">
      <c r="A52" s="119" t="s">
        <v>1235</v>
      </c>
      <c r="B52" s="190" t="s">
        <v>1236</v>
      </c>
      <c r="C52" s="190"/>
    </row>
    <row r="53" spans="1:3" ht="20.100000000000001" customHeight="1" x14ac:dyDescent="0.25">
      <c r="A53" s="146" t="s">
        <v>1237</v>
      </c>
      <c r="B53" s="145"/>
      <c r="C53" s="145"/>
    </row>
  </sheetData>
  <mergeCells count="19">
    <mergeCell ref="B52:C52"/>
    <mergeCell ref="B34:C34"/>
    <mergeCell ref="B47:C47"/>
    <mergeCell ref="B48:C48"/>
    <mergeCell ref="B49:C49"/>
    <mergeCell ref="B50:C50"/>
    <mergeCell ref="B51:C51"/>
    <mergeCell ref="B33:C33"/>
    <mergeCell ref="A4:C4"/>
    <mergeCell ref="B5:C5"/>
    <mergeCell ref="B6:C6"/>
    <mergeCell ref="B7:C7"/>
    <mergeCell ref="B8:C8"/>
    <mergeCell ref="B27:C27"/>
    <mergeCell ref="B28:C28"/>
    <mergeCell ref="B29:C29"/>
    <mergeCell ref="B30:C30"/>
    <mergeCell ref="B31:C31"/>
    <mergeCell ref="B32:C32"/>
  </mergeCells>
  <pageMargins left="0.7" right="0.7" top="0.75" bottom="0.75" header="0.3" footer="0.3"/>
  <pageSetup paperSize="9" scale="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F82-E5BC-48C7-B076-C91BAC412E64}">
  <sheetPr>
    <tabColor theme="7" tint="0.39997558519241921"/>
  </sheetPr>
  <dimension ref="A1:L486"/>
  <sheetViews>
    <sheetView showGridLines="0" view="pageBreakPreview" zoomScale="160" zoomScaleNormal="100" zoomScaleSheetLayoutView="160" workbookViewId="0">
      <pane ySplit="1" topLeftCell="A2" activePane="bottomLeft" state="frozen"/>
      <selection pane="bottomLeft" activeCell="N471" sqref="N471"/>
    </sheetView>
  </sheetViews>
  <sheetFormatPr defaultRowHeight="15" x14ac:dyDescent="0.25"/>
  <cols>
    <col min="1" max="1" width="15.85546875" bestFit="1" customWidth="1"/>
    <col min="2" max="2" width="16" bestFit="1" customWidth="1"/>
    <col min="3" max="3" width="7.140625" bestFit="1" customWidth="1"/>
    <col min="4" max="4" width="11.140625" bestFit="1" customWidth="1"/>
    <col min="5" max="5" width="14.5703125" bestFit="1" customWidth="1"/>
    <col min="6" max="6" width="18.85546875" bestFit="1" customWidth="1"/>
    <col min="7" max="7" width="10.42578125" bestFit="1" customWidth="1"/>
    <col min="8" max="8" width="8.7109375" bestFit="1" customWidth="1"/>
    <col min="9" max="9" width="17" bestFit="1" customWidth="1"/>
    <col min="10" max="10" width="8.5703125" bestFit="1" customWidth="1"/>
    <col min="11" max="12" width="14.1406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s="158">
        <v>45292.913194444445</v>
      </c>
      <c r="C2" t="s">
        <v>13</v>
      </c>
      <c r="D2" t="s">
        <v>14</v>
      </c>
      <c r="E2" t="s">
        <v>15</v>
      </c>
      <c r="F2" t="s">
        <v>16</v>
      </c>
      <c r="G2" s="114">
        <v>280.48</v>
      </c>
      <c r="H2" t="s">
        <v>17</v>
      </c>
      <c r="J2">
        <v>2.5</v>
      </c>
      <c r="K2" s="114">
        <v>0</v>
      </c>
      <c r="L2" s="114">
        <v>0</v>
      </c>
    </row>
    <row r="3" spans="1:12" x14ac:dyDescent="0.25">
      <c r="A3" t="s">
        <v>18</v>
      </c>
      <c r="B3" s="158">
        <v>45294.355555555558</v>
      </c>
      <c r="C3" t="s">
        <v>19</v>
      </c>
      <c r="D3" t="s">
        <v>20</v>
      </c>
      <c r="E3" t="s">
        <v>15</v>
      </c>
      <c r="F3" t="s">
        <v>21</v>
      </c>
      <c r="G3" s="114">
        <v>4887.84</v>
      </c>
      <c r="H3" t="s">
        <v>22</v>
      </c>
      <c r="J3">
        <v>2.5</v>
      </c>
      <c r="K3" s="114">
        <v>122.2</v>
      </c>
      <c r="L3" s="114">
        <v>4765.6400000000003</v>
      </c>
    </row>
    <row r="4" spans="1:12" x14ac:dyDescent="0.25">
      <c r="A4" t="s">
        <v>23</v>
      </c>
      <c r="B4" s="158">
        <v>45294.427083333336</v>
      </c>
      <c r="C4" t="s">
        <v>24</v>
      </c>
      <c r="D4" t="s">
        <v>25</v>
      </c>
      <c r="E4" t="s">
        <v>15</v>
      </c>
      <c r="F4" t="s">
        <v>21</v>
      </c>
      <c r="G4" s="114">
        <v>4202.1499999999996</v>
      </c>
      <c r="H4" t="s">
        <v>22</v>
      </c>
      <c r="J4">
        <v>2.5</v>
      </c>
      <c r="K4" s="114">
        <v>105.05</v>
      </c>
      <c r="L4" s="114">
        <v>4097.1000000000004</v>
      </c>
    </row>
    <row r="5" spans="1:12" x14ac:dyDescent="0.25">
      <c r="A5" t="s">
        <v>26</v>
      </c>
      <c r="B5" s="158">
        <v>45294.436805555553</v>
      </c>
      <c r="C5" t="s">
        <v>27</v>
      </c>
      <c r="D5" t="s">
        <v>25</v>
      </c>
      <c r="E5" t="s">
        <v>28</v>
      </c>
      <c r="F5" t="s">
        <v>29</v>
      </c>
      <c r="G5" s="114">
        <v>4643.8500000000004</v>
      </c>
      <c r="H5" t="s">
        <v>17</v>
      </c>
      <c r="J5">
        <v>2.9</v>
      </c>
      <c r="K5" s="114">
        <v>0</v>
      </c>
      <c r="L5" s="114">
        <v>0</v>
      </c>
    </row>
    <row r="6" spans="1:12" x14ac:dyDescent="0.25">
      <c r="A6" t="s">
        <v>30</v>
      </c>
      <c r="B6" s="158">
        <v>45295.007638888892</v>
      </c>
      <c r="C6" t="s">
        <v>31</v>
      </c>
      <c r="D6" t="s">
        <v>32</v>
      </c>
      <c r="E6" t="s">
        <v>33</v>
      </c>
      <c r="F6" t="s">
        <v>21</v>
      </c>
      <c r="G6" s="114">
        <v>2086.9499999999998</v>
      </c>
      <c r="H6" t="s">
        <v>34</v>
      </c>
      <c r="I6" t="s">
        <v>35</v>
      </c>
      <c r="J6">
        <v>1.9</v>
      </c>
      <c r="K6" s="114">
        <v>0</v>
      </c>
      <c r="L6" s="114">
        <v>0</v>
      </c>
    </row>
    <row r="7" spans="1:12" x14ac:dyDescent="0.25">
      <c r="A7" t="s">
        <v>36</v>
      </c>
      <c r="B7" s="158">
        <v>45295.154861111114</v>
      </c>
      <c r="C7" t="s">
        <v>37</v>
      </c>
      <c r="D7" t="s">
        <v>38</v>
      </c>
      <c r="E7" t="s">
        <v>39</v>
      </c>
      <c r="F7" t="s">
        <v>16</v>
      </c>
      <c r="G7" s="114">
        <v>3624.74</v>
      </c>
      <c r="H7" t="s">
        <v>17</v>
      </c>
      <c r="J7">
        <v>3.2</v>
      </c>
      <c r="K7" s="114">
        <v>0</v>
      </c>
      <c r="L7" s="114">
        <v>0</v>
      </c>
    </row>
    <row r="8" spans="1:12" x14ac:dyDescent="0.25">
      <c r="A8" t="s">
        <v>40</v>
      </c>
      <c r="B8" s="158">
        <v>45295.384722222225</v>
      </c>
      <c r="C8" t="s">
        <v>24</v>
      </c>
      <c r="D8" t="s">
        <v>25</v>
      </c>
      <c r="E8" t="s">
        <v>39</v>
      </c>
      <c r="F8" t="s">
        <v>41</v>
      </c>
      <c r="G8" s="114">
        <v>3859.9</v>
      </c>
      <c r="H8" t="s">
        <v>22</v>
      </c>
      <c r="J8">
        <v>3.2</v>
      </c>
      <c r="K8" s="114">
        <v>123.52</v>
      </c>
      <c r="L8" s="114">
        <v>3736.38</v>
      </c>
    </row>
    <row r="9" spans="1:12" x14ac:dyDescent="0.25">
      <c r="A9" t="s">
        <v>42</v>
      </c>
      <c r="B9" s="158">
        <v>45296.226388888892</v>
      </c>
      <c r="C9" t="s">
        <v>43</v>
      </c>
      <c r="D9" t="s">
        <v>25</v>
      </c>
      <c r="E9" t="s">
        <v>44</v>
      </c>
      <c r="F9" t="s">
        <v>45</v>
      </c>
      <c r="G9" s="114">
        <v>2674.57</v>
      </c>
      <c r="H9" t="s">
        <v>22</v>
      </c>
      <c r="J9">
        <v>2.1</v>
      </c>
      <c r="K9" s="114">
        <v>56.17</v>
      </c>
      <c r="L9" s="114">
        <v>2618.4</v>
      </c>
    </row>
    <row r="10" spans="1:12" x14ac:dyDescent="0.25">
      <c r="A10" t="s">
        <v>46</v>
      </c>
      <c r="B10" s="158">
        <v>45296.466666666667</v>
      </c>
      <c r="C10" t="s">
        <v>47</v>
      </c>
      <c r="D10" t="s">
        <v>25</v>
      </c>
      <c r="E10" t="s">
        <v>33</v>
      </c>
      <c r="F10" t="s">
        <v>21</v>
      </c>
      <c r="G10" s="114">
        <v>3700.48</v>
      </c>
      <c r="H10" t="s">
        <v>22</v>
      </c>
      <c r="J10">
        <v>1.9</v>
      </c>
      <c r="K10" s="114">
        <v>70.31</v>
      </c>
      <c r="L10" s="114">
        <v>3630.17</v>
      </c>
    </row>
    <row r="11" spans="1:12" x14ac:dyDescent="0.25">
      <c r="A11" t="s">
        <v>48</v>
      </c>
      <c r="B11" s="158">
        <v>45296.57708333333</v>
      </c>
      <c r="C11" t="s">
        <v>47</v>
      </c>
      <c r="D11" t="s">
        <v>25</v>
      </c>
      <c r="E11" t="s">
        <v>33</v>
      </c>
      <c r="F11" t="s">
        <v>29</v>
      </c>
      <c r="G11" s="114">
        <v>3985.87</v>
      </c>
      <c r="H11" t="s">
        <v>17</v>
      </c>
      <c r="J11">
        <v>1.9</v>
      </c>
      <c r="K11" s="114">
        <v>0</v>
      </c>
      <c r="L11" s="114">
        <v>0</v>
      </c>
    </row>
    <row r="12" spans="1:12" x14ac:dyDescent="0.25">
      <c r="A12" t="s">
        <v>49</v>
      </c>
      <c r="B12" s="158">
        <v>45297.874305555553</v>
      </c>
      <c r="C12" t="s">
        <v>27</v>
      </c>
      <c r="D12" t="s">
        <v>25</v>
      </c>
      <c r="E12" t="s">
        <v>33</v>
      </c>
      <c r="F12" t="s">
        <v>16</v>
      </c>
      <c r="G12" s="114">
        <v>4260.84</v>
      </c>
      <c r="H12" t="s">
        <v>22</v>
      </c>
      <c r="J12">
        <v>1.9</v>
      </c>
      <c r="K12" s="114">
        <v>80.959999999999994</v>
      </c>
      <c r="L12" s="114">
        <v>4179.88</v>
      </c>
    </row>
    <row r="13" spans="1:12" x14ac:dyDescent="0.25">
      <c r="A13" t="s">
        <v>50</v>
      </c>
      <c r="B13" s="158">
        <v>45298.27847222222</v>
      </c>
      <c r="C13" t="s">
        <v>43</v>
      </c>
      <c r="D13" t="s">
        <v>25</v>
      </c>
      <c r="E13" t="s">
        <v>28</v>
      </c>
      <c r="F13" t="s">
        <v>16</v>
      </c>
      <c r="G13" s="114">
        <v>4007.09</v>
      </c>
      <c r="H13" t="s">
        <v>22</v>
      </c>
      <c r="J13">
        <v>2.9</v>
      </c>
      <c r="K13" s="114">
        <v>116.21</v>
      </c>
      <c r="L13" s="114">
        <v>3890.88</v>
      </c>
    </row>
    <row r="14" spans="1:12" x14ac:dyDescent="0.25">
      <c r="A14" t="s">
        <v>51</v>
      </c>
      <c r="B14" s="158">
        <v>45299.243055555555</v>
      </c>
      <c r="C14" t="s">
        <v>47</v>
      </c>
      <c r="D14" t="s">
        <v>25</v>
      </c>
      <c r="E14" t="s">
        <v>33</v>
      </c>
      <c r="F14" t="s">
        <v>41</v>
      </c>
      <c r="G14" s="114">
        <v>1985.08</v>
      </c>
      <c r="H14" t="s">
        <v>22</v>
      </c>
      <c r="J14">
        <v>1.9</v>
      </c>
      <c r="K14" s="114">
        <v>37.72</v>
      </c>
      <c r="L14" s="114">
        <v>1947.36</v>
      </c>
    </row>
    <row r="15" spans="1:12" x14ac:dyDescent="0.25">
      <c r="A15" t="s">
        <v>52</v>
      </c>
      <c r="B15" s="158">
        <v>45299.290972222225</v>
      </c>
      <c r="C15" t="s">
        <v>24</v>
      </c>
      <c r="D15" t="s">
        <v>25</v>
      </c>
      <c r="E15" t="s">
        <v>28</v>
      </c>
      <c r="F15" t="s">
        <v>16</v>
      </c>
      <c r="G15" s="114">
        <v>4573.0600000000004</v>
      </c>
      <c r="H15" t="s">
        <v>17</v>
      </c>
      <c r="J15">
        <v>2.9</v>
      </c>
      <c r="K15" s="114">
        <v>0</v>
      </c>
      <c r="L15" s="114">
        <v>0</v>
      </c>
    </row>
    <row r="16" spans="1:12" x14ac:dyDescent="0.25">
      <c r="A16" t="s">
        <v>53</v>
      </c>
      <c r="B16" s="158">
        <v>45299.815972222219</v>
      </c>
      <c r="C16" t="s">
        <v>13</v>
      </c>
      <c r="D16" t="s">
        <v>14</v>
      </c>
      <c r="E16" t="s">
        <v>28</v>
      </c>
      <c r="F16" t="s">
        <v>29</v>
      </c>
      <c r="G16" s="114">
        <v>2717.22</v>
      </c>
      <c r="H16" t="s">
        <v>17</v>
      </c>
      <c r="J16">
        <v>2.9</v>
      </c>
      <c r="K16" s="114">
        <v>0</v>
      </c>
      <c r="L16" s="114">
        <v>0</v>
      </c>
    </row>
    <row r="17" spans="1:12" x14ac:dyDescent="0.25">
      <c r="A17" t="s">
        <v>54</v>
      </c>
      <c r="B17" s="158">
        <v>45299.972916666666</v>
      </c>
      <c r="C17" t="s">
        <v>47</v>
      </c>
      <c r="D17" t="s">
        <v>25</v>
      </c>
      <c r="E17" t="s">
        <v>33</v>
      </c>
      <c r="F17" t="s">
        <v>29</v>
      </c>
      <c r="G17" s="114">
        <v>885.72</v>
      </c>
      <c r="H17" t="s">
        <v>34</v>
      </c>
      <c r="I17" t="s">
        <v>55</v>
      </c>
      <c r="J17">
        <v>1.9</v>
      </c>
      <c r="K17" s="114">
        <v>0</v>
      </c>
      <c r="L17" s="114">
        <v>0</v>
      </c>
    </row>
    <row r="18" spans="1:12" x14ac:dyDescent="0.25">
      <c r="A18" t="s">
        <v>56</v>
      </c>
      <c r="B18" s="158">
        <v>45300.300694444442</v>
      </c>
      <c r="C18" t="s">
        <v>31</v>
      </c>
      <c r="D18" t="s">
        <v>32</v>
      </c>
      <c r="E18" t="s">
        <v>28</v>
      </c>
      <c r="F18" t="s">
        <v>45</v>
      </c>
      <c r="G18" s="114">
        <v>177.55</v>
      </c>
      <c r="H18" t="s">
        <v>17</v>
      </c>
      <c r="J18">
        <v>2.9</v>
      </c>
      <c r="K18" s="114">
        <v>0</v>
      </c>
      <c r="L18" s="114">
        <v>0</v>
      </c>
    </row>
    <row r="19" spans="1:12" x14ac:dyDescent="0.25">
      <c r="A19" t="s">
        <v>57</v>
      </c>
      <c r="B19" s="158">
        <v>45301.658333333333</v>
      </c>
      <c r="C19" t="s">
        <v>58</v>
      </c>
      <c r="D19" t="s">
        <v>25</v>
      </c>
      <c r="E19" t="s">
        <v>28</v>
      </c>
      <c r="F19" t="s">
        <v>29</v>
      </c>
      <c r="G19" s="114">
        <v>548.01</v>
      </c>
      <c r="H19" t="s">
        <v>17</v>
      </c>
      <c r="J19">
        <v>2.9</v>
      </c>
      <c r="K19" s="114">
        <v>0</v>
      </c>
      <c r="L19" s="114">
        <v>0</v>
      </c>
    </row>
    <row r="20" spans="1:12" x14ac:dyDescent="0.25">
      <c r="A20" t="s">
        <v>59</v>
      </c>
      <c r="B20" s="158">
        <v>45301.694444444445</v>
      </c>
      <c r="C20" t="s">
        <v>60</v>
      </c>
      <c r="D20" t="s">
        <v>25</v>
      </c>
      <c r="E20" t="s">
        <v>33</v>
      </c>
      <c r="F20" t="s">
        <v>45</v>
      </c>
      <c r="G20" s="114">
        <v>2031.62</v>
      </c>
      <c r="H20" t="s">
        <v>17</v>
      </c>
      <c r="J20">
        <v>1.9</v>
      </c>
      <c r="K20" s="114">
        <v>0</v>
      </c>
      <c r="L20" s="114">
        <v>0</v>
      </c>
    </row>
    <row r="21" spans="1:12" x14ac:dyDescent="0.25">
      <c r="A21" t="s">
        <v>61</v>
      </c>
      <c r="B21" s="158">
        <v>45301.864583333336</v>
      </c>
      <c r="C21" t="s">
        <v>13</v>
      </c>
      <c r="D21" t="s">
        <v>14</v>
      </c>
      <c r="E21" t="s">
        <v>44</v>
      </c>
      <c r="F21" t="s">
        <v>45</v>
      </c>
      <c r="G21" s="114">
        <v>2501.0300000000002</v>
      </c>
      <c r="H21" t="s">
        <v>34</v>
      </c>
      <c r="I21" t="s">
        <v>62</v>
      </c>
      <c r="J21">
        <v>2.1</v>
      </c>
      <c r="K21" s="114">
        <v>0</v>
      </c>
      <c r="L21" s="114">
        <v>0</v>
      </c>
    </row>
    <row r="22" spans="1:12" x14ac:dyDescent="0.25">
      <c r="A22" t="s">
        <v>63</v>
      </c>
      <c r="B22" s="158">
        <v>45302.040972222225</v>
      </c>
      <c r="C22" t="s">
        <v>13</v>
      </c>
      <c r="D22" t="s">
        <v>14</v>
      </c>
      <c r="E22" t="s">
        <v>33</v>
      </c>
      <c r="F22" t="s">
        <v>29</v>
      </c>
      <c r="G22" s="114">
        <v>4535.16</v>
      </c>
      <c r="H22" t="s">
        <v>34</v>
      </c>
      <c r="I22" t="s">
        <v>35</v>
      </c>
      <c r="J22">
        <v>1.9</v>
      </c>
      <c r="K22" s="114">
        <v>0</v>
      </c>
      <c r="L22" s="114">
        <v>0</v>
      </c>
    </row>
    <row r="23" spans="1:12" x14ac:dyDescent="0.25">
      <c r="A23" t="s">
        <v>64</v>
      </c>
      <c r="B23" s="158">
        <v>45302.427777777775</v>
      </c>
      <c r="C23" t="s">
        <v>31</v>
      </c>
      <c r="D23" t="s">
        <v>32</v>
      </c>
      <c r="E23" t="s">
        <v>28</v>
      </c>
      <c r="F23" t="s">
        <v>21</v>
      </c>
      <c r="G23" s="114">
        <v>858.82</v>
      </c>
      <c r="H23" t="s">
        <v>34</v>
      </c>
      <c r="I23" t="s">
        <v>35</v>
      </c>
      <c r="J23">
        <v>2.9</v>
      </c>
      <c r="K23" s="114">
        <v>0</v>
      </c>
      <c r="L23" s="114">
        <v>0</v>
      </c>
    </row>
    <row r="24" spans="1:12" x14ac:dyDescent="0.25">
      <c r="A24" t="s">
        <v>65</v>
      </c>
      <c r="B24" s="158">
        <v>45302.933333333334</v>
      </c>
      <c r="C24" t="s">
        <v>37</v>
      </c>
      <c r="D24" t="s">
        <v>38</v>
      </c>
      <c r="E24" t="s">
        <v>44</v>
      </c>
      <c r="F24" t="s">
        <v>21</v>
      </c>
      <c r="G24" s="114">
        <v>4494.33</v>
      </c>
      <c r="H24" t="s">
        <v>34</v>
      </c>
      <c r="I24" t="s">
        <v>55</v>
      </c>
      <c r="J24">
        <v>2.1</v>
      </c>
      <c r="K24" s="114">
        <v>0</v>
      </c>
      <c r="L24" s="114">
        <v>0</v>
      </c>
    </row>
    <row r="25" spans="1:12" x14ac:dyDescent="0.25">
      <c r="A25" t="s">
        <v>66</v>
      </c>
      <c r="B25" s="158">
        <v>45303.395138888889</v>
      </c>
      <c r="C25" t="s">
        <v>13</v>
      </c>
      <c r="D25" t="s">
        <v>14</v>
      </c>
      <c r="E25" t="s">
        <v>15</v>
      </c>
      <c r="F25" t="s">
        <v>45</v>
      </c>
      <c r="G25" s="114">
        <v>1902.59</v>
      </c>
      <c r="H25" t="s">
        <v>22</v>
      </c>
      <c r="J25">
        <v>2.5</v>
      </c>
      <c r="K25" s="114">
        <v>47.56</v>
      </c>
      <c r="L25" s="114">
        <v>1855.03</v>
      </c>
    </row>
    <row r="26" spans="1:12" x14ac:dyDescent="0.25">
      <c r="A26" t="s">
        <v>67</v>
      </c>
      <c r="B26" s="158">
        <v>45303.783333333333</v>
      </c>
      <c r="C26" t="s">
        <v>47</v>
      </c>
      <c r="D26" t="s">
        <v>25</v>
      </c>
      <c r="E26" t="s">
        <v>44</v>
      </c>
      <c r="F26" t="s">
        <v>21</v>
      </c>
      <c r="G26" s="114">
        <v>1010.77</v>
      </c>
      <c r="H26" t="s">
        <v>22</v>
      </c>
      <c r="J26">
        <v>2.1</v>
      </c>
      <c r="K26" s="114">
        <v>21.23</v>
      </c>
      <c r="L26" s="114">
        <v>989.54</v>
      </c>
    </row>
    <row r="27" spans="1:12" x14ac:dyDescent="0.25">
      <c r="A27" t="s">
        <v>68</v>
      </c>
      <c r="B27" s="158">
        <v>45304.240972222222</v>
      </c>
      <c r="C27" t="s">
        <v>37</v>
      </c>
      <c r="D27" t="s">
        <v>38</v>
      </c>
      <c r="E27" t="s">
        <v>15</v>
      </c>
      <c r="F27" t="s">
        <v>29</v>
      </c>
      <c r="G27" s="114">
        <v>1341.36</v>
      </c>
      <c r="H27" t="s">
        <v>22</v>
      </c>
      <c r="J27">
        <v>2.5</v>
      </c>
      <c r="K27" s="114">
        <v>33.53</v>
      </c>
      <c r="L27" s="114">
        <v>1307.83</v>
      </c>
    </row>
    <row r="28" spans="1:12" x14ac:dyDescent="0.25">
      <c r="A28" t="s">
        <v>69</v>
      </c>
      <c r="B28" s="158">
        <v>45304.702777777777</v>
      </c>
      <c r="C28" t="s">
        <v>37</v>
      </c>
      <c r="D28" t="s">
        <v>38</v>
      </c>
      <c r="E28" t="s">
        <v>33</v>
      </c>
      <c r="F28" t="s">
        <v>45</v>
      </c>
      <c r="G28" s="114">
        <v>2233.33</v>
      </c>
      <c r="H28" t="s">
        <v>22</v>
      </c>
      <c r="J28">
        <v>1.9</v>
      </c>
      <c r="K28" s="114">
        <v>42.43</v>
      </c>
      <c r="L28" s="114">
        <v>2190.9</v>
      </c>
    </row>
    <row r="29" spans="1:12" x14ac:dyDescent="0.25">
      <c r="A29" t="s">
        <v>70</v>
      </c>
      <c r="B29" s="158">
        <v>45304.883333333331</v>
      </c>
      <c r="C29" t="s">
        <v>58</v>
      </c>
      <c r="D29" t="s">
        <v>25</v>
      </c>
      <c r="E29" t="s">
        <v>39</v>
      </c>
      <c r="F29" t="s">
        <v>21</v>
      </c>
      <c r="G29" s="114">
        <v>4323.12</v>
      </c>
      <c r="H29" t="s">
        <v>22</v>
      </c>
      <c r="J29">
        <v>3.2</v>
      </c>
      <c r="K29" s="114">
        <v>138.34</v>
      </c>
      <c r="L29" s="114">
        <v>4184.78</v>
      </c>
    </row>
    <row r="30" spans="1:12" x14ac:dyDescent="0.25">
      <c r="A30" t="s">
        <v>71</v>
      </c>
      <c r="B30" s="158">
        <v>45306.158333333333</v>
      </c>
      <c r="C30" t="s">
        <v>47</v>
      </c>
      <c r="D30" t="s">
        <v>25</v>
      </c>
      <c r="E30" t="s">
        <v>15</v>
      </c>
      <c r="F30" t="s">
        <v>41</v>
      </c>
      <c r="G30" s="114">
        <v>2998.47</v>
      </c>
      <c r="H30" t="s">
        <v>22</v>
      </c>
      <c r="J30">
        <v>2.5</v>
      </c>
      <c r="K30" s="114">
        <v>74.959999999999994</v>
      </c>
      <c r="L30" s="114">
        <v>2923.51</v>
      </c>
    </row>
    <row r="31" spans="1:12" x14ac:dyDescent="0.25">
      <c r="A31" t="s">
        <v>72</v>
      </c>
      <c r="B31" s="158">
        <v>45307.529861111114</v>
      </c>
      <c r="C31" t="s">
        <v>58</v>
      </c>
      <c r="D31" t="s">
        <v>25</v>
      </c>
      <c r="E31" t="s">
        <v>44</v>
      </c>
      <c r="F31" t="s">
        <v>21</v>
      </c>
      <c r="G31" s="114">
        <v>1081.43</v>
      </c>
      <c r="H31" t="s">
        <v>22</v>
      </c>
      <c r="J31">
        <v>2.1</v>
      </c>
      <c r="K31" s="114">
        <v>22.71</v>
      </c>
      <c r="L31" s="114">
        <v>1058.72</v>
      </c>
    </row>
    <row r="32" spans="1:12" x14ac:dyDescent="0.25">
      <c r="A32" t="s">
        <v>73</v>
      </c>
      <c r="B32" s="158">
        <v>45307.589583333334</v>
      </c>
      <c r="C32" t="s">
        <v>60</v>
      </c>
      <c r="D32" t="s">
        <v>25</v>
      </c>
      <c r="E32" t="s">
        <v>33</v>
      </c>
      <c r="F32" t="s">
        <v>41</v>
      </c>
      <c r="G32" s="114">
        <v>433.04</v>
      </c>
      <c r="H32" t="s">
        <v>22</v>
      </c>
      <c r="J32">
        <v>1.9</v>
      </c>
      <c r="K32" s="114">
        <v>8.23</v>
      </c>
      <c r="L32" s="114">
        <v>424.81</v>
      </c>
    </row>
    <row r="33" spans="1:12" x14ac:dyDescent="0.25">
      <c r="A33" t="s">
        <v>74</v>
      </c>
      <c r="B33" s="158">
        <v>45308.254166666666</v>
      </c>
      <c r="C33" t="s">
        <v>43</v>
      </c>
      <c r="D33" t="s">
        <v>25</v>
      </c>
      <c r="E33" t="s">
        <v>44</v>
      </c>
      <c r="F33" t="s">
        <v>41</v>
      </c>
      <c r="G33" s="114">
        <v>168.77</v>
      </c>
      <c r="H33" t="s">
        <v>34</v>
      </c>
      <c r="I33" t="s">
        <v>55</v>
      </c>
      <c r="J33">
        <v>2.1</v>
      </c>
      <c r="K33" s="114">
        <v>0</v>
      </c>
      <c r="L33" s="114">
        <v>0</v>
      </c>
    </row>
    <row r="34" spans="1:12" x14ac:dyDescent="0.25">
      <c r="A34" t="s">
        <v>75</v>
      </c>
      <c r="B34" s="158">
        <v>45308.434027777781</v>
      </c>
      <c r="C34" t="s">
        <v>47</v>
      </c>
      <c r="D34" t="s">
        <v>25</v>
      </c>
      <c r="E34" t="s">
        <v>28</v>
      </c>
      <c r="F34" t="s">
        <v>29</v>
      </c>
      <c r="G34" s="114">
        <v>4566.55</v>
      </c>
      <c r="H34" t="s">
        <v>17</v>
      </c>
      <c r="J34">
        <v>2.9</v>
      </c>
      <c r="K34" s="114">
        <v>0</v>
      </c>
      <c r="L34" s="114">
        <v>0</v>
      </c>
    </row>
    <row r="35" spans="1:12" x14ac:dyDescent="0.25">
      <c r="A35" t="s">
        <v>76</v>
      </c>
      <c r="B35" s="158">
        <v>45308.580555555556</v>
      </c>
      <c r="C35" t="s">
        <v>31</v>
      </c>
      <c r="D35" t="s">
        <v>32</v>
      </c>
      <c r="E35" t="s">
        <v>15</v>
      </c>
      <c r="F35" t="s">
        <v>16</v>
      </c>
      <c r="G35" s="114">
        <v>1579.65</v>
      </c>
      <c r="H35" t="s">
        <v>34</v>
      </c>
      <c r="I35" t="s">
        <v>55</v>
      </c>
      <c r="J35">
        <v>2.5</v>
      </c>
      <c r="K35" s="114">
        <v>0</v>
      </c>
      <c r="L35" s="114">
        <v>0</v>
      </c>
    </row>
    <row r="36" spans="1:12" x14ac:dyDescent="0.25">
      <c r="A36" t="s">
        <v>77</v>
      </c>
      <c r="B36" s="158">
        <v>45308.965277777781</v>
      </c>
      <c r="C36" t="s">
        <v>13</v>
      </c>
      <c r="D36" t="s">
        <v>14</v>
      </c>
      <c r="E36" t="s">
        <v>39</v>
      </c>
      <c r="F36" t="s">
        <v>41</v>
      </c>
      <c r="G36" s="114">
        <v>3011.99</v>
      </c>
      <c r="H36" t="s">
        <v>34</v>
      </c>
      <c r="I36" t="s">
        <v>78</v>
      </c>
      <c r="J36">
        <v>3.2</v>
      </c>
      <c r="K36" s="114">
        <v>0</v>
      </c>
      <c r="L36" s="114">
        <v>0</v>
      </c>
    </row>
    <row r="37" spans="1:12" x14ac:dyDescent="0.25">
      <c r="A37" t="s">
        <v>79</v>
      </c>
      <c r="B37" s="158">
        <v>45309.169444444444</v>
      </c>
      <c r="C37" t="s">
        <v>24</v>
      </c>
      <c r="D37" t="s">
        <v>25</v>
      </c>
      <c r="E37" t="s">
        <v>39</v>
      </c>
      <c r="F37" t="s">
        <v>21</v>
      </c>
      <c r="G37" s="114">
        <v>1920.44</v>
      </c>
      <c r="H37" t="s">
        <v>17</v>
      </c>
      <c r="J37">
        <v>3.2</v>
      </c>
      <c r="K37" s="114">
        <v>0</v>
      </c>
      <c r="L37" s="114">
        <v>0</v>
      </c>
    </row>
    <row r="38" spans="1:12" x14ac:dyDescent="0.25">
      <c r="A38" t="s">
        <v>80</v>
      </c>
      <c r="B38" s="158">
        <v>45309.270138888889</v>
      </c>
      <c r="C38" t="s">
        <v>31</v>
      </c>
      <c r="D38" t="s">
        <v>32</v>
      </c>
      <c r="E38" t="s">
        <v>33</v>
      </c>
      <c r="F38" t="s">
        <v>29</v>
      </c>
      <c r="G38" s="114">
        <v>2369.4</v>
      </c>
      <c r="H38" t="s">
        <v>22</v>
      </c>
      <c r="J38">
        <v>1.9</v>
      </c>
      <c r="K38" s="114">
        <v>45.02</v>
      </c>
      <c r="L38" s="114">
        <v>2324.38</v>
      </c>
    </row>
    <row r="39" spans="1:12" x14ac:dyDescent="0.25">
      <c r="A39" t="s">
        <v>81</v>
      </c>
      <c r="B39" s="158">
        <v>45309.890277777777</v>
      </c>
      <c r="C39" t="s">
        <v>37</v>
      </c>
      <c r="D39" t="s">
        <v>38</v>
      </c>
      <c r="E39" t="s">
        <v>15</v>
      </c>
      <c r="F39" t="s">
        <v>16</v>
      </c>
      <c r="G39" s="114">
        <v>4875.16</v>
      </c>
      <c r="H39" t="s">
        <v>17</v>
      </c>
      <c r="J39">
        <v>2.5</v>
      </c>
      <c r="K39" s="114">
        <v>0</v>
      </c>
      <c r="L39" s="114">
        <v>0</v>
      </c>
    </row>
    <row r="40" spans="1:12" x14ac:dyDescent="0.25">
      <c r="A40" t="s">
        <v>82</v>
      </c>
      <c r="B40" s="158">
        <v>45310.188888888886</v>
      </c>
      <c r="C40" t="s">
        <v>19</v>
      </c>
      <c r="D40" t="s">
        <v>20</v>
      </c>
      <c r="E40" t="s">
        <v>39</v>
      </c>
      <c r="F40" t="s">
        <v>41</v>
      </c>
      <c r="G40" s="114">
        <v>4372.21</v>
      </c>
      <c r="H40" t="s">
        <v>34</v>
      </c>
      <c r="I40" t="s">
        <v>78</v>
      </c>
      <c r="J40">
        <v>3.2</v>
      </c>
      <c r="K40" s="114">
        <v>0</v>
      </c>
      <c r="L40" s="114">
        <v>0</v>
      </c>
    </row>
    <row r="41" spans="1:12" x14ac:dyDescent="0.25">
      <c r="A41" t="s">
        <v>83</v>
      </c>
      <c r="B41" s="158">
        <v>45310.383333333331</v>
      </c>
      <c r="C41" t="s">
        <v>60</v>
      </c>
      <c r="D41" t="s">
        <v>25</v>
      </c>
      <c r="E41" t="s">
        <v>44</v>
      </c>
      <c r="F41" t="s">
        <v>41</v>
      </c>
      <c r="G41" s="114">
        <v>1584.82</v>
      </c>
      <c r="H41" t="s">
        <v>22</v>
      </c>
      <c r="J41">
        <v>2.1</v>
      </c>
      <c r="K41" s="114">
        <v>33.28</v>
      </c>
      <c r="L41" s="114">
        <v>1551.54</v>
      </c>
    </row>
    <row r="42" spans="1:12" x14ac:dyDescent="0.25">
      <c r="A42" t="s">
        <v>84</v>
      </c>
      <c r="B42" s="158">
        <v>45310.488888888889</v>
      </c>
      <c r="C42" t="s">
        <v>13</v>
      </c>
      <c r="D42" t="s">
        <v>14</v>
      </c>
      <c r="E42" t="s">
        <v>33</v>
      </c>
      <c r="F42" t="s">
        <v>41</v>
      </c>
      <c r="G42" s="114">
        <v>555.75</v>
      </c>
      <c r="H42" t="s">
        <v>22</v>
      </c>
      <c r="J42">
        <v>1.9</v>
      </c>
      <c r="K42" s="114">
        <v>10.56</v>
      </c>
      <c r="L42" s="114">
        <v>545.19000000000005</v>
      </c>
    </row>
    <row r="43" spans="1:12" x14ac:dyDescent="0.25">
      <c r="A43" t="s">
        <v>85</v>
      </c>
      <c r="B43" s="158">
        <v>45310.642361111109</v>
      </c>
      <c r="C43" t="s">
        <v>43</v>
      </c>
      <c r="D43" t="s">
        <v>25</v>
      </c>
      <c r="E43" t="s">
        <v>33</v>
      </c>
      <c r="F43" t="s">
        <v>45</v>
      </c>
      <c r="G43" s="114">
        <v>3625.82</v>
      </c>
      <c r="H43" t="s">
        <v>34</v>
      </c>
      <c r="I43" t="s">
        <v>35</v>
      </c>
      <c r="J43">
        <v>1.9</v>
      </c>
      <c r="K43" s="114">
        <v>0</v>
      </c>
      <c r="L43" s="114">
        <v>0</v>
      </c>
    </row>
    <row r="44" spans="1:12" x14ac:dyDescent="0.25">
      <c r="A44" t="s">
        <v>86</v>
      </c>
      <c r="B44" s="158">
        <v>45310.719444444447</v>
      </c>
      <c r="C44" t="s">
        <v>13</v>
      </c>
      <c r="D44" t="s">
        <v>14</v>
      </c>
      <c r="E44" t="s">
        <v>33</v>
      </c>
      <c r="F44" t="s">
        <v>16</v>
      </c>
      <c r="G44" s="114">
        <v>3273</v>
      </c>
      <c r="H44" t="s">
        <v>22</v>
      </c>
      <c r="J44">
        <v>1.9</v>
      </c>
      <c r="K44" s="114">
        <v>62.19</v>
      </c>
      <c r="L44" s="114">
        <v>3210.81</v>
      </c>
    </row>
    <row r="45" spans="1:12" x14ac:dyDescent="0.25">
      <c r="A45" t="s">
        <v>87</v>
      </c>
      <c r="B45" s="158">
        <v>45310.743750000001</v>
      </c>
      <c r="C45" t="s">
        <v>58</v>
      </c>
      <c r="D45" t="s">
        <v>25</v>
      </c>
      <c r="E45" t="s">
        <v>44</v>
      </c>
      <c r="F45" t="s">
        <v>21</v>
      </c>
      <c r="G45" s="114">
        <v>1248.83</v>
      </c>
      <c r="H45" t="s">
        <v>22</v>
      </c>
      <c r="J45">
        <v>2.1</v>
      </c>
      <c r="K45" s="114">
        <v>26.23</v>
      </c>
      <c r="L45" s="114">
        <v>1222.5999999999999</v>
      </c>
    </row>
    <row r="46" spans="1:12" x14ac:dyDescent="0.25">
      <c r="A46" t="s">
        <v>88</v>
      </c>
      <c r="B46" s="158">
        <v>45311.634722222225</v>
      </c>
      <c r="C46" t="s">
        <v>24</v>
      </c>
      <c r="D46" t="s">
        <v>25</v>
      </c>
      <c r="E46" t="s">
        <v>15</v>
      </c>
      <c r="F46" t="s">
        <v>21</v>
      </c>
      <c r="G46" s="114">
        <v>1532.9</v>
      </c>
      <c r="H46" t="s">
        <v>22</v>
      </c>
      <c r="J46">
        <v>2.5</v>
      </c>
      <c r="K46" s="114">
        <v>38.32</v>
      </c>
      <c r="L46" s="114">
        <v>1494.58</v>
      </c>
    </row>
    <row r="47" spans="1:12" x14ac:dyDescent="0.25">
      <c r="A47" t="s">
        <v>89</v>
      </c>
      <c r="B47" s="158">
        <v>45312.322916666664</v>
      </c>
      <c r="C47" t="s">
        <v>43</v>
      </c>
      <c r="D47" t="s">
        <v>25</v>
      </c>
      <c r="E47" t="s">
        <v>15</v>
      </c>
      <c r="F47" t="s">
        <v>45</v>
      </c>
      <c r="G47" s="114">
        <v>2618.5100000000002</v>
      </c>
      <c r="H47" t="s">
        <v>22</v>
      </c>
      <c r="J47">
        <v>2.5</v>
      </c>
      <c r="K47" s="114">
        <v>65.459999999999994</v>
      </c>
      <c r="L47" s="114">
        <v>2553.0500000000002</v>
      </c>
    </row>
    <row r="48" spans="1:12" x14ac:dyDescent="0.25">
      <c r="A48" t="s">
        <v>90</v>
      </c>
      <c r="B48" s="158">
        <v>45312.324999999997</v>
      </c>
      <c r="C48" t="s">
        <v>43</v>
      </c>
      <c r="D48" t="s">
        <v>25</v>
      </c>
      <c r="E48" t="s">
        <v>44</v>
      </c>
      <c r="F48" t="s">
        <v>41</v>
      </c>
      <c r="G48" s="114">
        <v>1329.14</v>
      </c>
      <c r="H48" t="s">
        <v>22</v>
      </c>
      <c r="J48">
        <v>2.1</v>
      </c>
      <c r="K48" s="114">
        <v>27.91</v>
      </c>
      <c r="L48" s="114">
        <v>1301.23</v>
      </c>
    </row>
    <row r="49" spans="1:12" x14ac:dyDescent="0.25">
      <c r="A49" t="s">
        <v>91</v>
      </c>
      <c r="B49" s="158">
        <v>45312.913888888892</v>
      </c>
      <c r="C49" t="s">
        <v>37</v>
      </c>
      <c r="D49" t="s">
        <v>38</v>
      </c>
      <c r="E49" t="s">
        <v>15</v>
      </c>
      <c r="F49" t="s">
        <v>41</v>
      </c>
      <c r="G49" s="114">
        <v>1935.52</v>
      </c>
      <c r="H49" t="s">
        <v>17</v>
      </c>
      <c r="J49">
        <v>2.5</v>
      </c>
      <c r="K49" s="114">
        <v>0</v>
      </c>
      <c r="L49" s="114">
        <v>0</v>
      </c>
    </row>
    <row r="50" spans="1:12" x14ac:dyDescent="0.25">
      <c r="A50" t="s">
        <v>92</v>
      </c>
      <c r="B50" s="158">
        <v>45313.40625</v>
      </c>
      <c r="C50" t="s">
        <v>31</v>
      </c>
      <c r="D50" t="s">
        <v>32</v>
      </c>
      <c r="E50" t="s">
        <v>39</v>
      </c>
      <c r="F50" t="s">
        <v>16</v>
      </c>
      <c r="G50" s="114">
        <v>3283.3</v>
      </c>
      <c r="H50" t="s">
        <v>34</v>
      </c>
      <c r="I50" t="s">
        <v>35</v>
      </c>
      <c r="J50">
        <v>3.2</v>
      </c>
      <c r="K50" s="114">
        <v>0</v>
      </c>
      <c r="L50" s="114">
        <v>0</v>
      </c>
    </row>
    <row r="51" spans="1:12" x14ac:dyDescent="0.25">
      <c r="A51" t="s">
        <v>93</v>
      </c>
      <c r="B51" s="158">
        <v>45313.585416666669</v>
      </c>
      <c r="C51" t="s">
        <v>27</v>
      </c>
      <c r="D51" t="s">
        <v>25</v>
      </c>
      <c r="E51" t="s">
        <v>33</v>
      </c>
      <c r="F51" t="s">
        <v>16</v>
      </c>
      <c r="G51" s="114">
        <v>4110.21</v>
      </c>
      <c r="H51" t="s">
        <v>34</v>
      </c>
      <c r="I51" t="s">
        <v>55</v>
      </c>
      <c r="J51">
        <v>1.9</v>
      </c>
      <c r="K51" s="114">
        <v>0</v>
      </c>
      <c r="L51" s="114">
        <v>0</v>
      </c>
    </row>
    <row r="52" spans="1:12" x14ac:dyDescent="0.25">
      <c r="A52" t="s">
        <v>94</v>
      </c>
      <c r="B52" s="158">
        <v>45313.784722222219</v>
      </c>
      <c r="C52" t="s">
        <v>43</v>
      </c>
      <c r="D52" t="s">
        <v>25</v>
      </c>
      <c r="E52" t="s">
        <v>33</v>
      </c>
      <c r="F52" t="s">
        <v>29</v>
      </c>
      <c r="G52" s="114">
        <v>1863.28</v>
      </c>
      <c r="H52" t="s">
        <v>22</v>
      </c>
      <c r="J52">
        <v>1.9</v>
      </c>
      <c r="K52" s="114">
        <v>35.4</v>
      </c>
      <c r="L52" s="114">
        <v>1827.88</v>
      </c>
    </row>
    <row r="53" spans="1:12" x14ac:dyDescent="0.25">
      <c r="A53" t="s">
        <v>95</v>
      </c>
      <c r="B53" s="158">
        <v>45314.010416666664</v>
      </c>
      <c r="C53" t="s">
        <v>60</v>
      </c>
      <c r="D53" t="s">
        <v>25</v>
      </c>
      <c r="E53" t="s">
        <v>15</v>
      </c>
      <c r="F53" t="s">
        <v>21</v>
      </c>
      <c r="G53" s="114">
        <v>1921.07</v>
      </c>
      <c r="H53" t="s">
        <v>22</v>
      </c>
      <c r="J53">
        <v>2.5</v>
      </c>
      <c r="K53" s="114">
        <v>48.03</v>
      </c>
      <c r="L53" s="114">
        <v>1873.04</v>
      </c>
    </row>
    <row r="54" spans="1:12" x14ac:dyDescent="0.25">
      <c r="A54" t="s">
        <v>96</v>
      </c>
      <c r="B54" s="158">
        <v>45314.0625</v>
      </c>
      <c r="C54" t="s">
        <v>13</v>
      </c>
      <c r="D54" t="s">
        <v>14</v>
      </c>
      <c r="E54" t="s">
        <v>28</v>
      </c>
      <c r="F54" t="s">
        <v>16</v>
      </c>
      <c r="G54" s="114">
        <v>2660.3</v>
      </c>
      <c r="H54" t="s">
        <v>34</v>
      </c>
      <c r="I54" t="s">
        <v>78</v>
      </c>
      <c r="J54">
        <v>2.9</v>
      </c>
      <c r="K54" s="114">
        <v>0</v>
      </c>
      <c r="L54" s="114">
        <v>0</v>
      </c>
    </row>
    <row r="55" spans="1:12" x14ac:dyDescent="0.25">
      <c r="A55" t="s">
        <v>97</v>
      </c>
      <c r="B55" s="158">
        <v>45315.094444444447</v>
      </c>
      <c r="C55" t="s">
        <v>37</v>
      </c>
      <c r="D55" t="s">
        <v>38</v>
      </c>
      <c r="E55" t="s">
        <v>28</v>
      </c>
      <c r="F55" t="s">
        <v>45</v>
      </c>
      <c r="G55" s="114">
        <v>3839.97</v>
      </c>
      <c r="H55" t="s">
        <v>17</v>
      </c>
      <c r="J55">
        <v>2.9</v>
      </c>
      <c r="K55" s="114">
        <v>0</v>
      </c>
      <c r="L55" s="114">
        <v>0</v>
      </c>
    </row>
    <row r="56" spans="1:12" x14ac:dyDescent="0.25">
      <c r="A56" t="s">
        <v>98</v>
      </c>
      <c r="B56" s="158">
        <v>45315.720138888886</v>
      </c>
      <c r="C56" t="s">
        <v>27</v>
      </c>
      <c r="D56" t="s">
        <v>25</v>
      </c>
      <c r="E56" t="s">
        <v>33</v>
      </c>
      <c r="F56" t="s">
        <v>45</v>
      </c>
      <c r="G56" s="114">
        <v>3350.73</v>
      </c>
      <c r="H56" t="s">
        <v>22</v>
      </c>
      <c r="J56">
        <v>1.9</v>
      </c>
      <c r="K56" s="114">
        <v>63.66</v>
      </c>
      <c r="L56" s="114">
        <v>3287.07</v>
      </c>
    </row>
    <row r="57" spans="1:12" x14ac:dyDescent="0.25">
      <c r="A57" t="s">
        <v>99</v>
      </c>
      <c r="B57" s="158">
        <v>45315.867361111108</v>
      </c>
      <c r="C57" t="s">
        <v>19</v>
      </c>
      <c r="D57" t="s">
        <v>20</v>
      </c>
      <c r="E57" t="s">
        <v>39</v>
      </c>
      <c r="F57" t="s">
        <v>29</v>
      </c>
      <c r="G57" s="114">
        <v>3837.13</v>
      </c>
      <c r="H57" t="s">
        <v>34</v>
      </c>
      <c r="I57" t="s">
        <v>100</v>
      </c>
      <c r="J57">
        <v>3.2</v>
      </c>
      <c r="K57" s="114">
        <v>0</v>
      </c>
      <c r="L57" s="114">
        <v>0</v>
      </c>
    </row>
    <row r="58" spans="1:12" x14ac:dyDescent="0.25">
      <c r="A58" t="s">
        <v>101</v>
      </c>
      <c r="B58" s="158">
        <v>45316.413888888892</v>
      </c>
      <c r="C58" t="s">
        <v>47</v>
      </c>
      <c r="D58" t="s">
        <v>25</v>
      </c>
      <c r="E58" t="s">
        <v>44</v>
      </c>
      <c r="F58" t="s">
        <v>29</v>
      </c>
      <c r="G58" s="114">
        <v>4097.43</v>
      </c>
      <c r="H58" t="s">
        <v>34</v>
      </c>
      <c r="I58" t="s">
        <v>78</v>
      </c>
      <c r="J58">
        <v>2.1</v>
      </c>
      <c r="K58" s="114">
        <v>0</v>
      </c>
      <c r="L58" s="114">
        <v>0</v>
      </c>
    </row>
    <row r="59" spans="1:12" x14ac:dyDescent="0.25">
      <c r="A59" t="s">
        <v>102</v>
      </c>
      <c r="B59" s="158">
        <v>45317.35</v>
      </c>
      <c r="C59" t="s">
        <v>37</v>
      </c>
      <c r="D59" t="s">
        <v>38</v>
      </c>
      <c r="E59" t="s">
        <v>44</v>
      </c>
      <c r="F59" t="s">
        <v>16</v>
      </c>
      <c r="G59" s="114">
        <v>1640.96</v>
      </c>
      <c r="H59" t="s">
        <v>34</v>
      </c>
      <c r="I59" t="s">
        <v>62</v>
      </c>
      <c r="J59">
        <v>2.1</v>
      </c>
      <c r="K59" s="114">
        <v>0</v>
      </c>
      <c r="L59" s="114">
        <v>0</v>
      </c>
    </row>
    <row r="60" spans="1:12" x14ac:dyDescent="0.25">
      <c r="A60" t="s">
        <v>103</v>
      </c>
      <c r="B60" s="158">
        <v>45317.71875</v>
      </c>
      <c r="C60" t="s">
        <v>31</v>
      </c>
      <c r="D60" t="s">
        <v>32</v>
      </c>
      <c r="E60" t="s">
        <v>15</v>
      </c>
      <c r="F60" t="s">
        <v>29</v>
      </c>
      <c r="G60" s="114">
        <v>4009.07</v>
      </c>
      <c r="H60" t="s">
        <v>17</v>
      </c>
      <c r="J60">
        <v>2.5</v>
      </c>
      <c r="K60" s="114">
        <v>0</v>
      </c>
      <c r="L60" s="114">
        <v>0</v>
      </c>
    </row>
    <row r="61" spans="1:12" x14ac:dyDescent="0.25">
      <c r="A61" t="s">
        <v>104</v>
      </c>
      <c r="B61" s="158">
        <v>45317.979166666664</v>
      </c>
      <c r="C61" t="s">
        <v>47</v>
      </c>
      <c r="D61" t="s">
        <v>25</v>
      </c>
      <c r="E61" t="s">
        <v>39</v>
      </c>
      <c r="F61" t="s">
        <v>41</v>
      </c>
      <c r="G61" s="114">
        <v>1695.95</v>
      </c>
      <c r="H61" t="s">
        <v>22</v>
      </c>
      <c r="J61">
        <v>3.2</v>
      </c>
      <c r="K61" s="114">
        <v>54.27</v>
      </c>
      <c r="L61" s="114">
        <v>1641.68</v>
      </c>
    </row>
    <row r="62" spans="1:12" x14ac:dyDescent="0.25">
      <c r="A62" t="s">
        <v>105</v>
      </c>
      <c r="B62" s="158">
        <v>45318.416666666664</v>
      </c>
      <c r="C62" t="s">
        <v>31</v>
      </c>
      <c r="D62" t="s">
        <v>32</v>
      </c>
      <c r="E62" t="s">
        <v>15</v>
      </c>
      <c r="F62" t="s">
        <v>16</v>
      </c>
      <c r="G62" s="114">
        <v>4244.6000000000004</v>
      </c>
      <c r="H62" t="s">
        <v>17</v>
      </c>
      <c r="J62">
        <v>2.5</v>
      </c>
      <c r="K62" s="114">
        <v>0</v>
      </c>
      <c r="L62" s="114">
        <v>0</v>
      </c>
    </row>
    <row r="63" spans="1:12" x14ac:dyDescent="0.25">
      <c r="A63" t="s">
        <v>106</v>
      </c>
      <c r="B63" s="158">
        <v>45318.457638888889</v>
      </c>
      <c r="C63" t="s">
        <v>24</v>
      </c>
      <c r="D63" t="s">
        <v>25</v>
      </c>
      <c r="E63" t="s">
        <v>15</v>
      </c>
      <c r="F63" t="s">
        <v>21</v>
      </c>
      <c r="G63" s="114">
        <v>4983.7299999999996</v>
      </c>
      <c r="H63" t="s">
        <v>17</v>
      </c>
      <c r="J63">
        <v>2.5</v>
      </c>
      <c r="K63" s="114">
        <v>0</v>
      </c>
      <c r="L63" s="114">
        <v>0</v>
      </c>
    </row>
    <row r="64" spans="1:12" x14ac:dyDescent="0.25">
      <c r="A64" t="s">
        <v>107</v>
      </c>
      <c r="B64" s="158">
        <v>45318.770833333336</v>
      </c>
      <c r="C64" t="s">
        <v>27</v>
      </c>
      <c r="D64" t="s">
        <v>25</v>
      </c>
      <c r="E64" t="s">
        <v>33</v>
      </c>
      <c r="F64" t="s">
        <v>45</v>
      </c>
      <c r="G64" s="114">
        <v>3875.28</v>
      </c>
      <c r="H64" t="s">
        <v>34</v>
      </c>
      <c r="I64" t="s">
        <v>35</v>
      </c>
      <c r="J64">
        <v>1.9</v>
      </c>
      <c r="K64" s="114">
        <v>0</v>
      </c>
      <c r="L64" s="114">
        <v>0</v>
      </c>
    </row>
    <row r="65" spans="1:12" x14ac:dyDescent="0.25">
      <c r="A65" t="s">
        <v>108</v>
      </c>
      <c r="B65" s="158">
        <v>45319.256249999999</v>
      </c>
      <c r="C65" t="s">
        <v>60</v>
      </c>
      <c r="D65" t="s">
        <v>25</v>
      </c>
      <c r="E65" t="s">
        <v>44</v>
      </c>
      <c r="F65" t="s">
        <v>29</v>
      </c>
      <c r="G65" s="114">
        <v>188.95</v>
      </c>
      <c r="H65" t="s">
        <v>22</v>
      </c>
      <c r="J65">
        <v>2.1</v>
      </c>
      <c r="K65" s="114">
        <v>3.97</v>
      </c>
      <c r="L65" s="114">
        <v>184.98</v>
      </c>
    </row>
    <row r="66" spans="1:12" x14ac:dyDescent="0.25">
      <c r="A66" t="s">
        <v>109</v>
      </c>
      <c r="B66" s="158">
        <v>45319.458333333336</v>
      </c>
      <c r="C66" t="s">
        <v>43</v>
      </c>
      <c r="D66" t="s">
        <v>25</v>
      </c>
      <c r="E66" t="s">
        <v>44</v>
      </c>
      <c r="F66" t="s">
        <v>29</v>
      </c>
      <c r="G66" s="114">
        <v>4077.93</v>
      </c>
      <c r="H66" t="s">
        <v>17</v>
      </c>
      <c r="J66">
        <v>2.1</v>
      </c>
      <c r="K66" s="114">
        <v>0</v>
      </c>
      <c r="L66" s="114">
        <v>0</v>
      </c>
    </row>
    <row r="67" spans="1:12" x14ac:dyDescent="0.25">
      <c r="A67" t="s">
        <v>110</v>
      </c>
      <c r="B67" s="158">
        <v>45320.009027777778</v>
      </c>
      <c r="C67" t="s">
        <v>47</v>
      </c>
      <c r="D67" t="s">
        <v>25</v>
      </c>
      <c r="E67" t="s">
        <v>44</v>
      </c>
      <c r="F67" t="s">
        <v>29</v>
      </c>
      <c r="G67" s="114">
        <v>3823.16</v>
      </c>
      <c r="H67" t="s">
        <v>22</v>
      </c>
      <c r="J67">
        <v>2.1</v>
      </c>
      <c r="K67" s="114">
        <v>80.290000000000006</v>
      </c>
      <c r="L67" s="114">
        <v>3742.87</v>
      </c>
    </row>
    <row r="68" spans="1:12" x14ac:dyDescent="0.25">
      <c r="A68" t="s">
        <v>111</v>
      </c>
      <c r="B68" s="158">
        <v>45320.097222222219</v>
      </c>
      <c r="C68" t="s">
        <v>19</v>
      </c>
      <c r="D68" t="s">
        <v>20</v>
      </c>
      <c r="E68" t="s">
        <v>39</v>
      </c>
      <c r="F68" t="s">
        <v>41</v>
      </c>
      <c r="G68" s="114">
        <v>4503.87</v>
      </c>
      <c r="H68" t="s">
        <v>34</v>
      </c>
      <c r="I68" t="s">
        <v>62</v>
      </c>
      <c r="J68">
        <v>3.2</v>
      </c>
      <c r="K68" s="114">
        <v>0</v>
      </c>
      <c r="L68" s="114">
        <v>0</v>
      </c>
    </row>
    <row r="69" spans="1:12" x14ac:dyDescent="0.25">
      <c r="A69" t="s">
        <v>112</v>
      </c>
      <c r="B69" s="158">
        <v>45320.318055555559</v>
      </c>
      <c r="C69" t="s">
        <v>24</v>
      </c>
      <c r="D69" t="s">
        <v>25</v>
      </c>
      <c r="E69" t="s">
        <v>28</v>
      </c>
      <c r="F69" t="s">
        <v>45</v>
      </c>
      <c r="G69" s="114">
        <v>2395.17</v>
      </c>
      <c r="H69" t="s">
        <v>22</v>
      </c>
      <c r="J69">
        <v>2.9</v>
      </c>
      <c r="K69" s="114">
        <v>69.459999999999994</v>
      </c>
      <c r="L69" s="114">
        <v>2325.71</v>
      </c>
    </row>
    <row r="70" spans="1:12" x14ac:dyDescent="0.25">
      <c r="A70" t="s">
        <v>113</v>
      </c>
      <c r="B70" s="158">
        <v>45320.885416666664</v>
      </c>
      <c r="C70" t="s">
        <v>24</v>
      </c>
      <c r="D70" t="s">
        <v>25</v>
      </c>
      <c r="E70" t="s">
        <v>44</v>
      </c>
      <c r="F70" t="s">
        <v>21</v>
      </c>
      <c r="G70" s="114">
        <v>2966.73</v>
      </c>
      <c r="H70" t="s">
        <v>22</v>
      </c>
      <c r="J70">
        <v>2.1</v>
      </c>
      <c r="K70" s="114">
        <v>62.3</v>
      </c>
      <c r="L70" s="114">
        <v>2904.43</v>
      </c>
    </row>
    <row r="71" spans="1:12" x14ac:dyDescent="0.25">
      <c r="A71" t="s">
        <v>114</v>
      </c>
      <c r="B71" s="158">
        <v>45320.961111111108</v>
      </c>
      <c r="C71" t="s">
        <v>13</v>
      </c>
      <c r="D71" t="s">
        <v>14</v>
      </c>
      <c r="E71" t="s">
        <v>33</v>
      </c>
      <c r="F71" t="s">
        <v>16</v>
      </c>
      <c r="G71" s="114">
        <v>471.83</v>
      </c>
      <c r="H71" t="s">
        <v>22</v>
      </c>
      <c r="J71">
        <v>1.9</v>
      </c>
      <c r="K71" s="114">
        <v>8.9600000000000009</v>
      </c>
      <c r="L71" s="114">
        <v>462.87</v>
      </c>
    </row>
    <row r="72" spans="1:12" x14ac:dyDescent="0.25">
      <c r="A72" t="s">
        <v>115</v>
      </c>
      <c r="B72" s="158">
        <v>45321.067361111112</v>
      </c>
      <c r="C72" t="s">
        <v>43</v>
      </c>
      <c r="D72" t="s">
        <v>25</v>
      </c>
      <c r="E72" t="s">
        <v>33</v>
      </c>
      <c r="F72" t="s">
        <v>45</v>
      </c>
      <c r="G72" s="114">
        <v>795.59</v>
      </c>
      <c r="H72" t="s">
        <v>17</v>
      </c>
      <c r="J72">
        <v>1.9</v>
      </c>
      <c r="K72" s="114">
        <v>0</v>
      </c>
      <c r="L72" s="114">
        <v>0</v>
      </c>
    </row>
    <row r="73" spans="1:12" x14ac:dyDescent="0.25">
      <c r="A73" t="s">
        <v>116</v>
      </c>
      <c r="B73" s="158">
        <v>45321.330555555556</v>
      </c>
      <c r="C73" t="s">
        <v>19</v>
      </c>
      <c r="D73" t="s">
        <v>20</v>
      </c>
      <c r="E73" t="s">
        <v>28</v>
      </c>
      <c r="F73" t="s">
        <v>41</v>
      </c>
      <c r="G73" s="114">
        <v>3662.22</v>
      </c>
      <c r="H73" t="s">
        <v>22</v>
      </c>
      <c r="J73">
        <v>2.9</v>
      </c>
      <c r="K73" s="114">
        <v>106.2</v>
      </c>
      <c r="L73" s="114">
        <v>3556.02</v>
      </c>
    </row>
    <row r="74" spans="1:12" x14ac:dyDescent="0.25">
      <c r="A74" t="s">
        <v>117</v>
      </c>
      <c r="B74" s="158">
        <v>45321.728472222225</v>
      </c>
      <c r="C74" t="s">
        <v>47</v>
      </c>
      <c r="D74" t="s">
        <v>25</v>
      </c>
      <c r="E74" t="s">
        <v>28</v>
      </c>
      <c r="F74" t="s">
        <v>16</v>
      </c>
      <c r="G74" s="114">
        <v>1279.74</v>
      </c>
      <c r="H74" t="s">
        <v>22</v>
      </c>
      <c r="J74">
        <v>2.9</v>
      </c>
      <c r="K74" s="114">
        <v>37.11</v>
      </c>
      <c r="L74" s="114">
        <v>1242.6300000000001</v>
      </c>
    </row>
    <row r="75" spans="1:12" x14ac:dyDescent="0.25">
      <c r="A75" t="s">
        <v>118</v>
      </c>
      <c r="B75" s="158">
        <v>45323.025694444441</v>
      </c>
      <c r="C75" t="s">
        <v>60</v>
      </c>
      <c r="D75" t="s">
        <v>25</v>
      </c>
      <c r="E75" t="s">
        <v>44</v>
      </c>
      <c r="F75" t="s">
        <v>21</v>
      </c>
      <c r="G75" s="114">
        <v>1750.9</v>
      </c>
      <c r="H75" t="s">
        <v>17</v>
      </c>
      <c r="J75">
        <v>2.1</v>
      </c>
      <c r="K75" s="114">
        <v>0</v>
      </c>
      <c r="L75" s="114">
        <v>0</v>
      </c>
    </row>
    <row r="76" spans="1:12" x14ac:dyDescent="0.25">
      <c r="A76" t="s">
        <v>119</v>
      </c>
      <c r="B76" s="158">
        <v>45323.497916666667</v>
      </c>
      <c r="C76" t="s">
        <v>13</v>
      </c>
      <c r="D76" t="s">
        <v>14</v>
      </c>
      <c r="E76" t="s">
        <v>28</v>
      </c>
      <c r="F76" t="s">
        <v>41</v>
      </c>
      <c r="G76" s="114">
        <v>3519.74</v>
      </c>
      <c r="H76" t="s">
        <v>22</v>
      </c>
      <c r="J76">
        <v>2.9</v>
      </c>
      <c r="K76" s="114">
        <v>102.07</v>
      </c>
      <c r="L76" s="114">
        <v>3417.67</v>
      </c>
    </row>
    <row r="77" spans="1:12" x14ac:dyDescent="0.25">
      <c r="A77" t="s">
        <v>120</v>
      </c>
      <c r="B77" s="158">
        <v>45323.667361111111</v>
      </c>
      <c r="C77" t="s">
        <v>58</v>
      </c>
      <c r="D77" t="s">
        <v>25</v>
      </c>
      <c r="E77" t="s">
        <v>33</v>
      </c>
      <c r="F77" t="s">
        <v>21</v>
      </c>
      <c r="G77" s="114">
        <v>2770.75</v>
      </c>
      <c r="H77" t="s">
        <v>22</v>
      </c>
      <c r="J77">
        <v>1.9</v>
      </c>
      <c r="K77" s="114">
        <v>52.64</v>
      </c>
      <c r="L77" s="114">
        <v>2718.11</v>
      </c>
    </row>
    <row r="78" spans="1:12" x14ac:dyDescent="0.25">
      <c r="A78" t="s">
        <v>121</v>
      </c>
      <c r="B78" s="158">
        <v>45323.854166666664</v>
      </c>
      <c r="C78" t="s">
        <v>19</v>
      </c>
      <c r="D78" t="s">
        <v>20</v>
      </c>
      <c r="E78" t="s">
        <v>44</v>
      </c>
      <c r="F78" t="s">
        <v>45</v>
      </c>
      <c r="G78" s="114">
        <v>267.58</v>
      </c>
      <c r="H78" t="s">
        <v>22</v>
      </c>
      <c r="J78">
        <v>2.1</v>
      </c>
      <c r="K78" s="114">
        <v>5.62</v>
      </c>
      <c r="L78" s="114">
        <v>261.95999999999998</v>
      </c>
    </row>
    <row r="79" spans="1:12" x14ac:dyDescent="0.25">
      <c r="A79" t="s">
        <v>122</v>
      </c>
      <c r="B79" s="158">
        <v>45324.161805555559</v>
      </c>
      <c r="C79" t="s">
        <v>43</v>
      </c>
      <c r="D79" t="s">
        <v>25</v>
      </c>
      <c r="E79" t="s">
        <v>33</v>
      </c>
      <c r="F79" t="s">
        <v>45</v>
      </c>
      <c r="G79" s="114">
        <v>92.01</v>
      </c>
      <c r="H79" t="s">
        <v>17</v>
      </c>
      <c r="J79">
        <v>1.9</v>
      </c>
      <c r="K79" s="114">
        <v>0</v>
      </c>
      <c r="L79" s="114">
        <v>0</v>
      </c>
    </row>
    <row r="80" spans="1:12" x14ac:dyDescent="0.25">
      <c r="A80" t="s">
        <v>123</v>
      </c>
      <c r="B80" s="158">
        <v>45324.268750000003</v>
      </c>
      <c r="C80" t="s">
        <v>37</v>
      </c>
      <c r="D80" t="s">
        <v>38</v>
      </c>
      <c r="E80" t="s">
        <v>15</v>
      </c>
      <c r="F80" t="s">
        <v>21</v>
      </c>
      <c r="G80" s="114">
        <v>612.79999999999995</v>
      </c>
      <c r="H80" t="s">
        <v>17</v>
      </c>
      <c r="J80">
        <v>2.5</v>
      </c>
      <c r="K80" s="114">
        <v>0</v>
      </c>
      <c r="L80" s="114">
        <v>0</v>
      </c>
    </row>
    <row r="81" spans="1:12" x14ac:dyDescent="0.25">
      <c r="A81" t="s">
        <v>124</v>
      </c>
      <c r="B81" s="158">
        <v>45324.51666666667</v>
      </c>
      <c r="C81" t="s">
        <v>19</v>
      </c>
      <c r="D81" t="s">
        <v>20</v>
      </c>
      <c r="E81" t="s">
        <v>15</v>
      </c>
      <c r="F81" t="s">
        <v>45</v>
      </c>
      <c r="G81" s="114">
        <v>1264.56</v>
      </c>
      <c r="H81" t="s">
        <v>17</v>
      </c>
      <c r="J81">
        <v>2.5</v>
      </c>
      <c r="K81" s="114">
        <v>0</v>
      </c>
      <c r="L81" s="114">
        <v>0</v>
      </c>
    </row>
    <row r="82" spans="1:12" x14ac:dyDescent="0.25">
      <c r="A82" t="s">
        <v>125</v>
      </c>
      <c r="B82" s="158">
        <v>45324.842361111114</v>
      </c>
      <c r="C82" t="s">
        <v>58</v>
      </c>
      <c r="D82" t="s">
        <v>25</v>
      </c>
      <c r="E82" t="s">
        <v>39</v>
      </c>
      <c r="F82" t="s">
        <v>21</v>
      </c>
      <c r="G82" s="114">
        <v>3233.75</v>
      </c>
      <c r="H82" t="s">
        <v>22</v>
      </c>
      <c r="J82">
        <v>3.2</v>
      </c>
      <c r="K82" s="114">
        <v>103.48</v>
      </c>
      <c r="L82" s="114">
        <v>3130.27</v>
      </c>
    </row>
    <row r="83" spans="1:12" x14ac:dyDescent="0.25">
      <c r="A83" t="s">
        <v>126</v>
      </c>
      <c r="B83" s="158">
        <v>45325.289583333331</v>
      </c>
      <c r="C83" t="s">
        <v>43</v>
      </c>
      <c r="D83" t="s">
        <v>25</v>
      </c>
      <c r="E83" t="s">
        <v>44</v>
      </c>
      <c r="F83" t="s">
        <v>41</v>
      </c>
      <c r="G83" s="114">
        <v>4526.34</v>
      </c>
      <c r="H83" t="s">
        <v>22</v>
      </c>
      <c r="J83">
        <v>2.1</v>
      </c>
      <c r="K83" s="114">
        <v>95.05</v>
      </c>
      <c r="L83" s="114">
        <v>4431.29</v>
      </c>
    </row>
    <row r="84" spans="1:12" x14ac:dyDescent="0.25">
      <c r="A84" t="s">
        <v>127</v>
      </c>
      <c r="B84" s="158">
        <v>45326.376388888886</v>
      </c>
      <c r="C84" t="s">
        <v>31</v>
      </c>
      <c r="D84" t="s">
        <v>32</v>
      </c>
      <c r="E84" t="s">
        <v>28</v>
      </c>
      <c r="F84" t="s">
        <v>21</v>
      </c>
      <c r="G84" s="114">
        <v>3243.37</v>
      </c>
      <c r="H84" t="s">
        <v>22</v>
      </c>
      <c r="J84">
        <v>2.9</v>
      </c>
      <c r="K84" s="114">
        <v>94.06</v>
      </c>
      <c r="L84" s="114">
        <v>3149.31</v>
      </c>
    </row>
    <row r="85" spans="1:12" x14ac:dyDescent="0.25">
      <c r="A85" t="s">
        <v>128</v>
      </c>
      <c r="B85" s="158">
        <v>45326.529166666667</v>
      </c>
      <c r="C85" t="s">
        <v>47</v>
      </c>
      <c r="D85" t="s">
        <v>25</v>
      </c>
      <c r="E85" t="s">
        <v>39</v>
      </c>
      <c r="F85" t="s">
        <v>41</v>
      </c>
      <c r="G85" s="114">
        <v>105.2</v>
      </c>
      <c r="H85" t="s">
        <v>34</v>
      </c>
      <c r="I85" t="s">
        <v>35</v>
      </c>
      <c r="J85">
        <v>3.2</v>
      </c>
      <c r="K85" s="114">
        <v>0</v>
      </c>
      <c r="L85" s="114">
        <v>0</v>
      </c>
    </row>
    <row r="86" spans="1:12" x14ac:dyDescent="0.25">
      <c r="A86" t="s">
        <v>129</v>
      </c>
      <c r="B86" s="158">
        <v>45327.199305555558</v>
      </c>
      <c r="C86" t="s">
        <v>60</v>
      </c>
      <c r="D86" t="s">
        <v>25</v>
      </c>
      <c r="E86" t="s">
        <v>28</v>
      </c>
      <c r="F86" t="s">
        <v>45</v>
      </c>
      <c r="G86" s="114">
        <v>1083.51</v>
      </c>
      <c r="H86" t="s">
        <v>34</v>
      </c>
      <c r="I86" t="s">
        <v>55</v>
      </c>
      <c r="J86">
        <v>2.9</v>
      </c>
      <c r="K86" s="114">
        <v>0</v>
      </c>
      <c r="L86" s="114">
        <v>0</v>
      </c>
    </row>
    <row r="87" spans="1:12" x14ac:dyDescent="0.25">
      <c r="A87" t="s">
        <v>130</v>
      </c>
      <c r="B87" s="158">
        <v>45327.367361111108</v>
      </c>
      <c r="C87" t="s">
        <v>58</v>
      </c>
      <c r="D87" t="s">
        <v>25</v>
      </c>
      <c r="E87" t="s">
        <v>39</v>
      </c>
      <c r="F87" t="s">
        <v>45</v>
      </c>
      <c r="G87" s="114">
        <v>1343.19</v>
      </c>
      <c r="H87" t="s">
        <v>22</v>
      </c>
      <c r="J87">
        <v>3.2</v>
      </c>
      <c r="K87" s="114">
        <v>42.98</v>
      </c>
      <c r="L87" s="114">
        <v>1300.21</v>
      </c>
    </row>
    <row r="88" spans="1:12" x14ac:dyDescent="0.25">
      <c r="A88" t="s">
        <v>131</v>
      </c>
      <c r="B88" s="158">
        <v>45328.074305555558</v>
      </c>
      <c r="C88" t="s">
        <v>27</v>
      </c>
      <c r="D88" t="s">
        <v>25</v>
      </c>
      <c r="E88" t="s">
        <v>15</v>
      </c>
      <c r="F88" t="s">
        <v>41</v>
      </c>
      <c r="G88" s="114">
        <v>2361.39</v>
      </c>
      <c r="H88" t="s">
        <v>17</v>
      </c>
      <c r="J88">
        <v>2.5</v>
      </c>
      <c r="K88" s="114">
        <v>0</v>
      </c>
      <c r="L88" s="114">
        <v>0</v>
      </c>
    </row>
    <row r="89" spans="1:12" x14ac:dyDescent="0.25">
      <c r="A89" t="s">
        <v>132</v>
      </c>
      <c r="B89" s="158">
        <v>45328.090277777781</v>
      </c>
      <c r="C89" t="s">
        <v>37</v>
      </c>
      <c r="D89" t="s">
        <v>38</v>
      </c>
      <c r="E89" t="s">
        <v>44</v>
      </c>
      <c r="F89" t="s">
        <v>21</v>
      </c>
      <c r="G89" s="114">
        <v>1591.22</v>
      </c>
      <c r="H89" t="s">
        <v>22</v>
      </c>
      <c r="J89">
        <v>2.1</v>
      </c>
      <c r="K89" s="114">
        <v>33.42</v>
      </c>
      <c r="L89" s="114">
        <v>1557.8</v>
      </c>
    </row>
    <row r="90" spans="1:12" x14ac:dyDescent="0.25">
      <c r="A90" t="s">
        <v>133</v>
      </c>
      <c r="B90" s="158">
        <v>45328.37777777778</v>
      </c>
      <c r="C90" t="s">
        <v>24</v>
      </c>
      <c r="D90" t="s">
        <v>25</v>
      </c>
      <c r="E90" t="s">
        <v>33</v>
      </c>
      <c r="F90" t="s">
        <v>41</v>
      </c>
      <c r="G90" s="114">
        <v>515.11</v>
      </c>
      <c r="H90" t="s">
        <v>22</v>
      </c>
      <c r="J90">
        <v>1.9</v>
      </c>
      <c r="K90" s="114">
        <v>9.7899999999999991</v>
      </c>
      <c r="L90" s="114">
        <v>505.32</v>
      </c>
    </row>
    <row r="91" spans="1:12" x14ac:dyDescent="0.25">
      <c r="A91" t="s">
        <v>134</v>
      </c>
      <c r="B91" s="158">
        <v>45328.538194444445</v>
      </c>
      <c r="C91" t="s">
        <v>60</v>
      </c>
      <c r="D91" t="s">
        <v>25</v>
      </c>
      <c r="E91" t="s">
        <v>15</v>
      </c>
      <c r="F91" t="s">
        <v>41</v>
      </c>
      <c r="G91" s="114">
        <v>2304.17</v>
      </c>
      <c r="H91" t="s">
        <v>22</v>
      </c>
      <c r="J91">
        <v>2.5</v>
      </c>
      <c r="K91" s="114">
        <v>57.6</v>
      </c>
      <c r="L91" s="114">
        <v>2246.5700000000002</v>
      </c>
    </row>
    <row r="92" spans="1:12" x14ac:dyDescent="0.25">
      <c r="A92" t="s">
        <v>135</v>
      </c>
      <c r="B92" s="158">
        <v>45328.677083333336</v>
      </c>
      <c r="C92" t="s">
        <v>47</v>
      </c>
      <c r="D92" t="s">
        <v>25</v>
      </c>
      <c r="E92" t="s">
        <v>15</v>
      </c>
      <c r="F92" t="s">
        <v>29</v>
      </c>
      <c r="G92" s="114">
        <v>2700.78</v>
      </c>
      <c r="H92" t="s">
        <v>17</v>
      </c>
      <c r="J92">
        <v>2.5</v>
      </c>
      <c r="K92" s="114">
        <v>0</v>
      </c>
      <c r="L92" s="114">
        <v>0</v>
      </c>
    </row>
    <row r="93" spans="1:12" x14ac:dyDescent="0.25">
      <c r="A93" t="s">
        <v>136</v>
      </c>
      <c r="B93" s="158">
        <v>45328.705555555556</v>
      </c>
      <c r="C93" t="s">
        <v>60</v>
      </c>
      <c r="D93" t="s">
        <v>25</v>
      </c>
      <c r="E93" t="s">
        <v>39</v>
      </c>
      <c r="F93" t="s">
        <v>21</v>
      </c>
      <c r="G93" s="114">
        <v>668.59</v>
      </c>
      <c r="H93" t="s">
        <v>17</v>
      </c>
      <c r="J93">
        <v>3.2</v>
      </c>
      <c r="K93" s="114">
        <v>0</v>
      </c>
      <c r="L93" s="114">
        <v>0</v>
      </c>
    </row>
    <row r="94" spans="1:12" x14ac:dyDescent="0.25">
      <c r="A94" t="s">
        <v>137</v>
      </c>
      <c r="B94" s="158">
        <v>45329.095138888886</v>
      </c>
      <c r="C94" t="s">
        <v>27</v>
      </c>
      <c r="D94" t="s">
        <v>25</v>
      </c>
      <c r="E94" t="s">
        <v>15</v>
      </c>
      <c r="F94" t="s">
        <v>29</v>
      </c>
      <c r="G94" s="114">
        <v>3700.88</v>
      </c>
      <c r="H94" t="s">
        <v>22</v>
      </c>
      <c r="J94">
        <v>2.5</v>
      </c>
      <c r="K94" s="114">
        <v>92.52</v>
      </c>
      <c r="L94" s="114">
        <v>3608.36</v>
      </c>
    </row>
    <row r="95" spans="1:12" x14ac:dyDescent="0.25">
      <c r="A95" t="s">
        <v>138</v>
      </c>
      <c r="B95" s="158">
        <v>45329.180555555555</v>
      </c>
      <c r="C95" t="s">
        <v>31</v>
      </c>
      <c r="D95" t="s">
        <v>32</v>
      </c>
      <c r="E95" t="s">
        <v>15</v>
      </c>
      <c r="F95" t="s">
        <v>16</v>
      </c>
      <c r="G95" s="114">
        <v>3403.74</v>
      </c>
      <c r="H95" t="s">
        <v>22</v>
      </c>
      <c r="J95">
        <v>2.5</v>
      </c>
      <c r="K95" s="114">
        <v>85.09</v>
      </c>
      <c r="L95" s="114">
        <v>3318.65</v>
      </c>
    </row>
    <row r="96" spans="1:12" x14ac:dyDescent="0.25">
      <c r="A96" t="s">
        <v>139</v>
      </c>
      <c r="B96" s="158">
        <v>45329.285416666666</v>
      </c>
      <c r="C96" t="s">
        <v>19</v>
      </c>
      <c r="D96" t="s">
        <v>20</v>
      </c>
      <c r="E96" t="s">
        <v>33</v>
      </c>
      <c r="F96" t="s">
        <v>29</v>
      </c>
      <c r="G96" s="114">
        <v>2402.1799999999998</v>
      </c>
      <c r="H96" t="s">
        <v>22</v>
      </c>
      <c r="J96">
        <v>1.9</v>
      </c>
      <c r="K96" s="114">
        <v>45.64</v>
      </c>
      <c r="L96" s="114">
        <v>2356.54</v>
      </c>
    </row>
    <row r="97" spans="1:12" x14ac:dyDescent="0.25">
      <c r="A97" t="s">
        <v>140</v>
      </c>
      <c r="B97" s="158">
        <v>45329.522222222222</v>
      </c>
      <c r="C97" t="s">
        <v>43</v>
      </c>
      <c r="D97" t="s">
        <v>25</v>
      </c>
      <c r="E97" t="s">
        <v>33</v>
      </c>
      <c r="F97" t="s">
        <v>21</v>
      </c>
      <c r="G97" s="114">
        <v>4128.3</v>
      </c>
      <c r="H97" t="s">
        <v>17</v>
      </c>
      <c r="J97">
        <v>1.9</v>
      </c>
      <c r="K97" s="114">
        <v>0</v>
      </c>
      <c r="L97" s="114">
        <v>0</v>
      </c>
    </row>
    <row r="98" spans="1:12" x14ac:dyDescent="0.25">
      <c r="A98" t="s">
        <v>141</v>
      </c>
      <c r="B98" s="158">
        <v>45330.747916666667</v>
      </c>
      <c r="C98" t="s">
        <v>31</v>
      </c>
      <c r="D98" t="s">
        <v>32</v>
      </c>
      <c r="E98" t="s">
        <v>39</v>
      </c>
      <c r="F98" t="s">
        <v>45</v>
      </c>
      <c r="G98" s="114">
        <v>4926.53</v>
      </c>
      <c r="H98" t="s">
        <v>34</v>
      </c>
      <c r="I98" t="s">
        <v>78</v>
      </c>
      <c r="J98">
        <v>3.2</v>
      </c>
      <c r="K98" s="114">
        <v>0</v>
      </c>
      <c r="L98" s="114">
        <v>0</v>
      </c>
    </row>
    <row r="99" spans="1:12" x14ac:dyDescent="0.25">
      <c r="A99" t="s">
        <v>142</v>
      </c>
      <c r="B99" s="158">
        <v>45330.868055555555</v>
      </c>
      <c r="C99" t="s">
        <v>31</v>
      </c>
      <c r="D99" t="s">
        <v>32</v>
      </c>
      <c r="E99" t="s">
        <v>15</v>
      </c>
      <c r="F99" t="s">
        <v>45</v>
      </c>
      <c r="G99" s="114">
        <v>3751.51</v>
      </c>
      <c r="H99" t="s">
        <v>22</v>
      </c>
      <c r="J99">
        <v>2.5</v>
      </c>
      <c r="K99" s="114">
        <v>93.79</v>
      </c>
      <c r="L99" s="114">
        <v>3657.72</v>
      </c>
    </row>
    <row r="100" spans="1:12" x14ac:dyDescent="0.25">
      <c r="A100" t="s">
        <v>143</v>
      </c>
      <c r="B100" s="158">
        <v>45330.877083333333</v>
      </c>
      <c r="C100" t="s">
        <v>60</v>
      </c>
      <c r="D100" t="s">
        <v>25</v>
      </c>
      <c r="E100" t="s">
        <v>15</v>
      </c>
      <c r="F100" t="s">
        <v>29</v>
      </c>
      <c r="G100" s="114">
        <v>4214.3</v>
      </c>
      <c r="H100" t="s">
        <v>22</v>
      </c>
      <c r="J100">
        <v>2.5</v>
      </c>
      <c r="K100" s="114">
        <v>105.36</v>
      </c>
      <c r="L100" s="114">
        <v>4108.9399999999996</v>
      </c>
    </row>
    <row r="101" spans="1:12" x14ac:dyDescent="0.25">
      <c r="A101" t="s">
        <v>144</v>
      </c>
      <c r="B101" s="158">
        <v>45331.412499999999</v>
      </c>
      <c r="C101" t="s">
        <v>31</v>
      </c>
      <c r="D101" t="s">
        <v>32</v>
      </c>
      <c r="E101" t="s">
        <v>33</v>
      </c>
      <c r="F101" t="s">
        <v>45</v>
      </c>
      <c r="G101" s="114">
        <v>4177.25</v>
      </c>
      <c r="H101" t="s">
        <v>17</v>
      </c>
      <c r="J101">
        <v>1.9</v>
      </c>
      <c r="K101" s="114">
        <v>0</v>
      </c>
      <c r="L101" s="114">
        <v>0</v>
      </c>
    </row>
    <row r="102" spans="1:12" x14ac:dyDescent="0.25">
      <c r="A102" t="s">
        <v>145</v>
      </c>
      <c r="B102" s="158">
        <v>45331.765972222223</v>
      </c>
      <c r="C102" t="s">
        <v>31</v>
      </c>
      <c r="D102" t="s">
        <v>32</v>
      </c>
      <c r="E102" t="s">
        <v>33</v>
      </c>
      <c r="F102" t="s">
        <v>41</v>
      </c>
      <c r="G102" s="114">
        <v>904.93</v>
      </c>
      <c r="H102" t="s">
        <v>17</v>
      </c>
      <c r="J102">
        <v>1.9</v>
      </c>
      <c r="K102" s="114">
        <v>0</v>
      </c>
      <c r="L102" s="114">
        <v>0</v>
      </c>
    </row>
    <row r="103" spans="1:12" x14ac:dyDescent="0.25">
      <c r="A103" t="s">
        <v>146</v>
      </c>
      <c r="B103" s="158">
        <v>45331.869444444441</v>
      </c>
      <c r="C103" t="s">
        <v>47</v>
      </c>
      <c r="D103" t="s">
        <v>25</v>
      </c>
      <c r="E103" t="s">
        <v>33</v>
      </c>
      <c r="F103" t="s">
        <v>21</v>
      </c>
      <c r="G103" s="114">
        <v>2170.2199999999998</v>
      </c>
      <c r="H103" t="s">
        <v>17</v>
      </c>
      <c r="J103">
        <v>1.9</v>
      </c>
      <c r="K103" s="114">
        <v>0</v>
      </c>
      <c r="L103" s="114">
        <v>0</v>
      </c>
    </row>
    <row r="104" spans="1:12" x14ac:dyDescent="0.25">
      <c r="A104" t="s">
        <v>147</v>
      </c>
      <c r="B104" s="158">
        <v>45332.568055555559</v>
      </c>
      <c r="C104" t="s">
        <v>27</v>
      </c>
      <c r="D104" t="s">
        <v>25</v>
      </c>
      <c r="E104" t="s">
        <v>33</v>
      </c>
      <c r="F104" t="s">
        <v>21</v>
      </c>
      <c r="G104" s="114">
        <v>1612.85</v>
      </c>
      <c r="H104" t="s">
        <v>22</v>
      </c>
      <c r="J104">
        <v>1.9</v>
      </c>
      <c r="K104" s="114">
        <v>30.64</v>
      </c>
      <c r="L104" s="114">
        <v>1582.21</v>
      </c>
    </row>
    <row r="105" spans="1:12" x14ac:dyDescent="0.25">
      <c r="A105" t="s">
        <v>148</v>
      </c>
      <c r="B105" s="158">
        <v>45332.793055555558</v>
      </c>
      <c r="C105" t="s">
        <v>58</v>
      </c>
      <c r="D105" t="s">
        <v>25</v>
      </c>
      <c r="E105" t="s">
        <v>15</v>
      </c>
      <c r="F105" t="s">
        <v>45</v>
      </c>
      <c r="G105" s="114">
        <v>3284.31</v>
      </c>
      <c r="H105" t="s">
        <v>22</v>
      </c>
      <c r="J105">
        <v>2.5</v>
      </c>
      <c r="K105" s="114">
        <v>82.11</v>
      </c>
      <c r="L105" s="114">
        <v>3202.2</v>
      </c>
    </row>
    <row r="106" spans="1:12" x14ac:dyDescent="0.25">
      <c r="A106" t="s">
        <v>149</v>
      </c>
      <c r="B106" s="158">
        <v>45333.085416666669</v>
      </c>
      <c r="C106" t="s">
        <v>58</v>
      </c>
      <c r="D106" t="s">
        <v>25</v>
      </c>
      <c r="E106" t="s">
        <v>44</v>
      </c>
      <c r="F106" t="s">
        <v>16</v>
      </c>
      <c r="G106" s="114">
        <v>1081.77</v>
      </c>
      <c r="H106" t="s">
        <v>22</v>
      </c>
      <c r="J106">
        <v>2.1</v>
      </c>
      <c r="K106" s="114">
        <v>22.72</v>
      </c>
      <c r="L106" s="114">
        <v>1059.05</v>
      </c>
    </row>
    <row r="107" spans="1:12" x14ac:dyDescent="0.25">
      <c r="A107" t="s">
        <v>150</v>
      </c>
      <c r="B107" s="158">
        <v>45333.168749999997</v>
      </c>
      <c r="C107" t="s">
        <v>47</v>
      </c>
      <c r="D107" t="s">
        <v>25</v>
      </c>
      <c r="E107" t="s">
        <v>15</v>
      </c>
      <c r="F107" t="s">
        <v>41</v>
      </c>
      <c r="G107" s="114">
        <v>2720.53</v>
      </c>
      <c r="H107" t="s">
        <v>22</v>
      </c>
      <c r="J107">
        <v>2.5</v>
      </c>
      <c r="K107" s="114">
        <v>68.010000000000005</v>
      </c>
      <c r="L107" s="114">
        <v>2652.52</v>
      </c>
    </row>
    <row r="108" spans="1:12" x14ac:dyDescent="0.25">
      <c r="A108" t="s">
        <v>151</v>
      </c>
      <c r="B108" s="158">
        <v>45334.401388888888</v>
      </c>
      <c r="C108" t="s">
        <v>13</v>
      </c>
      <c r="D108" t="s">
        <v>14</v>
      </c>
      <c r="E108" t="s">
        <v>15</v>
      </c>
      <c r="F108" t="s">
        <v>21</v>
      </c>
      <c r="G108" s="114">
        <v>953.21</v>
      </c>
      <c r="H108" t="s">
        <v>22</v>
      </c>
      <c r="J108">
        <v>2.5</v>
      </c>
      <c r="K108" s="114">
        <v>23.83</v>
      </c>
      <c r="L108" s="114">
        <v>929.38</v>
      </c>
    </row>
    <row r="109" spans="1:12" x14ac:dyDescent="0.25">
      <c r="A109" t="s">
        <v>152</v>
      </c>
      <c r="B109" s="158">
        <v>45334.662499999999</v>
      </c>
      <c r="C109" t="s">
        <v>58</v>
      </c>
      <c r="D109" t="s">
        <v>25</v>
      </c>
      <c r="E109" t="s">
        <v>39</v>
      </c>
      <c r="F109" t="s">
        <v>45</v>
      </c>
      <c r="G109" s="114">
        <v>4886.87</v>
      </c>
      <c r="H109" t="s">
        <v>22</v>
      </c>
      <c r="J109">
        <v>3.2</v>
      </c>
      <c r="K109" s="114">
        <v>156.38</v>
      </c>
      <c r="L109" s="114">
        <v>4730.49</v>
      </c>
    </row>
    <row r="110" spans="1:12" x14ac:dyDescent="0.25">
      <c r="A110" t="s">
        <v>153</v>
      </c>
      <c r="B110" s="158">
        <v>45335.349305555559</v>
      </c>
      <c r="C110" t="s">
        <v>58</v>
      </c>
      <c r="D110" t="s">
        <v>25</v>
      </c>
      <c r="E110" t="s">
        <v>39</v>
      </c>
      <c r="F110" t="s">
        <v>29</v>
      </c>
      <c r="G110" s="114">
        <v>766.54</v>
      </c>
      <c r="H110" t="s">
        <v>17</v>
      </c>
      <c r="J110">
        <v>3.2</v>
      </c>
      <c r="K110" s="114">
        <v>0</v>
      </c>
      <c r="L110" s="114">
        <v>0</v>
      </c>
    </row>
    <row r="111" spans="1:12" x14ac:dyDescent="0.25">
      <c r="A111" t="s">
        <v>154</v>
      </c>
      <c r="B111" s="158">
        <v>45335.754166666666</v>
      </c>
      <c r="C111" t="s">
        <v>13</v>
      </c>
      <c r="D111" t="s">
        <v>14</v>
      </c>
      <c r="E111" t="s">
        <v>44</v>
      </c>
      <c r="F111" t="s">
        <v>16</v>
      </c>
      <c r="G111" s="114">
        <v>383.4</v>
      </c>
      <c r="H111" t="s">
        <v>17</v>
      </c>
      <c r="J111">
        <v>2.1</v>
      </c>
      <c r="K111" s="114">
        <v>0</v>
      </c>
      <c r="L111" s="114">
        <v>0</v>
      </c>
    </row>
    <row r="112" spans="1:12" x14ac:dyDescent="0.25">
      <c r="A112" t="s">
        <v>155</v>
      </c>
      <c r="B112" s="158">
        <v>45336.04583333333</v>
      </c>
      <c r="C112" t="s">
        <v>58</v>
      </c>
      <c r="D112" t="s">
        <v>25</v>
      </c>
      <c r="E112" t="s">
        <v>44</v>
      </c>
      <c r="F112" t="s">
        <v>29</v>
      </c>
      <c r="G112" s="114">
        <v>3363.73</v>
      </c>
      <c r="H112" t="s">
        <v>17</v>
      </c>
      <c r="J112">
        <v>2.1</v>
      </c>
      <c r="K112" s="114">
        <v>0</v>
      </c>
      <c r="L112" s="114">
        <v>0</v>
      </c>
    </row>
    <row r="113" spans="1:12" x14ac:dyDescent="0.25">
      <c r="A113" t="s">
        <v>156</v>
      </c>
      <c r="B113" s="158">
        <v>45336.130555555559</v>
      </c>
      <c r="C113" t="s">
        <v>31</v>
      </c>
      <c r="D113" t="s">
        <v>32</v>
      </c>
      <c r="E113" t="s">
        <v>33</v>
      </c>
      <c r="F113" t="s">
        <v>16</v>
      </c>
      <c r="G113" s="114">
        <v>1764.16</v>
      </c>
      <c r="H113" t="s">
        <v>34</v>
      </c>
      <c r="I113" t="s">
        <v>62</v>
      </c>
      <c r="J113">
        <v>1.9</v>
      </c>
      <c r="K113" s="114">
        <v>0</v>
      </c>
      <c r="L113" s="114">
        <v>0</v>
      </c>
    </row>
    <row r="114" spans="1:12" x14ac:dyDescent="0.25">
      <c r="A114" t="s">
        <v>157</v>
      </c>
      <c r="B114" s="158">
        <v>45336.227083333331</v>
      </c>
      <c r="C114" t="s">
        <v>43</v>
      </c>
      <c r="D114" t="s">
        <v>25</v>
      </c>
      <c r="E114" t="s">
        <v>33</v>
      </c>
      <c r="F114" t="s">
        <v>45</v>
      </c>
      <c r="G114" s="114">
        <v>2567.08</v>
      </c>
      <c r="H114" t="s">
        <v>22</v>
      </c>
      <c r="J114">
        <v>1.9</v>
      </c>
      <c r="K114" s="114">
        <v>48.77</v>
      </c>
      <c r="L114" s="114">
        <v>2518.31</v>
      </c>
    </row>
    <row r="115" spans="1:12" x14ac:dyDescent="0.25">
      <c r="A115" t="s">
        <v>158</v>
      </c>
      <c r="B115" s="158">
        <v>45337.018055555556</v>
      </c>
      <c r="C115" t="s">
        <v>47</v>
      </c>
      <c r="D115" t="s">
        <v>25</v>
      </c>
      <c r="E115" t="s">
        <v>15</v>
      </c>
      <c r="F115" t="s">
        <v>29</v>
      </c>
      <c r="G115" s="114">
        <v>2783.51</v>
      </c>
      <c r="H115" t="s">
        <v>17</v>
      </c>
      <c r="J115">
        <v>2.5</v>
      </c>
      <c r="K115" s="114">
        <v>0</v>
      </c>
      <c r="L115" s="114">
        <v>0</v>
      </c>
    </row>
    <row r="116" spans="1:12" x14ac:dyDescent="0.25">
      <c r="A116" t="s">
        <v>159</v>
      </c>
      <c r="B116" s="158">
        <v>45337.482638888891</v>
      </c>
      <c r="C116" t="s">
        <v>31</v>
      </c>
      <c r="D116" t="s">
        <v>32</v>
      </c>
      <c r="E116" t="s">
        <v>33</v>
      </c>
      <c r="F116" t="s">
        <v>45</v>
      </c>
      <c r="G116" s="114">
        <v>3924.35</v>
      </c>
      <c r="H116" t="s">
        <v>34</v>
      </c>
      <c r="I116" t="s">
        <v>78</v>
      </c>
      <c r="J116">
        <v>1.9</v>
      </c>
      <c r="K116" s="114">
        <v>0</v>
      </c>
      <c r="L116" s="114">
        <v>0</v>
      </c>
    </row>
    <row r="117" spans="1:12" x14ac:dyDescent="0.25">
      <c r="A117" t="s">
        <v>160</v>
      </c>
      <c r="B117" s="158">
        <v>45338.079861111109</v>
      </c>
      <c r="C117" t="s">
        <v>31</v>
      </c>
      <c r="D117" t="s">
        <v>32</v>
      </c>
      <c r="E117" t="s">
        <v>44</v>
      </c>
      <c r="F117" t="s">
        <v>29</v>
      </c>
      <c r="G117" s="114">
        <v>3962.48</v>
      </c>
      <c r="H117" t="s">
        <v>34</v>
      </c>
      <c r="I117" t="s">
        <v>100</v>
      </c>
      <c r="J117">
        <v>2.1</v>
      </c>
      <c r="K117" s="114">
        <v>0</v>
      </c>
      <c r="L117" s="114">
        <v>0</v>
      </c>
    </row>
    <row r="118" spans="1:12" x14ac:dyDescent="0.25">
      <c r="A118" t="s">
        <v>161</v>
      </c>
      <c r="B118" s="158">
        <v>45338.086805555555</v>
      </c>
      <c r="C118" t="s">
        <v>58</v>
      </c>
      <c r="D118" t="s">
        <v>25</v>
      </c>
      <c r="E118" t="s">
        <v>28</v>
      </c>
      <c r="F118" t="s">
        <v>21</v>
      </c>
      <c r="G118" s="114">
        <v>4060.73</v>
      </c>
      <c r="H118" t="s">
        <v>17</v>
      </c>
      <c r="J118">
        <v>2.9</v>
      </c>
      <c r="K118" s="114">
        <v>0</v>
      </c>
      <c r="L118" s="114">
        <v>0</v>
      </c>
    </row>
    <row r="119" spans="1:12" x14ac:dyDescent="0.25">
      <c r="A119" t="s">
        <v>162</v>
      </c>
      <c r="B119" s="158">
        <v>45338.15625</v>
      </c>
      <c r="C119" t="s">
        <v>43</v>
      </c>
      <c r="D119" t="s">
        <v>25</v>
      </c>
      <c r="E119" t="s">
        <v>39</v>
      </c>
      <c r="F119" t="s">
        <v>41</v>
      </c>
      <c r="G119" s="114">
        <v>2623.85</v>
      </c>
      <c r="H119" t="s">
        <v>34</v>
      </c>
      <c r="I119" t="s">
        <v>100</v>
      </c>
      <c r="J119">
        <v>3.2</v>
      </c>
      <c r="K119" s="114">
        <v>0</v>
      </c>
      <c r="L119" s="114">
        <v>0</v>
      </c>
    </row>
    <row r="120" spans="1:12" x14ac:dyDescent="0.25">
      <c r="A120" t="s">
        <v>163</v>
      </c>
      <c r="B120" s="158">
        <v>45338.669444444444</v>
      </c>
      <c r="C120" t="s">
        <v>31</v>
      </c>
      <c r="D120" t="s">
        <v>32</v>
      </c>
      <c r="E120" t="s">
        <v>39</v>
      </c>
      <c r="F120" t="s">
        <v>29</v>
      </c>
      <c r="G120" s="114">
        <v>2289.19</v>
      </c>
      <c r="H120" t="s">
        <v>22</v>
      </c>
      <c r="J120">
        <v>3.2</v>
      </c>
      <c r="K120" s="114">
        <v>73.25</v>
      </c>
      <c r="L120" s="114">
        <v>2215.94</v>
      </c>
    </row>
    <row r="121" spans="1:12" x14ac:dyDescent="0.25">
      <c r="A121" t="s">
        <v>164</v>
      </c>
      <c r="B121" s="158">
        <v>45338.686111111114</v>
      </c>
      <c r="C121" t="s">
        <v>60</v>
      </c>
      <c r="D121" t="s">
        <v>25</v>
      </c>
      <c r="E121" t="s">
        <v>15</v>
      </c>
      <c r="F121" t="s">
        <v>29</v>
      </c>
      <c r="G121" s="114">
        <v>2571.11</v>
      </c>
      <c r="H121" t="s">
        <v>34</v>
      </c>
      <c r="I121" t="s">
        <v>100</v>
      </c>
      <c r="J121">
        <v>2.5</v>
      </c>
      <c r="K121" s="114">
        <v>0</v>
      </c>
      <c r="L121" s="114">
        <v>0</v>
      </c>
    </row>
    <row r="122" spans="1:12" x14ac:dyDescent="0.25">
      <c r="A122" t="s">
        <v>165</v>
      </c>
      <c r="B122" s="158">
        <v>45338.818749999999</v>
      </c>
      <c r="C122" t="s">
        <v>47</v>
      </c>
      <c r="D122" t="s">
        <v>25</v>
      </c>
      <c r="E122" t="s">
        <v>33</v>
      </c>
      <c r="F122" t="s">
        <v>45</v>
      </c>
      <c r="G122" s="114">
        <v>1042.19</v>
      </c>
      <c r="H122" t="s">
        <v>34</v>
      </c>
      <c r="I122" t="s">
        <v>62</v>
      </c>
      <c r="J122">
        <v>1.9</v>
      </c>
      <c r="K122" s="114">
        <v>0</v>
      </c>
      <c r="L122" s="114">
        <v>0</v>
      </c>
    </row>
    <row r="123" spans="1:12" x14ac:dyDescent="0.25">
      <c r="A123" t="s">
        <v>166</v>
      </c>
      <c r="B123" s="158">
        <v>45338.884027777778</v>
      </c>
      <c r="C123" t="s">
        <v>19</v>
      </c>
      <c r="D123" t="s">
        <v>20</v>
      </c>
      <c r="E123" t="s">
        <v>28</v>
      </c>
      <c r="F123" t="s">
        <v>41</v>
      </c>
      <c r="G123" s="114">
        <v>3936.11</v>
      </c>
      <c r="H123" t="s">
        <v>22</v>
      </c>
      <c r="J123">
        <v>2.9</v>
      </c>
      <c r="K123" s="114">
        <v>114.15</v>
      </c>
      <c r="L123" s="114">
        <v>3821.96</v>
      </c>
    </row>
    <row r="124" spans="1:12" x14ac:dyDescent="0.25">
      <c r="A124" t="s">
        <v>167</v>
      </c>
      <c r="B124" s="158">
        <v>45339.081944444442</v>
      </c>
      <c r="C124" t="s">
        <v>24</v>
      </c>
      <c r="D124" t="s">
        <v>25</v>
      </c>
      <c r="E124" t="s">
        <v>33</v>
      </c>
      <c r="F124" t="s">
        <v>16</v>
      </c>
      <c r="G124" s="114">
        <v>3507.23</v>
      </c>
      <c r="H124" t="s">
        <v>22</v>
      </c>
      <c r="J124">
        <v>1.9</v>
      </c>
      <c r="K124" s="114">
        <v>66.64</v>
      </c>
      <c r="L124" s="114">
        <v>3440.59</v>
      </c>
    </row>
    <row r="125" spans="1:12" x14ac:dyDescent="0.25">
      <c r="A125" t="s">
        <v>168</v>
      </c>
      <c r="B125" s="158">
        <v>45339.298611111109</v>
      </c>
      <c r="C125" t="s">
        <v>58</v>
      </c>
      <c r="D125" t="s">
        <v>25</v>
      </c>
      <c r="E125" t="s">
        <v>15</v>
      </c>
      <c r="F125" t="s">
        <v>16</v>
      </c>
      <c r="G125" s="114">
        <v>1076.5999999999999</v>
      </c>
      <c r="H125" t="s">
        <v>34</v>
      </c>
      <c r="I125" t="s">
        <v>78</v>
      </c>
      <c r="J125">
        <v>2.5</v>
      </c>
      <c r="K125" s="114">
        <v>0</v>
      </c>
      <c r="L125" s="114">
        <v>0</v>
      </c>
    </row>
    <row r="126" spans="1:12" x14ac:dyDescent="0.25">
      <c r="A126" t="s">
        <v>169</v>
      </c>
      <c r="B126" s="158">
        <v>45339.468055555553</v>
      </c>
      <c r="C126" t="s">
        <v>24</v>
      </c>
      <c r="D126" t="s">
        <v>25</v>
      </c>
      <c r="E126" t="s">
        <v>39</v>
      </c>
      <c r="F126" t="s">
        <v>21</v>
      </c>
      <c r="G126" s="114">
        <v>1810.38</v>
      </c>
      <c r="H126" t="s">
        <v>22</v>
      </c>
      <c r="J126">
        <v>3.2</v>
      </c>
      <c r="K126" s="114">
        <v>57.93</v>
      </c>
      <c r="L126" s="114">
        <v>1752.45</v>
      </c>
    </row>
    <row r="127" spans="1:12" x14ac:dyDescent="0.25">
      <c r="A127" t="s">
        <v>170</v>
      </c>
      <c r="B127" s="158">
        <v>45339.504166666666</v>
      </c>
      <c r="C127" t="s">
        <v>37</v>
      </c>
      <c r="D127" t="s">
        <v>38</v>
      </c>
      <c r="E127" t="s">
        <v>39</v>
      </c>
      <c r="F127" t="s">
        <v>45</v>
      </c>
      <c r="G127" s="114">
        <v>1329.96</v>
      </c>
      <c r="H127" t="s">
        <v>22</v>
      </c>
      <c r="J127">
        <v>3.2</v>
      </c>
      <c r="K127" s="114">
        <v>42.56</v>
      </c>
      <c r="L127" s="114">
        <v>1287.4000000000001</v>
      </c>
    </row>
    <row r="128" spans="1:12" x14ac:dyDescent="0.25">
      <c r="A128" t="s">
        <v>171</v>
      </c>
      <c r="B128" s="158">
        <v>45339.51666666667</v>
      </c>
      <c r="C128" t="s">
        <v>58</v>
      </c>
      <c r="D128" t="s">
        <v>25</v>
      </c>
      <c r="E128" t="s">
        <v>33</v>
      </c>
      <c r="F128" t="s">
        <v>16</v>
      </c>
      <c r="G128" s="114">
        <v>290.01</v>
      </c>
      <c r="H128" t="s">
        <v>22</v>
      </c>
      <c r="J128">
        <v>1.9</v>
      </c>
      <c r="K128" s="114">
        <v>5.51</v>
      </c>
      <c r="L128" s="114">
        <v>284.5</v>
      </c>
    </row>
    <row r="129" spans="1:12" x14ac:dyDescent="0.25">
      <c r="A129" t="s">
        <v>172</v>
      </c>
      <c r="B129" s="158">
        <v>45339.605555555558</v>
      </c>
      <c r="C129" t="s">
        <v>60</v>
      </c>
      <c r="D129" t="s">
        <v>25</v>
      </c>
      <c r="E129" t="s">
        <v>15</v>
      </c>
      <c r="F129" t="s">
        <v>45</v>
      </c>
      <c r="G129" s="114">
        <v>778.85</v>
      </c>
      <c r="H129" t="s">
        <v>22</v>
      </c>
      <c r="J129">
        <v>2.5</v>
      </c>
      <c r="K129" s="114">
        <v>19.47</v>
      </c>
      <c r="L129" s="114">
        <v>759.38</v>
      </c>
    </row>
    <row r="130" spans="1:12" x14ac:dyDescent="0.25">
      <c r="A130" t="s">
        <v>173</v>
      </c>
      <c r="B130" s="158">
        <v>45339.654166666667</v>
      </c>
      <c r="C130" t="s">
        <v>27</v>
      </c>
      <c r="D130" t="s">
        <v>25</v>
      </c>
      <c r="E130" t="s">
        <v>33</v>
      </c>
      <c r="F130" t="s">
        <v>45</v>
      </c>
      <c r="G130" s="114">
        <v>4139.33</v>
      </c>
      <c r="H130" t="s">
        <v>34</v>
      </c>
      <c r="I130" t="s">
        <v>100</v>
      </c>
      <c r="J130">
        <v>1.9</v>
      </c>
      <c r="K130" s="114">
        <v>0</v>
      </c>
      <c r="L130" s="114">
        <v>0</v>
      </c>
    </row>
    <row r="131" spans="1:12" x14ac:dyDescent="0.25">
      <c r="A131" t="s">
        <v>174</v>
      </c>
      <c r="B131" s="158">
        <v>45340.061805555553</v>
      </c>
      <c r="C131" t="s">
        <v>37</v>
      </c>
      <c r="D131" t="s">
        <v>38</v>
      </c>
      <c r="E131" t="s">
        <v>44</v>
      </c>
      <c r="F131" t="s">
        <v>29</v>
      </c>
      <c r="G131" s="114">
        <v>1332.29</v>
      </c>
      <c r="H131" t="s">
        <v>17</v>
      </c>
      <c r="J131">
        <v>2.1</v>
      </c>
      <c r="K131" s="114">
        <v>0</v>
      </c>
      <c r="L131" s="114">
        <v>0</v>
      </c>
    </row>
    <row r="132" spans="1:12" x14ac:dyDescent="0.25">
      <c r="A132" t="s">
        <v>175</v>
      </c>
      <c r="B132" s="158">
        <v>45340.435416666667</v>
      </c>
      <c r="C132" t="s">
        <v>37</v>
      </c>
      <c r="D132" t="s">
        <v>38</v>
      </c>
      <c r="E132" t="s">
        <v>39</v>
      </c>
      <c r="F132" t="s">
        <v>21</v>
      </c>
      <c r="G132" s="114">
        <v>4768.43</v>
      </c>
      <c r="H132" t="s">
        <v>34</v>
      </c>
      <c r="I132" t="s">
        <v>78</v>
      </c>
      <c r="J132">
        <v>3.2</v>
      </c>
      <c r="K132" s="114">
        <v>0</v>
      </c>
      <c r="L132" s="114">
        <v>0</v>
      </c>
    </row>
    <row r="133" spans="1:12" x14ac:dyDescent="0.25">
      <c r="A133" t="s">
        <v>176</v>
      </c>
      <c r="B133" s="158">
        <v>45341.059027777781</v>
      </c>
      <c r="C133" t="s">
        <v>19</v>
      </c>
      <c r="D133" t="s">
        <v>20</v>
      </c>
      <c r="E133" t="s">
        <v>33</v>
      </c>
      <c r="F133" t="s">
        <v>16</v>
      </c>
      <c r="G133" s="114">
        <v>776.41</v>
      </c>
      <c r="H133" t="s">
        <v>22</v>
      </c>
      <c r="J133">
        <v>1.9</v>
      </c>
      <c r="K133" s="114">
        <v>14.75</v>
      </c>
      <c r="L133" s="114">
        <v>761.66</v>
      </c>
    </row>
    <row r="134" spans="1:12" x14ac:dyDescent="0.25">
      <c r="A134" t="s">
        <v>177</v>
      </c>
      <c r="B134" s="158">
        <v>45342.324305555558</v>
      </c>
      <c r="C134" t="s">
        <v>58</v>
      </c>
      <c r="D134" t="s">
        <v>25</v>
      </c>
      <c r="E134" t="s">
        <v>44</v>
      </c>
      <c r="F134" t="s">
        <v>16</v>
      </c>
      <c r="G134" s="114">
        <v>4457.91</v>
      </c>
      <c r="H134" t="s">
        <v>22</v>
      </c>
      <c r="J134">
        <v>2.1</v>
      </c>
      <c r="K134" s="114">
        <v>93.62</v>
      </c>
      <c r="L134" s="114">
        <v>4364.29</v>
      </c>
    </row>
    <row r="135" spans="1:12" x14ac:dyDescent="0.25">
      <c r="A135" t="s">
        <v>178</v>
      </c>
      <c r="B135" s="158">
        <v>45342.551388888889</v>
      </c>
      <c r="C135" t="s">
        <v>31</v>
      </c>
      <c r="D135" t="s">
        <v>32</v>
      </c>
      <c r="E135" t="s">
        <v>39</v>
      </c>
      <c r="F135" t="s">
        <v>45</v>
      </c>
      <c r="G135" s="114">
        <v>3847.34</v>
      </c>
      <c r="H135" t="s">
        <v>17</v>
      </c>
      <c r="J135">
        <v>3.2</v>
      </c>
      <c r="K135" s="114">
        <v>0</v>
      </c>
      <c r="L135" s="114">
        <v>0</v>
      </c>
    </row>
    <row r="136" spans="1:12" x14ac:dyDescent="0.25">
      <c r="A136" t="s">
        <v>179</v>
      </c>
      <c r="B136" s="158">
        <v>45342.864583333336</v>
      </c>
      <c r="C136" t="s">
        <v>31</v>
      </c>
      <c r="D136" t="s">
        <v>32</v>
      </c>
      <c r="E136" t="s">
        <v>15</v>
      </c>
      <c r="F136" t="s">
        <v>29</v>
      </c>
      <c r="G136" s="114">
        <v>3473.07</v>
      </c>
      <c r="H136" t="s">
        <v>22</v>
      </c>
      <c r="J136">
        <v>2.5</v>
      </c>
      <c r="K136" s="114">
        <v>86.83</v>
      </c>
      <c r="L136" s="114">
        <v>3386.24</v>
      </c>
    </row>
    <row r="137" spans="1:12" x14ac:dyDescent="0.25">
      <c r="A137" t="s">
        <v>180</v>
      </c>
      <c r="B137" s="158">
        <v>45342.868055555555</v>
      </c>
      <c r="C137" t="s">
        <v>43</v>
      </c>
      <c r="D137" t="s">
        <v>25</v>
      </c>
      <c r="E137" t="s">
        <v>28</v>
      </c>
      <c r="F137" t="s">
        <v>41</v>
      </c>
      <c r="G137" s="114">
        <v>4647.87</v>
      </c>
      <c r="H137" t="s">
        <v>22</v>
      </c>
      <c r="J137">
        <v>2.9</v>
      </c>
      <c r="K137" s="114">
        <v>134.79</v>
      </c>
      <c r="L137" s="114">
        <v>4513.08</v>
      </c>
    </row>
    <row r="138" spans="1:12" x14ac:dyDescent="0.25">
      <c r="A138" t="s">
        <v>181</v>
      </c>
      <c r="B138" s="158">
        <v>45343.429861111108</v>
      </c>
      <c r="C138" t="s">
        <v>37</v>
      </c>
      <c r="D138" t="s">
        <v>38</v>
      </c>
      <c r="E138" t="s">
        <v>44</v>
      </c>
      <c r="F138" t="s">
        <v>29</v>
      </c>
      <c r="G138" s="114">
        <v>3664.44</v>
      </c>
      <c r="H138" t="s">
        <v>34</v>
      </c>
      <c r="I138" t="s">
        <v>55</v>
      </c>
      <c r="J138">
        <v>2.1</v>
      </c>
      <c r="K138" s="114">
        <v>0</v>
      </c>
      <c r="L138" s="114">
        <v>0</v>
      </c>
    </row>
    <row r="139" spans="1:12" x14ac:dyDescent="0.25">
      <c r="A139" t="s">
        <v>182</v>
      </c>
      <c r="B139" s="158">
        <v>45343.511805555558</v>
      </c>
      <c r="C139" t="s">
        <v>43</v>
      </c>
      <c r="D139" t="s">
        <v>25</v>
      </c>
      <c r="E139" t="s">
        <v>39</v>
      </c>
      <c r="F139" t="s">
        <v>29</v>
      </c>
      <c r="G139" s="114">
        <v>1857.2</v>
      </c>
      <c r="H139" t="s">
        <v>22</v>
      </c>
      <c r="J139">
        <v>3.2</v>
      </c>
      <c r="K139" s="114">
        <v>59.43</v>
      </c>
      <c r="L139" s="114">
        <v>1797.77</v>
      </c>
    </row>
    <row r="140" spans="1:12" x14ac:dyDescent="0.25">
      <c r="A140" t="s">
        <v>183</v>
      </c>
      <c r="B140" s="158">
        <v>45345.272916666669</v>
      </c>
      <c r="C140" t="s">
        <v>24</v>
      </c>
      <c r="D140" t="s">
        <v>25</v>
      </c>
      <c r="E140" t="s">
        <v>15</v>
      </c>
      <c r="F140" t="s">
        <v>16</v>
      </c>
      <c r="G140" s="114">
        <v>4806.3100000000004</v>
      </c>
      <c r="H140" t="s">
        <v>22</v>
      </c>
      <c r="J140">
        <v>2.5</v>
      </c>
      <c r="K140" s="114">
        <v>120.16</v>
      </c>
      <c r="L140" s="114">
        <v>4686.1499999999996</v>
      </c>
    </row>
    <row r="141" spans="1:12" x14ac:dyDescent="0.25">
      <c r="A141" t="s">
        <v>184</v>
      </c>
      <c r="B141" s="158">
        <v>45345.393055555556</v>
      </c>
      <c r="C141" t="s">
        <v>31</v>
      </c>
      <c r="D141" t="s">
        <v>32</v>
      </c>
      <c r="E141" t="s">
        <v>28</v>
      </c>
      <c r="F141" t="s">
        <v>29</v>
      </c>
      <c r="G141" s="114">
        <v>1748.16</v>
      </c>
      <c r="H141" t="s">
        <v>22</v>
      </c>
      <c r="J141">
        <v>2.9</v>
      </c>
      <c r="K141" s="114">
        <v>50.7</v>
      </c>
      <c r="L141" s="114">
        <v>1697.46</v>
      </c>
    </row>
    <row r="142" spans="1:12" x14ac:dyDescent="0.25">
      <c r="A142" t="s">
        <v>185</v>
      </c>
      <c r="B142" s="158">
        <v>45346.004166666666</v>
      </c>
      <c r="C142" t="s">
        <v>47</v>
      </c>
      <c r="D142" t="s">
        <v>25</v>
      </c>
      <c r="E142" t="s">
        <v>44</v>
      </c>
      <c r="F142" t="s">
        <v>45</v>
      </c>
      <c r="G142" s="114">
        <v>3736.8</v>
      </c>
      <c r="H142" t="s">
        <v>17</v>
      </c>
      <c r="J142">
        <v>2.1</v>
      </c>
      <c r="K142" s="114">
        <v>0</v>
      </c>
      <c r="L142" s="114">
        <v>0</v>
      </c>
    </row>
    <row r="143" spans="1:12" x14ac:dyDescent="0.25">
      <c r="A143" t="s">
        <v>186</v>
      </c>
      <c r="B143" s="158">
        <v>45346.083333333336</v>
      </c>
      <c r="C143" t="s">
        <v>47</v>
      </c>
      <c r="D143" t="s">
        <v>25</v>
      </c>
      <c r="E143" t="s">
        <v>15</v>
      </c>
      <c r="F143" t="s">
        <v>21</v>
      </c>
      <c r="G143" s="114">
        <v>3809.12</v>
      </c>
      <c r="H143" t="s">
        <v>22</v>
      </c>
      <c r="J143">
        <v>2.5</v>
      </c>
      <c r="K143" s="114">
        <v>95.23</v>
      </c>
      <c r="L143" s="114">
        <v>3713.89</v>
      </c>
    </row>
    <row r="144" spans="1:12" x14ac:dyDescent="0.25">
      <c r="A144" t="s">
        <v>187</v>
      </c>
      <c r="B144" s="158">
        <v>45346.711111111108</v>
      </c>
      <c r="C144" t="s">
        <v>13</v>
      </c>
      <c r="D144" t="s">
        <v>14</v>
      </c>
      <c r="E144" t="s">
        <v>39</v>
      </c>
      <c r="F144" t="s">
        <v>21</v>
      </c>
      <c r="G144" s="114">
        <v>4735.6099999999997</v>
      </c>
      <c r="H144" t="s">
        <v>17</v>
      </c>
      <c r="J144">
        <v>3.2</v>
      </c>
      <c r="K144" s="114">
        <v>0</v>
      </c>
      <c r="L144" s="114">
        <v>0</v>
      </c>
    </row>
    <row r="145" spans="1:12" x14ac:dyDescent="0.25">
      <c r="A145" t="s">
        <v>188</v>
      </c>
      <c r="B145" s="158">
        <v>45346.85833333333</v>
      </c>
      <c r="C145" t="s">
        <v>37</v>
      </c>
      <c r="D145" t="s">
        <v>38</v>
      </c>
      <c r="E145" t="s">
        <v>15</v>
      </c>
      <c r="F145" t="s">
        <v>16</v>
      </c>
      <c r="G145" s="114">
        <v>4415.29</v>
      </c>
      <c r="H145" t="s">
        <v>22</v>
      </c>
      <c r="J145">
        <v>2.5</v>
      </c>
      <c r="K145" s="114">
        <v>110.38</v>
      </c>
      <c r="L145" s="114">
        <v>4304.91</v>
      </c>
    </row>
    <row r="146" spans="1:12" x14ac:dyDescent="0.25">
      <c r="A146" t="s">
        <v>189</v>
      </c>
      <c r="B146" s="158">
        <v>45347.781944444447</v>
      </c>
      <c r="C146" t="s">
        <v>13</v>
      </c>
      <c r="D146" t="s">
        <v>14</v>
      </c>
      <c r="E146" t="s">
        <v>28</v>
      </c>
      <c r="F146" t="s">
        <v>16</v>
      </c>
      <c r="G146" s="114">
        <v>3623.13</v>
      </c>
      <c r="H146" t="s">
        <v>17</v>
      </c>
      <c r="J146">
        <v>2.9</v>
      </c>
      <c r="K146" s="114">
        <v>0</v>
      </c>
      <c r="L146" s="114">
        <v>0</v>
      </c>
    </row>
    <row r="147" spans="1:12" x14ac:dyDescent="0.25">
      <c r="A147" t="s">
        <v>190</v>
      </c>
      <c r="B147" s="158">
        <v>45348.515972222223</v>
      </c>
      <c r="C147" t="s">
        <v>43</v>
      </c>
      <c r="D147" t="s">
        <v>25</v>
      </c>
      <c r="E147" t="s">
        <v>33</v>
      </c>
      <c r="F147" t="s">
        <v>41</v>
      </c>
      <c r="G147" s="114">
        <v>1834.2</v>
      </c>
      <c r="H147" t="s">
        <v>22</v>
      </c>
      <c r="J147">
        <v>1.9</v>
      </c>
      <c r="K147" s="114">
        <v>34.85</v>
      </c>
      <c r="L147" s="114">
        <v>1799.35</v>
      </c>
    </row>
    <row r="148" spans="1:12" x14ac:dyDescent="0.25">
      <c r="A148" t="s">
        <v>191</v>
      </c>
      <c r="B148" s="158">
        <v>45348.704861111109</v>
      </c>
      <c r="C148" t="s">
        <v>37</v>
      </c>
      <c r="D148" t="s">
        <v>38</v>
      </c>
      <c r="E148" t="s">
        <v>28</v>
      </c>
      <c r="F148" t="s">
        <v>21</v>
      </c>
      <c r="G148" s="114">
        <v>3525.64</v>
      </c>
      <c r="H148" t="s">
        <v>34</v>
      </c>
      <c r="I148" t="s">
        <v>100</v>
      </c>
      <c r="J148">
        <v>2.9</v>
      </c>
      <c r="K148" s="114">
        <v>0</v>
      </c>
      <c r="L148" s="114">
        <v>0</v>
      </c>
    </row>
    <row r="149" spans="1:12" x14ac:dyDescent="0.25">
      <c r="A149" t="s">
        <v>192</v>
      </c>
      <c r="B149" s="158">
        <v>45348.924305555556</v>
      </c>
      <c r="C149" t="s">
        <v>47</v>
      </c>
      <c r="D149" t="s">
        <v>25</v>
      </c>
      <c r="E149" t="s">
        <v>39</v>
      </c>
      <c r="F149" t="s">
        <v>16</v>
      </c>
      <c r="G149" s="114">
        <v>3305.78</v>
      </c>
      <c r="H149" t="s">
        <v>22</v>
      </c>
      <c r="J149">
        <v>3.2</v>
      </c>
      <c r="K149" s="114">
        <v>105.78</v>
      </c>
      <c r="L149" s="114">
        <v>3200</v>
      </c>
    </row>
    <row r="150" spans="1:12" x14ac:dyDescent="0.25">
      <c r="A150" t="s">
        <v>193</v>
      </c>
      <c r="B150" s="158">
        <v>45349.030555555553</v>
      </c>
      <c r="C150" t="s">
        <v>24</v>
      </c>
      <c r="D150" t="s">
        <v>25</v>
      </c>
      <c r="E150" t="s">
        <v>28</v>
      </c>
      <c r="F150" t="s">
        <v>29</v>
      </c>
      <c r="G150" s="114">
        <v>2410.77</v>
      </c>
      <c r="H150" t="s">
        <v>22</v>
      </c>
      <c r="J150">
        <v>2.9</v>
      </c>
      <c r="K150" s="114">
        <v>69.91</v>
      </c>
      <c r="L150" s="114">
        <v>2340.86</v>
      </c>
    </row>
    <row r="151" spans="1:12" x14ac:dyDescent="0.25">
      <c r="A151" t="s">
        <v>194</v>
      </c>
      <c r="B151" s="158">
        <v>45349.54791666667</v>
      </c>
      <c r="C151" t="s">
        <v>27</v>
      </c>
      <c r="D151" t="s">
        <v>25</v>
      </c>
      <c r="E151" t="s">
        <v>33</v>
      </c>
      <c r="F151" t="s">
        <v>45</v>
      </c>
      <c r="G151" s="114">
        <v>2917.56</v>
      </c>
      <c r="H151" t="s">
        <v>22</v>
      </c>
      <c r="J151">
        <v>1.9</v>
      </c>
      <c r="K151" s="114">
        <v>55.43</v>
      </c>
      <c r="L151" s="114">
        <v>2862.13</v>
      </c>
    </row>
    <row r="152" spans="1:12" x14ac:dyDescent="0.25">
      <c r="A152" t="s">
        <v>195</v>
      </c>
      <c r="B152" s="158">
        <v>45350.423611111109</v>
      </c>
      <c r="C152" t="s">
        <v>60</v>
      </c>
      <c r="D152" t="s">
        <v>25</v>
      </c>
      <c r="E152" t="s">
        <v>33</v>
      </c>
      <c r="F152" t="s">
        <v>21</v>
      </c>
      <c r="G152" s="114">
        <v>196.51</v>
      </c>
      <c r="H152" t="s">
        <v>34</v>
      </c>
      <c r="I152" t="s">
        <v>100</v>
      </c>
      <c r="J152">
        <v>1.9</v>
      </c>
      <c r="K152" s="114">
        <v>0</v>
      </c>
      <c r="L152" s="114">
        <v>0</v>
      </c>
    </row>
    <row r="153" spans="1:12" x14ac:dyDescent="0.25">
      <c r="A153" t="s">
        <v>196</v>
      </c>
      <c r="B153" s="158">
        <v>45350.776388888888</v>
      </c>
      <c r="C153" t="s">
        <v>43</v>
      </c>
      <c r="D153" t="s">
        <v>25</v>
      </c>
      <c r="E153" t="s">
        <v>39</v>
      </c>
      <c r="F153" t="s">
        <v>45</v>
      </c>
      <c r="G153" s="114">
        <v>497.29</v>
      </c>
      <c r="H153" t="s">
        <v>34</v>
      </c>
      <c r="I153" t="s">
        <v>35</v>
      </c>
      <c r="J153">
        <v>3.2</v>
      </c>
      <c r="K153" s="114">
        <v>0</v>
      </c>
      <c r="L153" s="114">
        <v>0</v>
      </c>
    </row>
    <row r="154" spans="1:12" x14ac:dyDescent="0.25">
      <c r="A154" t="s">
        <v>197</v>
      </c>
      <c r="B154" s="158">
        <v>45350.801388888889</v>
      </c>
      <c r="C154" t="s">
        <v>31</v>
      </c>
      <c r="D154" t="s">
        <v>32</v>
      </c>
      <c r="E154" t="s">
        <v>33</v>
      </c>
      <c r="F154" t="s">
        <v>29</v>
      </c>
      <c r="G154" s="114">
        <v>2436.96</v>
      </c>
      <c r="H154" t="s">
        <v>22</v>
      </c>
      <c r="J154">
        <v>1.9</v>
      </c>
      <c r="K154" s="114">
        <v>46.3</v>
      </c>
      <c r="L154" s="114">
        <v>2390.66</v>
      </c>
    </row>
    <row r="155" spans="1:12" x14ac:dyDescent="0.25">
      <c r="A155" t="s">
        <v>198</v>
      </c>
      <c r="B155" s="158">
        <v>45351.162499999999</v>
      </c>
      <c r="C155" t="s">
        <v>60</v>
      </c>
      <c r="D155" t="s">
        <v>25</v>
      </c>
      <c r="E155" t="s">
        <v>28</v>
      </c>
      <c r="F155" t="s">
        <v>29</v>
      </c>
      <c r="G155" s="114">
        <v>3320.14</v>
      </c>
      <c r="H155" t="s">
        <v>22</v>
      </c>
      <c r="J155">
        <v>2.9</v>
      </c>
      <c r="K155" s="114">
        <v>96.28</v>
      </c>
      <c r="L155" s="114">
        <v>3223.86</v>
      </c>
    </row>
    <row r="156" spans="1:12" x14ac:dyDescent="0.25">
      <c r="A156" t="s">
        <v>199</v>
      </c>
      <c r="B156" s="158">
        <v>45352.01458333333</v>
      </c>
      <c r="C156" t="s">
        <v>58</v>
      </c>
      <c r="D156" t="s">
        <v>25</v>
      </c>
      <c r="E156" t="s">
        <v>39</v>
      </c>
      <c r="F156" t="s">
        <v>45</v>
      </c>
      <c r="G156" s="114">
        <v>328.72</v>
      </c>
      <c r="H156" t="s">
        <v>17</v>
      </c>
      <c r="J156">
        <v>3.2</v>
      </c>
      <c r="K156" s="114">
        <v>0</v>
      </c>
      <c r="L156" s="114">
        <v>0</v>
      </c>
    </row>
    <row r="157" spans="1:12" x14ac:dyDescent="0.25">
      <c r="A157" t="s">
        <v>200</v>
      </c>
      <c r="B157" s="158">
        <v>45352.304861111108</v>
      </c>
      <c r="C157" t="s">
        <v>31</v>
      </c>
      <c r="D157" t="s">
        <v>32</v>
      </c>
      <c r="E157" t="s">
        <v>44</v>
      </c>
      <c r="F157" t="s">
        <v>21</v>
      </c>
      <c r="G157" s="114">
        <v>3470.25</v>
      </c>
      <c r="H157" t="s">
        <v>17</v>
      </c>
      <c r="J157">
        <v>2.1</v>
      </c>
      <c r="K157" s="114">
        <v>0</v>
      </c>
      <c r="L157" s="114">
        <v>0</v>
      </c>
    </row>
    <row r="158" spans="1:12" x14ac:dyDescent="0.25">
      <c r="A158" t="s">
        <v>201</v>
      </c>
      <c r="B158" s="158">
        <v>45352.870138888888</v>
      </c>
      <c r="C158" t="s">
        <v>27</v>
      </c>
      <c r="D158" t="s">
        <v>25</v>
      </c>
      <c r="E158" t="s">
        <v>15</v>
      </c>
      <c r="F158" t="s">
        <v>21</v>
      </c>
      <c r="G158" s="114">
        <v>2549.27</v>
      </c>
      <c r="H158" t="s">
        <v>22</v>
      </c>
      <c r="J158">
        <v>2.5</v>
      </c>
      <c r="K158" s="114">
        <v>63.73</v>
      </c>
      <c r="L158" s="114">
        <v>2485.54</v>
      </c>
    </row>
    <row r="159" spans="1:12" x14ac:dyDescent="0.25">
      <c r="A159" t="s">
        <v>202</v>
      </c>
      <c r="B159" s="158">
        <v>45353.021527777775</v>
      </c>
      <c r="C159" t="s">
        <v>58</v>
      </c>
      <c r="D159" t="s">
        <v>25</v>
      </c>
      <c r="E159" t="s">
        <v>44</v>
      </c>
      <c r="F159" t="s">
        <v>29</v>
      </c>
      <c r="G159" s="114">
        <v>1907.24</v>
      </c>
      <c r="H159" t="s">
        <v>22</v>
      </c>
      <c r="J159">
        <v>2.1</v>
      </c>
      <c r="K159" s="114">
        <v>40.049999999999997</v>
      </c>
      <c r="L159" s="114">
        <v>1867.19</v>
      </c>
    </row>
    <row r="160" spans="1:12" x14ac:dyDescent="0.25">
      <c r="A160" t="s">
        <v>203</v>
      </c>
      <c r="B160" s="158">
        <v>45353.324305555558</v>
      </c>
      <c r="C160" t="s">
        <v>19</v>
      </c>
      <c r="D160" t="s">
        <v>20</v>
      </c>
      <c r="E160" t="s">
        <v>28</v>
      </c>
      <c r="F160" t="s">
        <v>16</v>
      </c>
      <c r="G160" s="114">
        <v>280.10000000000002</v>
      </c>
      <c r="H160" t="s">
        <v>17</v>
      </c>
      <c r="J160">
        <v>2.9</v>
      </c>
      <c r="K160" s="114">
        <v>0</v>
      </c>
      <c r="L160" s="114">
        <v>0</v>
      </c>
    </row>
    <row r="161" spans="1:12" x14ac:dyDescent="0.25">
      <c r="A161" t="s">
        <v>204</v>
      </c>
      <c r="B161" s="158">
        <v>45353.48333333333</v>
      </c>
      <c r="C161" t="s">
        <v>47</v>
      </c>
      <c r="D161" t="s">
        <v>25</v>
      </c>
      <c r="E161" t="s">
        <v>28</v>
      </c>
      <c r="F161" t="s">
        <v>45</v>
      </c>
      <c r="G161" s="114">
        <v>774.99</v>
      </c>
      <c r="H161" t="s">
        <v>22</v>
      </c>
      <c r="J161">
        <v>2.9</v>
      </c>
      <c r="K161" s="114">
        <v>22.47</v>
      </c>
      <c r="L161" s="114">
        <v>752.52</v>
      </c>
    </row>
    <row r="162" spans="1:12" x14ac:dyDescent="0.25">
      <c r="A162" t="s">
        <v>205</v>
      </c>
      <c r="B162" s="158">
        <v>45353.59097222222</v>
      </c>
      <c r="C162" t="s">
        <v>27</v>
      </c>
      <c r="D162" t="s">
        <v>25</v>
      </c>
      <c r="E162" t="s">
        <v>44</v>
      </c>
      <c r="F162" t="s">
        <v>29</v>
      </c>
      <c r="G162" s="114">
        <v>639.66999999999996</v>
      </c>
      <c r="H162" t="s">
        <v>34</v>
      </c>
      <c r="I162" t="s">
        <v>78</v>
      </c>
      <c r="J162">
        <v>2.1</v>
      </c>
      <c r="K162" s="114">
        <v>0</v>
      </c>
      <c r="L162" s="114">
        <v>0</v>
      </c>
    </row>
    <row r="163" spans="1:12" x14ac:dyDescent="0.25">
      <c r="A163" t="s">
        <v>206</v>
      </c>
      <c r="B163" s="158">
        <v>45354.017361111109</v>
      </c>
      <c r="C163" t="s">
        <v>43</v>
      </c>
      <c r="D163" t="s">
        <v>25</v>
      </c>
      <c r="E163" t="s">
        <v>44</v>
      </c>
      <c r="F163" t="s">
        <v>16</v>
      </c>
      <c r="G163" s="114">
        <v>4639.78</v>
      </c>
      <c r="H163" t="s">
        <v>22</v>
      </c>
      <c r="J163">
        <v>2.1</v>
      </c>
      <c r="K163" s="114">
        <v>97.44</v>
      </c>
      <c r="L163" s="114">
        <v>4542.34</v>
      </c>
    </row>
    <row r="164" spans="1:12" x14ac:dyDescent="0.25">
      <c r="A164" t="s">
        <v>207</v>
      </c>
      <c r="B164" s="158">
        <v>45354.354861111111</v>
      </c>
      <c r="C164" t="s">
        <v>43</v>
      </c>
      <c r="D164" t="s">
        <v>25</v>
      </c>
      <c r="E164" t="s">
        <v>44</v>
      </c>
      <c r="F164" t="s">
        <v>29</v>
      </c>
      <c r="G164" s="114">
        <v>158.32</v>
      </c>
      <c r="H164" t="s">
        <v>22</v>
      </c>
      <c r="J164">
        <v>2.1</v>
      </c>
      <c r="K164" s="114">
        <v>3.32</v>
      </c>
      <c r="L164" s="114">
        <v>155</v>
      </c>
    </row>
    <row r="165" spans="1:12" x14ac:dyDescent="0.25">
      <c r="A165" t="s">
        <v>208</v>
      </c>
      <c r="B165" s="158">
        <v>45354.723611111112</v>
      </c>
      <c r="C165" t="s">
        <v>31</v>
      </c>
      <c r="D165" t="s">
        <v>32</v>
      </c>
      <c r="E165" t="s">
        <v>28</v>
      </c>
      <c r="F165" t="s">
        <v>16</v>
      </c>
      <c r="G165" s="114">
        <v>2411.0700000000002</v>
      </c>
      <c r="H165" t="s">
        <v>22</v>
      </c>
      <c r="J165">
        <v>2.9</v>
      </c>
      <c r="K165" s="114">
        <v>69.92</v>
      </c>
      <c r="L165" s="114">
        <v>2341.15</v>
      </c>
    </row>
    <row r="166" spans="1:12" x14ac:dyDescent="0.25">
      <c r="A166" t="s">
        <v>209</v>
      </c>
      <c r="B166" s="158">
        <v>45354.779861111114</v>
      </c>
      <c r="C166" t="s">
        <v>13</v>
      </c>
      <c r="D166" t="s">
        <v>14</v>
      </c>
      <c r="E166" t="s">
        <v>15</v>
      </c>
      <c r="F166" t="s">
        <v>16</v>
      </c>
      <c r="G166" s="114">
        <v>4093.7</v>
      </c>
      <c r="H166" t="s">
        <v>22</v>
      </c>
      <c r="J166">
        <v>2.5</v>
      </c>
      <c r="K166" s="114">
        <v>102.34</v>
      </c>
      <c r="L166" s="114">
        <v>3991.36</v>
      </c>
    </row>
    <row r="167" spans="1:12" x14ac:dyDescent="0.25">
      <c r="A167" t="s">
        <v>210</v>
      </c>
      <c r="B167" s="158">
        <v>45355.041666666664</v>
      </c>
      <c r="C167" t="s">
        <v>19</v>
      </c>
      <c r="D167" t="s">
        <v>20</v>
      </c>
      <c r="E167" t="s">
        <v>33</v>
      </c>
      <c r="F167" t="s">
        <v>16</v>
      </c>
      <c r="G167" s="114">
        <v>2690.39</v>
      </c>
      <c r="H167" t="s">
        <v>22</v>
      </c>
      <c r="J167">
        <v>1.9</v>
      </c>
      <c r="K167" s="114">
        <v>51.12</v>
      </c>
      <c r="L167" s="114">
        <v>2639.27</v>
      </c>
    </row>
    <row r="168" spans="1:12" x14ac:dyDescent="0.25">
      <c r="A168" t="s">
        <v>211</v>
      </c>
      <c r="B168" s="158">
        <v>45355.800694444442</v>
      </c>
      <c r="C168" t="s">
        <v>19</v>
      </c>
      <c r="D168" t="s">
        <v>20</v>
      </c>
      <c r="E168" t="s">
        <v>44</v>
      </c>
      <c r="F168" t="s">
        <v>29</v>
      </c>
      <c r="G168" s="114">
        <v>3356.3</v>
      </c>
      <c r="H168" t="s">
        <v>22</v>
      </c>
      <c r="J168">
        <v>2.1</v>
      </c>
      <c r="K168" s="114">
        <v>70.48</v>
      </c>
      <c r="L168" s="114">
        <v>3285.82</v>
      </c>
    </row>
    <row r="169" spans="1:12" x14ac:dyDescent="0.25">
      <c r="A169" t="s">
        <v>212</v>
      </c>
      <c r="B169" s="158">
        <v>45356.36041666667</v>
      </c>
      <c r="C169" t="s">
        <v>19</v>
      </c>
      <c r="D169" t="s">
        <v>20</v>
      </c>
      <c r="E169" t="s">
        <v>33</v>
      </c>
      <c r="F169" t="s">
        <v>21</v>
      </c>
      <c r="G169" s="114">
        <v>1910.71</v>
      </c>
      <c r="H169" t="s">
        <v>17</v>
      </c>
      <c r="J169">
        <v>1.9</v>
      </c>
      <c r="K169" s="114">
        <v>0</v>
      </c>
      <c r="L169" s="114">
        <v>0</v>
      </c>
    </row>
    <row r="170" spans="1:12" x14ac:dyDescent="0.25">
      <c r="A170" t="s">
        <v>213</v>
      </c>
      <c r="B170" s="158">
        <v>45356.634722222225</v>
      </c>
      <c r="C170" t="s">
        <v>37</v>
      </c>
      <c r="D170" t="s">
        <v>38</v>
      </c>
      <c r="E170" t="s">
        <v>33</v>
      </c>
      <c r="F170" t="s">
        <v>21</v>
      </c>
      <c r="G170" s="114">
        <v>4029.57</v>
      </c>
      <c r="H170" t="s">
        <v>34</v>
      </c>
      <c r="I170" t="s">
        <v>35</v>
      </c>
      <c r="J170">
        <v>1.9</v>
      </c>
      <c r="K170" s="114">
        <v>0</v>
      </c>
      <c r="L170" s="114">
        <v>0</v>
      </c>
    </row>
    <row r="171" spans="1:12" x14ac:dyDescent="0.25">
      <c r="A171" t="s">
        <v>214</v>
      </c>
      <c r="B171" s="158">
        <v>45356.84652777778</v>
      </c>
      <c r="C171" t="s">
        <v>19</v>
      </c>
      <c r="D171" t="s">
        <v>20</v>
      </c>
      <c r="E171" t="s">
        <v>33</v>
      </c>
      <c r="F171" t="s">
        <v>41</v>
      </c>
      <c r="G171" s="114">
        <v>2517.84</v>
      </c>
      <c r="H171" t="s">
        <v>22</v>
      </c>
      <c r="J171">
        <v>1.9</v>
      </c>
      <c r="K171" s="114">
        <v>47.84</v>
      </c>
      <c r="L171" s="114">
        <v>2470</v>
      </c>
    </row>
    <row r="172" spans="1:12" x14ac:dyDescent="0.25">
      <c r="A172" t="s">
        <v>215</v>
      </c>
      <c r="B172" s="158">
        <v>45357.072222222225</v>
      </c>
      <c r="C172" t="s">
        <v>19</v>
      </c>
      <c r="D172" t="s">
        <v>20</v>
      </c>
      <c r="E172" t="s">
        <v>28</v>
      </c>
      <c r="F172" t="s">
        <v>21</v>
      </c>
      <c r="G172" s="114">
        <v>691.14</v>
      </c>
      <c r="H172" t="s">
        <v>34</v>
      </c>
      <c r="I172" t="s">
        <v>55</v>
      </c>
      <c r="J172">
        <v>2.9</v>
      </c>
      <c r="K172" s="114">
        <v>0</v>
      </c>
      <c r="L172" s="114">
        <v>0</v>
      </c>
    </row>
    <row r="173" spans="1:12" x14ac:dyDescent="0.25">
      <c r="A173" t="s">
        <v>216</v>
      </c>
      <c r="B173" s="158">
        <v>45357.14166666667</v>
      </c>
      <c r="C173" t="s">
        <v>19</v>
      </c>
      <c r="D173" t="s">
        <v>20</v>
      </c>
      <c r="E173" t="s">
        <v>33</v>
      </c>
      <c r="F173" t="s">
        <v>21</v>
      </c>
      <c r="G173" s="114">
        <v>2525.5100000000002</v>
      </c>
      <c r="H173" t="s">
        <v>34</v>
      </c>
      <c r="I173" t="s">
        <v>55</v>
      </c>
      <c r="J173">
        <v>1.9</v>
      </c>
      <c r="K173" s="114">
        <v>0</v>
      </c>
      <c r="L173" s="114">
        <v>0</v>
      </c>
    </row>
    <row r="174" spans="1:12" x14ac:dyDescent="0.25">
      <c r="A174" t="s">
        <v>217</v>
      </c>
      <c r="B174" s="158">
        <v>45357.142361111109</v>
      </c>
      <c r="C174" t="s">
        <v>37</v>
      </c>
      <c r="D174" t="s">
        <v>38</v>
      </c>
      <c r="E174" t="s">
        <v>39</v>
      </c>
      <c r="F174" t="s">
        <v>45</v>
      </c>
      <c r="G174" s="114">
        <v>4695.3500000000004</v>
      </c>
      <c r="H174" t="s">
        <v>22</v>
      </c>
      <c r="J174">
        <v>3.2</v>
      </c>
      <c r="K174" s="114">
        <v>150.25</v>
      </c>
      <c r="L174" s="114">
        <v>4545.1000000000004</v>
      </c>
    </row>
    <row r="175" spans="1:12" x14ac:dyDescent="0.25">
      <c r="A175" t="s">
        <v>218</v>
      </c>
      <c r="B175" s="158">
        <v>45357.663194444445</v>
      </c>
      <c r="C175" t="s">
        <v>47</v>
      </c>
      <c r="D175" t="s">
        <v>25</v>
      </c>
      <c r="E175" t="s">
        <v>39</v>
      </c>
      <c r="F175" t="s">
        <v>16</v>
      </c>
      <c r="G175" s="114">
        <v>1421.8</v>
      </c>
      <c r="H175" t="s">
        <v>22</v>
      </c>
      <c r="J175">
        <v>3.2</v>
      </c>
      <c r="K175" s="114">
        <v>45.5</v>
      </c>
      <c r="L175" s="114">
        <v>1376.3</v>
      </c>
    </row>
    <row r="176" spans="1:12" x14ac:dyDescent="0.25">
      <c r="A176" t="s">
        <v>219</v>
      </c>
      <c r="B176" s="158">
        <v>45357.895833333336</v>
      </c>
      <c r="C176" t="s">
        <v>13</v>
      </c>
      <c r="D176" t="s">
        <v>14</v>
      </c>
      <c r="E176" t="s">
        <v>44</v>
      </c>
      <c r="F176" t="s">
        <v>21</v>
      </c>
      <c r="G176" s="114">
        <v>2643.09</v>
      </c>
      <c r="H176" t="s">
        <v>17</v>
      </c>
      <c r="J176">
        <v>2.1</v>
      </c>
      <c r="K176" s="114">
        <v>0</v>
      </c>
      <c r="L176" s="114">
        <v>0</v>
      </c>
    </row>
    <row r="177" spans="1:12" x14ac:dyDescent="0.25">
      <c r="A177" t="s">
        <v>220</v>
      </c>
      <c r="B177" s="158">
        <v>45358.14166666667</v>
      </c>
      <c r="C177" t="s">
        <v>13</v>
      </c>
      <c r="D177" t="s">
        <v>14</v>
      </c>
      <c r="E177" t="s">
        <v>33</v>
      </c>
      <c r="F177" t="s">
        <v>21</v>
      </c>
      <c r="G177" s="114">
        <v>843.43</v>
      </c>
      <c r="H177" t="s">
        <v>22</v>
      </c>
      <c r="J177">
        <v>1.9</v>
      </c>
      <c r="K177" s="114">
        <v>16.03</v>
      </c>
      <c r="L177" s="114">
        <v>827.4</v>
      </c>
    </row>
    <row r="178" spans="1:12" x14ac:dyDescent="0.25">
      <c r="A178" t="s">
        <v>221</v>
      </c>
      <c r="B178" s="158">
        <v>45358.447916666664</v>
      </c>
      <c r="C178" t="s">
        <v>27</v>
      </c>
      <c r="D178" t="s">
        <v>25</v>
      </c>
      <c r="E178" t="s">
        <v>39</v>
      </c>
      <c r="F178" t="s">
        <v>41</v>
      </c>
      <c r="G178" s="114">
        <v>119.35</v>
      </c>
      <c r="H178" t="s">
        <v>17</v>
      </c>
      <c r="J178">
        <v>3.2</v>
      </c>
      <c r="K178" s="114">
        <v>0</v>
      </c>
      <c r="L178" s="114">
        <v>0</v>
      </c>
    </row>
    <row r="179" spans="1:12" x14ac:dyDescent="0.25">
      <c r="A179" t="s">
        <v>222</v>
      </c>
      <c r="B179" s="158">
        <v>45358.816666666666</v>
      </c>
      <c r="C179" t="s">
        <v>43</v>
      </c>
      <c r="D179" t="s">
        <v>25</v>
      </c>
      <c r="E179" t="s">
        <v>33</v>
      </c>
      <c r="F179" t="s">
        <v>16</v>
      </c>
      <c r="G179" s="114">
        <v>2467.6</v>
      </c>
      <c r="H179" t="s">
        <v>22</v>
      </c>
      <c r="J179">
        <v>1.9</v>
      </c>
      <c r="K179" s="114">
        <v>46.88</v>
      </c>
      <c r="L179" s="114">
        <v>2420.7199999999998</v>
      </c>
    </row>
    <row r="180" spans="1:12" x14ac:dyDescent="0.25">
      <c r="A180" t="s">
        <v>223</v>
      </c>
      <c r="B180" s="158">
        <v>45359.097222222219</v>
      </c>
      <c r="C180" t="s">
        <v>13</v>
      </c>
      <c r="D180" t="s">
        <v>14</v>
      </c>
      <c r="E180" t="s">
        <v>15</v>
      </c>
      <c r="F180" t="s">
        <v>29</v>
      </c>
      <c r="G180" s="114">
        <v>1309.43</v>
      </c>
      <c r="H180" t="s">
        <v>22</v>
      </c>
      <c r="J180">
        <v>2.5</v>
      </c>
      <c r="K180" s="114">
        <v>32.74</v>
      </c>
      <c r="L180" s="114">
        <v>1276.69</v>
      </c>
    </row>
    <row r="181" spans="1:12" x14ac:dyDescent="0.25">
      <c r="A181" t="s">
        <v>224</v>
      </c>
      <c r="B181" s="158">
        <v>45359.119444444441</v>
      </c>
      <c r="C181" t="s">
        <v>43</v>
      </c>
      <c r="D181" t="s">
        <v>25</v>
      </c>
      <c r="E181" t="s">
        <v>28</v>
      </c>
      <c r="F181" t="s">
        <v>16</v>
      </c>
      <c r="G181" s="114">
        <v>1558.85</v>
      </c>
      <c r="H181" t="s">
        <v>34</v>
      </c>
      <c r="I181" t="s">
        <v>55</v>
      </c>
      <c r="J181">
        <v>2.9</v>
      </c>
      <c r="K181" s="114">
        <v>0</v>
      </c>
      <c r="L181" s="114">
        <v>0</v>
      </c>
    </row>
    <row r="182" spans="1:12" x14ac:dyDescent="0.25">
      <c r="A182" t="s">
        <v>225</v>
      </c>
      <c r="B182" s="158">
        <v>45359.209027777775</v>
      </c>
      <c r="C182" t="s">
        <v>19</v>
      </c>
      <c r="D182" t="s">
        <v>20</v>
      </c>
      <c r="E182" t="s">
        <v>33</v>
      </c>
      <c r="F182" t="s">
        <v>21</v>
      </c>
      <c r="G182" s="114">
        <v>3031.97</v>
      </c>
      <c r="H182" t="s">
        <v>17</v>
      </c>
      <c r="J182">
        <v>1.9</v>
      </c>
      <c r="K182" s="114">
        <v>0</v>
      </c>
      <c r="L182" s="114">
        <v>0</v>
      </c>
    </row>
    <row r="183" spans="1:12" x14ac:dyDescent="0.25">
      <c r="A183" t="s">
        <v>226</v>
      </c>
      <c r="B183" s="158">
        <v>45359.470833333333</v>
      </c>
      <c r="C183" t="s">
        <v>24</v>
      </c>
      <c r="D183" t="s">
        <v>25</v>
      </c>
      <c r="E183" t="s">
        <v>28</v>
      </c>
      <c r="F183" t="s">
        <v>41</v>
      </c>
      <c r="G183" s="114">
        <v>2404.12</v>
      </c>
      <c r="H183" t="s">
        <v>22</v>
      </c>
      <c r="J183">
        <v>2.9</v>
      </c>
      <c r="K183" s="114">
        <v>69.72</v>
      </c>
      <c r="L183" s="114">
        <v>2334.4</v>
      </c>
    </row>
    <row r="184" spans="1:12" x14ac:dyDescent="0.25">
      <c r="A184" t="s">
        <v>227</v>
      </c>
      <c r="B184" s="158">
        <v>45359.803472222222</v>
      </c>
      <c r="C184" t="s">
        <v>47</v>
      </c>
      <c r="D184" t="s">
        <v>25</v>
      </c>
      <c r="E184" t="s">
        <v>39</v>
      </c>
      <c r="F184" t="s">
        <v>41</v>
      </c>
      <c r="G184" s="114">
        <v>3709.73</v>
      </c>
      <c r="H184" t="s">
        <v>17</v>
      </c>
      <c r="J184">
        <v>3.2</v>
      </c>
      <c r="K184" s="114">
        <v>0</v>
      </c>
      <c r="L184" s="114">
        <v>0</v>
      </c>
    </row>
    <row r="185" spans="1:12" x14ac:dyDescent="0.25">
      <c r="A185" t="s">
        <v>228</v>
      </c>
      <c r="B185" s="158">
        <v>45359.84097222222</v>
      </c>
      <c r="C185" t="s">
        <v>19</v>
      </c>
      <c r="D185" t="s">
        <v>20</v>
      </c>
      <c r="E185" t="s">
        <v>28</v>
      </c>
      <c r="F185" t="s">
        <v>29</v>
      </c>
      <c r="G185" s="114">
        <v>1269.43</v>
      </c>
      <c r="H185" t="s">
        <v>22</v>
      </c>
      <c r="J185">
        <v>2.9</v>
      </c>
      <c r="K185" s="114">
        <v>36.81</v>
      </c>
      <c r="L185" s="114">
        <v>1232.6199999999999</v>
      </c>
    </row>
    <row r="186" spans="1:12" x14ac:dyDescent="0.25">
      <c r="A186" t="s">
        <v>229</v>
      </c>
      <c r="B186" s="158">
        <v>45359.948611111111</v>
      </c>
      <c r="C186" t="s">
        <v>60</v>
      </c>
      <c r="D186" t="s">
        <v>25</v>
      </c>
      <c r="E186" t="s">
        <v>44</v>
      </c>
      <c r="F186" t="s">
        <v>41</v>
      </c>
      <c r="G186" s="114">
        <v>2085.98</v>
      </c>
      <c r="H186" t="s">
        <v>17</v>
      </c>
      <c r="J186">
        <v>2.1</v>
      </c>
      <c r="K186" s="114">
        <v>0</v>
      </c>
      <c r="L186" s="114">
        <v>0</v>
      </c>
    </row>
    <row r="187" spans="1:12" x14ac:dyDescent="0.25">
      <c r="A187" t="s">
        <v>230</v>
      </c>
      <c r="B187" s="158">
        <v>45360.159722222219</v>
      </c>
      <c r="C187" t="s">
        <v>19</v>
      </c>
      <c r="D187" t="s">
        <v>20</v>
      </c>
      <c r="E187" t="s">
        <v>15</v>
      </c>
      <c r="F187" t="s">
        <v>29</v>
      </c>
      <c r="G187" s="114">
        <v>88</v>
      </c>
      <c r="H187" t="s">
        <v>34</v>
      </c>
      <c r="I187" t="s">
        <v>78</v>
      </c>
      <c r="J187">
        <v>2.5</v>
      </c>
      <c r="K187" s="114">
        <v>0</v>
      </c>
      <c r="L187" s="114">
        <v>0</v>
      </c>
    </row>
    <row r="188" spans="1:12" x14ac:dyDescent="0.25">
      <c r="A188" t="s">
        <v>231</v>
      </c>
      <c r="B188" s="158">
        <v>45360.18472222222</v>
      </c>
      <c r="C188" t="s">
        <v>19</v>
      </c>
      <c r="D188" t="s">
        <v>20</v>
      </c>
      <c r="E188" t="s">
        <v>33</v>
      </c>
      <c r="F188" t="s">
        <v>21</v>
      </c>
      <c r="G188" s="114">
        <v>4216.9399999999996</v>
      </c>
      <c r="H188" t="s">
        <v>17</v>
      </c>
      <c r="J188">
        <v>1.9</v>
      </c>
      <c r="K188" s="114">
        <v>0</v>
      </c>
      <c r="L188" s="114">
        <v>0</v>
      </c>
    </row>
    <row r="189" spans="1:12" x14ac:dyDescent="0.25">
      <c r="A189" t="s">
        <v>232</v>
      </c>
      <c r="B189" s="158">
        <v>45361.379861111112</v>
      </c>
      <c r="C189" t="s">
        <v>43</v>
      </c>
      <c r="D189" t="s">
        <v>25</v>
      </c>
      <c r="E189" t="s">
        <v>33</v>
      </c>
      <c r="F189" t="s">
        <v>16</v>
      </c>
      <c r="G189" s="114">
        <v>1367.95</v>
      </c>
      <c r="H189" t="s">
        <v>17</v>
      </c>
      <c r="J189">
        <v>1.9</v>
      </c>
      <c r="K189" s="114">
        <v>0</v>
      </c>
      <c r="L189" s="114">
        <v>0</v>
      </c>
    </row>
    <row r="190" spans="1:12" x14ac:dyDescent="0.25">
      <c r="A190" t="s">
        <v>233</v>
      </c>
      <c r="B190" s="158">
        <v>45361.705555555556</v>
      </c>
      <c r="C190" t="s">
        <v>19</v>
      </c>
      <c r="D190" t="s">
        <v>20</v>
      </c>
      <c r="E190" t="s">
        <v>28</v>
      </c>
      <c r="F190" t="s">
        <v>29</v>
      </c>
      <c r="G190" s="114">
        <v>971.89</v>
      </c>
      <c r="H190" t="s">
        <v>22</v>
      </c>
      <c r="J190">
        <v>2.9</v>
      </c>
      <c r="K190" s="114">
        <v>28.18</v>
      </c>
      <c r="L190" s="114">
        <v>943.71</v>
      </c>
    </row>
    <row r="191" spans="1:12" x14ac:dyDescent="0.25">
      <c r="A191" t="s">
        <v>234</v>
      </c>
      <c r="B191" s="158">
        <v>45362.176388888889</v>
      </c>
      <c r="C191" t="s">
        <v>58</v>
      </c>
      <c r="D191" t="s">
        <v>25</v>
      </c>
      <c r="E191" t="s">
        <v>44</v>
      </c>
      <c r="F191" t="s">
        <v>29</v>
      </c>
      <c r="G191" s="114">
        <v>330.5</v>
      </c>
      <c r="H191" t="s">
        <v>34</v>
      </c>
      <c r="I191" t="s">
        <v>62</v>
      </c>
      <c r="J191">
        <v>2.1</v>
      </c>
      <c r="K191" s="114">
        <v>0</v>
      </c>
      <c r="L191" s="114">
        <v>0</v>
      </c>
    </row>
    <row r="192" spans="1:12" x14ac:dyDescent="0.25">
      <c r="A192" t="s">
        <v>235</v>
      </c>
      <c r="B192" s="158">
        <v>45362.26458333333</v>
      </c>
      <c r="C192" t="s">
        <v>58</v>
      </c>
      <c r="D192" t="s">
        <v>25</v>
      </c>
      <c r="E192" t="s">
        <v>33</v>
      </c>
      <c r="F192" t="s">
        <v>16</v>
      </c>
      <c r="G192" s="114">
        <v>724.69</v>
      </c>
      <c r="H192" t="s">
        <v>22</v>
      </c>
      <c r="J192">
        <v>1.9</v>
      </c>
      <c r="K192" s="114">
        <v>13.77</v>
      </c>
      <c r="L192" s="114">
        <v>710.92</v>
      </c>
    </row>
    <row r="193" spans="1:12" x14ac:dyDescent="0.25">
      <c r="A193" t="s">
        <v>236</v>
      </c>
      <c r="B193" s="158">
        <v>45362.53402777778</v>
      </c>
      <c r="C193" t="s">
        <v>27</v>
      </c>
      <c r="D193" t="s">
        <v>25</v>
      </c>
      <c r="E193" t="s">
        <v>44</v>
      </c>
      <c r="F193" t="s">
        <v>41</v>
      </c>
      <c r="G193" s="114">
        <v>2657.24</v>
      </c>
      <c r="H193" t="s">
        <v>22</v>
      </c>
      <c r="J193">
        <v>2.1</v>
      </c>
      <c r="K193" s="114">
        <v>55.8</v>
      </c>
      <c r="L193" s="114">
        <v>2601.44</v>
      </c>
    </row>
    <row r="194" spans="1:12" x14ac:dyDescent="0.25">
      <c r="A194" t="s">
        <v>237</v>
      </c>
      <c r="B194" s="158">
        <v>45363.05</v>
      </c>
      <c r="C194" t="s">
        <v>60</v>
      </c>
      <c r="D194" t="s">
        <v>25</v>
      </c>
      <c r="E194" t="s">
        <v>33</v>
      </c>
      <c r="F194" t="s">
        <v>29</v>
      </c>
      <c r="G194" s="114">
        <v>2451.27</v>
      </c>
      <c r="H194" t="s">
        <v>22</v>
      </c>
      <c r="J194">
        <v>1.9</v>
      </c>
      <c r="K194" s="114">
        <v>46.57</v>
      </c>
      <c r="L194" s="114">
        <v>2404.6999999999998</v>
      </c>
    </row>
    <row r="195" spans="1:12" x14ac:dyDescent="0.25">
      <c r="A195" t="s">
        <v>238</v>
      </c>
      <c r="B195" s="158">
        <v>45363.303472222222</v>
      </c>
      <c r="C195" t="s">
        <v>31</v>
      </c>
      <c r="D195" t="s">
        <v>32</v>
      </c>
      <c r="E195" t="s">
        <v>44</v>
      </c>
      <c r="F195" t="s">
        <v>45</v>
      </c>
      <c r="G195" s="114">
        <v>3008.99</v>
      </c>
      <c r="H195" t="s">
        <v>17</v>
      </c>
      <c r="J195">
        <v>2.1</v>
      </c>
      <c r="K195" s="114">
        <v>0</v>
      </c>
      <c r="L195" s="114">
        <v>0</v>
      </c>
    </row>
    <row r="196" spans="1:12" x14ac:dyDescent="0.25">
      <c r="A196" t="s">
        <v>239</v>
      </c>
      <c r="B196" s="158">
        <v>45363.84652777778</v>
      </c>
      <c r="C196" t="s">
        <v>24</v>
      </c>
      <c r="D196" t="s">
        <v>25</v>
      </c>
      <c r="E196" t="s">
        <v>39</v>
      </c>
      <c r="F196" t="s">
        <v>29</v>
      </c>
      <c r="G196" s="114">
        <v>3579.03</v>
      </c>
      <c r="H196" t="s">
        <v>34</v>
      </c>
      <c r="I196" t="s">
        <v>78</v>
      </c>
      <c r="J196">
        <v>3.2</v>
      </c>
      <c r="K196" s="114">
        <v>0</v>
      </c>
      <c r="L196" s="114">
        <v>0</v>
      </c>
    </row>
    <row r="197" spans="1:12" x14ac:dyDescent="0.25">
      <c r="A197" t="s">
        <v>240</v>
      </c>
      <c r="B197" s="158">
        <v>45363.981944444444</v>
      </c>
      <c r="C197" t="s">
        <v>43</v>
      </c>
      <c r="D197" t="s">
        <v>25</v>
      </c>
      <c r="E197" t="s">
        <v>44</v>
      </c>
      <c r="F197" t="s">
        <v>45</v>
      </c>
      <c r="G197" s="114">
        <v>4951.71</v>
      </c>
      <c r="H197" t="s">
        <v>22</v>
      </c>
      <c r="J197">
        <v>2.1</v>
      </c>
      <c r="K197" s="114">
        <v>103.99</v>
      </c>
      <c r="L197" s="114">
        <v>4847.72</v>
      </c>
    </row>
    <row r="198" spans="1:12" x14ac:dyDescent="0.25">
      <c r="A198" t="s">
        <v>241</v>
      </c>
      <c r="B198" s="158">
        <v>45364.127083333333</v>
      </c>
      <c r="C198" t="s">
        <v>47</v>
      </c>
      <c r="D198" t="s">
        <v>25</v>
      </c>
      <c r="E198" t="s">
        <v>15</v>
      </c>
      <c r="F198" t="s">
        <v>45</v>
      </c>
      <c r="G198" s="114">
        <v>2096.4899999999998</v>
      </c>
      <c r="H198" t="s">
        <v>22</v>
      </c>
      <c r="J198">
        <v>2.5</v>
      </c>
      <c r="K198" s="114">
        <v>52.41</v>
      </c>
      <c r="L198" s="114">
        <v>2044.08</v>
      </c>
    </row>
    <row r="199" spans="1:12" x14ac:dyDescent="0.25">
      <c r="A199" t="s">
        <v>242</v>
      </c>
      <c r="B199" s="158">
        <v>45364.548611111109</v>
      </c>
      <c r="C199" t="s">
        <v>37</v>
      </c>
      <c r="D199" t="s">
        <v>38</v>
      </c>
      <c r="E199" t="s">
        <v>33</v>
      </c>
      <c r="F199" t="s">
        <v>29</v>
      </c>
      <c r="G199" s="114">
        <v>2198.92</v>
      </c>
      <c r="H199" t="s">
        <v>17</v>
      </c>
      <c r="J199">
        <v>1.9</v>
      </c>
      <c r="K199" s="114">
        <v>0</v>
      </c>
      <c r="L199" s="114">
        <v>0</v>
      </c>
    </row>
    <row r="200" spans="1:12" x14ac:dyDescent="0.25">
      <c r="A200" t="s">
        <v>243</v>
      </c>
      <c r="B200" s="158">
        <v>45365.005555555559</v>
      </c>
      <c r="C200" t="s">
        <v>13</v>
      </c>
      <c r="D200" t="s">
        <v>14</v>
      </c>
      <c r="E200" t="s">
        <v>39</v>
      </c>
      <c r="F200" t="s">
        <v>21</v>
      </c>
      <c r="G200" s="114">
        <v>3896.25</v>
      </c>
      <c r="H200" t="s">
        <v>34</v>
      </c>
      <c r="I200" t="s">
        <v>62</v>
      </c>
      <c r="J200">
        <v>3.2</v>
      </c>
      <c r="K200" s="114">
        <v>0</v>
      </c>
      <c r="L200" s="114">
        <v>0</v>
      </c>
    </row>
    <row r="201" spans="1:12" x14ac:dyDescent="0.25">
      <c r="A201" t="s">
        <v>244</v>
      </c>
      <c r="B201" s="158">
        <v>45365.263194444444</v>
      </c>
      <c r="C201" t="s">
        <v>43</v>
      </c>
      <c r="D201" t="s">
        <v>25</v>
      </c>
      <c r="E201" t="s">
        <v>33</v>
      </c>
      <c r="F201" t="s">
        <v>21</v>
      </c>
      <c r="G201" s="114">
        <v>339.92</v>
      </c>
      <c r="H201" t="s">
        <v>17</v>
      </c>
      <c r="J201">
        <v>1.9</v>
      </c>
      <c r="K201" s="114">
        <v>0</v>
      </c>
      <c r="L201" s="114">
        <v>0</v>
      </c>
    </row>
    <row r="202" spans="1:12" x14ac:dyDescent="0.25">
      <c r="A202" t="s">
        <v>245</v>
      </c>
      <c r="B202" s="158">
        <v>45365.393750000003</v>
      </c>
      <c r="C202" t="s">
        <v>60</v>
      </c>
      <c r="D202" t="s">
        <v>25</v>
      </c>
      <c r="E202" t="s">
        <v>33</v>
      </c>
      <c r="F202" t="s">
        <v>21</v>
      </c>
      <c r="G202" s="114">
        <v>1210.42</v>
      </c>
      <c r="H202" t="s">
        <v>34</v>
      </c>
      <c r="I202" t="s">
        <v>35</v>
      </c>
      <c r="J202">
        <v>1.9</v>
      </c>
      <c r="K202" s="114">
        <v>0</v>
      </c>
      <c r="L202" s="114">
        <v>0</v>
      </c>
    </row>
    <row r="203" spans="1:12" x14ac:dyDescent="0.25">
      <c r="A203" t="s">
        <v>246</v>
      </c>
      <c r="B203" s="158">
        <v>45366.479166666664</v>
      </c>
      <c r="C203" t="s">
        <v>37</v>
      </c>
      <c r="D203" t="s">
        <v>38</v>
      </c>
      <c r="E203" t="s">
        <v>39</v>
      </c>
      <c r="F203" t="s">
        <v>41</v>
      </c>
      <c r="G203" s="114">
        <v>3230.53</v>
      </c>
      <c r="H203" t="s">
        <v>17</v>
      </c>
      <c r="J203">
        <v>3.2</v>
      </c>
      <c r="K203" s="114">
        <v>0</v>
      </c>
      <c r="L203" s="114">
        <v>0</v>
      </c>
    </row>
    <row r="204" spans="1:12" x14ac:dyDescent="0.25">
      <c r="A204" t="s">
        <v>247</v>
      </c>
      <c r="B204" s="158">
        <v>45366.665972222225</v>
      </c>
      <c r="C204" t="s">
        <v>19</v>
      </c>
      <c r="D204" t="s">
        <v>20</v>
      </c>
      <c r="E204" t="s">
        <v>15</v>
      </c>
      <c r="F204" t="s">
        <v>41</v>
      </c>
      <c r="G204" s="114">
        <v>329.76</v>
      </c>
      <c r="H204" t="s">
        <v>22</v>
      </c>
      <c r="J204">
        <v>2.5</v>
      </c>
      <c r="K204" s="114">
        <v>8.24</v>
      </c>
      <c r="L204" s="114">
        <v>321.52</v>
      </c>
    </row>
    <row r="205" spans="1:12" x14ac:dyDescent="0.25">
      <c r="A205" t="s">
        <v>248</v>
      </c>
      <c r="B205" s="158">
        <v>45366.970138888886</v>
      </c>
      <c r="C205" t="s">
        <v>19</v>
      </c>
      <c r="D205" t="s">
        <v>20</v>
      </c>
      <c r="E205" t="s">
        <v>39</v>
      </c>
      <c r="F205" t="s">
        <v>21</v>
      </c>
      <c r="G205" s="114">
        <v>811.18</v>
      </c>
      <c r="H205" t="s">
        <v>17</v>
      </c>
      <c r="J205">
        <v>3.2</v>
      </c>
      <c r="K205" s="114">
        <v>0</v>
      </c>
      <c r="L205" s="114">
        <v>0</v>
      </c>
    </row>
    <row r="206" spans="1:12" x14ac:dyDescent="0.25">
      <c r="A206" t="s">
        <v>249</v>
      </c>
      <c r="B206" s="158">
        <v>45367.791666666664</v>
      </c>
      <c r="C206" t="s">
        <v>47</v>
      </c>
      <c r="D206" t="s">
        <v>25</v>
      </c>
      <c r="E206" t="s">
        <v>44</v>
      </c>
      <c r="F206" t="s">
        <v>29</v>
      </c>
      <c r="G206" s="114">
        <v>2705.68</v>
      </c>
      <c r="H206" t="s">
        <v>22</v>
      </c>
      <c r="J206">
        <v>2.1</v>
      </c>
      <c r="K206" s="114">
        <v>56.82</v>
      </c>
      <c r="L206" s="114">
        <v>2648.86</v>
      </c>
    </row>
    <row r="207" spans="1:12" x14ac:dyDescent="0.25">
      <c r="A207" t="s">
        <v>250</v>
      </c>
      <c r="B207" s="158">
        <v>45367.881249999999</v>
      </c>
      <c r="C207" t="s">
        <v>43</v>
      </c>
      <c r="D207" t="s">
        <v>25</v>
      </c>
      <c r="E207" t="s">
        <v>33</v>
      </c>
      <c r="F207" t="s">
        <v>21</v>
      </c>
      <c r="G207" s="114">
        <v>1956.01</v>
      </c>
      <c r="H207" t="s">
        <v>17</v>
      </c>
      <c r="J207">
        <v>1.9</v>
      </c>
      <c r="K207" s="114">
        <v>0</v>
      </c>
      <c r="L207" s="114">
        <v>0</v>
      </c>
    </row>
    <row r="208" spans="1:12" x14ac:dyDescent="0.25">
      <c r="A208" t="s">
        <v>251</v>
      </c>
      <c r="B208" s="158">
        <v>45367.95416666667</v>
      </c>
      <c r="C208" t="s">
        <v>58</v>
      </c>
      <c r="D208" t="s">
        <v>25</v>
      </c>
      <c r="E208" t="s">
        <v>39</v>
      </c>
      <c r="F208" t="s">
        <v>16</v>
      </c>
      <c r="G208" s="114">
        <v>1870.43</v>
      </c>
      <c r="H208" t="s">
        <v>22</v>
      </c>
      <c r="J208">
        <v>3.2</v>
      </c>
      <c r="K208" s="114">
        <v>59.85</v>
      </c>
      <c r="L208" s="114">
        <v>1810.58</v>
      </c>
    </row>
    <row r="209" spans="1:12" x14ac:dyDescent="0.25">
      <c r="A209" t="s">
        <v>252</v>
      </c>
      <c r="B209" s="158">
        <v>45368.099305555559</v>
      </c>
      <c r="C209" t="s">
        <v>27</v>
      </c>
      <c r="D209" t="s">
        <v>25</v>
      </c>
      <c r="E209" t="s">
        <v>33</v>
      </c>
      <c r="F209" t="s">
        <v>41</v>
      </c>
      <c r="G209" s="114">
        <v>80.430000000000007</v>
      </c>
      <c r="H209" t="s">
        <v>17</v>
      </c>
      <c r="J209">
        <v>1.9</v>
      </c>
      <c r="K209" s="114">
        <v>0</v>
      </c>
      <c r="L209" s="114">
        <v>0</v>
      </c>
    </row>
    <row r="210" spans="1:12" x14ac:dyDescent="0.25">
      <c r="A210" t="s">
        <v>253</v>
      </c>
      <c r="B210" s="158">
        <v>45368.79583333333</v>
      </c>
      <c r="C210" t="s">
        <v>27</v>
      </c>
      <c r="D210" t="s">
        <v>25</v>
      </c>
      <c r="E210" t="s">
        <v>15</v>
      </c>
      <c r="F210" t="s">
        <v>45</v>
      </c>
      <c r="G210" s="114">
        <v>3003.07</v>
      </c>
      <c r="H210" t="s">
        <v>17</v>
      </c>
      <c r="J210">
        <v>2.5</v>
      </c>
      <c r="K210" s="114">
        <v>0</v>
      </c>
      <c r="L210" s="114">
        <v>0</v>
      </c>
    </row>
    <row r="211" spans="1:12" x14ac:dyDescent="0.25">
      <c r="A211" t="s">
        <v>254</v>
      </c>
      <c r="B211" s="158">
        <v>45369.572222222225</v>
      </c>
      <c r="C211" t="s">
        <v>24</v>
      </c>
      <c r="D211" t="s">
        <v>25</v>
      </c>
      <c r="E211" t="s">
        <v>15</v>
      </c>
      <c r="F211" t="s">
        <v>45</v>
      </c>
      <c r="G211" s="114">
        <v>3877.11</v>
      </c>
      <c r="H211" t="s">
        <v>34</v>
      </c>
      <c r="I211" t="s">
        <v>78</v>
      </c>
      <c r="J211">
        <v>2.5</v>
      </c>
      <c r="K211" s="114">
        <v>0</v>
      </c>
      <c r="L211" s="114">
        <v>0</v>
      </c>
    </row>
    <row r="212" spans="1:12" x14ac:dyDescent="0.25">
      <c r="A212" t="s">
        <v>255</v>
      </c>
      <c r="B212" s="158">
        <v>45369.931250000001</v>
      </c>
      <c r="C212" t="s">
        <v>58</v>
      </c>
      <c r="D212" t="s">
        <v>25</v>
      </c>
      <c r="E212" t="s">
        <v>33</v>
      </c>
      <c r="F212" t="s">
        <v>41</v>
      </c>
      <c r="G212" s="114">
        <v>2581.7600000000002</v>
      </c>
      <c r="H212" t="s">
        <v>34</v>
      </c>
      <c r="I212" t="s">
        <v>55</v>
      </c>
      <c r="J212">
        <v>1.9</v>
      </c>
      <c r="K212" s="114">
        <v>0</v>
      </c>
      <c r="L212" s="114">
        <v>0</v>
      </c>
    </row>
    <row r="213" spans="1:12" x14ac:dyDescent="0.25">
      <c r="A213" t="s">
        <v>256</v>
      </c>
      <c r="B213" s="158">
        <v>45369.945833333331</v>
      </c>
      <c r="C213" t="s">
        <v>31</v>
      </c>
      <c r="D213" t="s">
        <v>32</v>
      </c>
      <c r="E213" t="s">
        <v>28</v>
      </c>
      <c r="F213" t="s">
        <v>21</v>
      </c>
      <c r="G213" s="114">
        <v>4042.82</v>
      </c>
      <c r="H213" t="s">
        <v>34</v>
      </c>
      <c r="I213" t="s">
        <v>100</v>
      </c>
      <c r="J213">
        <v>2.9</v>
      </c>
      <c r="K213" s="114">
        <v>0</v>
      </c>
      <c r="L213" s="114">
        <v>0</v>
      </c>
    </row>
    <row r="214" spans="1:12" x14ac:dyDescent="0.25">
      <c r="A214" t="s">
        <v>257</v>
      </c>
      <c r="B214" s="158">
        <v>45371.131944444445</v>
      </c>
      <c r="C214" t="s">
        <v>43</v>
      </c>
      <c r="D214" t="s">
        <v>25</v>
      </c>
      <c r="E214" t="s">
        <v>15</v>
      </c>
      <c r="F214" t="s">
        <v>21</v>
      </c>
      <c r="G214" s="114">
        <v>2038.5</v>
      </c>
      <c r="H214" t="s">
        <v>17</v>
      </c>
      <c r="J214">
        <v>2.5</v>
      </c>
      <c r="K214" s="114">
        <v>0</v>
      </c>
      <c r="L214" s="114">
        <v>0</v>
      </c>
    </row>
    <row r="215" spans="1:12" x14ac:dyDescent="0.25">
      <c r="A215" t="s">
        <v>258</v>
      </c>
      <c r="B215" s="158">
        <v>45371.262499999997</v>
      </c>
      <c r="C215" t="s">
        <v>24</v>
      </c>
      <c r="D215" t="s">
        <v>25</v>
      </c>
      <c r="E215" t="s">
        <v>28</v>
      </c>
      <c r="F215" t="s">
        <v>45</v>
      </c>
      <c r="G215" s="114">
        <v>3681.33</v>
      </c>
      <c r="H215" t="s">
        <v>22</v>
      </c>
      <c r="J215">
        <v>2.9</v>
      </c>
      <c r="K215" s="114">
        <v>106.76</v>
      </c>
      <c r="L215" s="114">
        <v>3574.57</v>
      </c>
    </row>
    <row r="216" spans="1:12" x14ac:dyDescent="0.25">
      <c r="A216" t="s">
        <v>259</v>
      </c>
      <c r="B216" s="158">
        <v>45371.853472222225</v>
      </c>
      <c r="C216" t="s">
        <v>13</v>
      </c>
      <c r="D216" t="s">
        <v>14</v>
      </c>
      <c r="E216" t="s">
        <v>39</v>
      </c>
      <c r="F216" t="s">
        <v>16</v>
      </c>
      <c r="G216" s="114">
        <v>3922.11</v>
      </c>
      <c r="H216" t="s">
        <v>34</v>
      </c>
      <c r="I216" t="s">
        <v>78</v>
      </c>
      <c r="J216">
        <v>3.2</v>
      </c>
      <c r="K216" s="114">
        <v>0</v>
      </c>
      <c r="L216" s="114">
        <v>0</v>
      </c>
    </row>
    <row r="217" spans="1:12" x14ac:dyDescent="0.25">
      <c r="A217" t="s">
        <v>260</v>
      </c>
      <c r="B217" s="158">
        <v>45372.018055555556</v>
      </c>
      <c r="C217" t="s">
        <v>43</v>
      </c>
      <c r="D217" t="s">
        <v>25</v>
      </c>
      <c r="E217" t="s">
        <v>33</v>
      </c>
      <c r="F217" t="s">
        <v>16</v>
      </c>
      <c r="G217" s="114">
        <v>1463.38</v>
      </c>
      <c r="H217" t="s">
        <v>22</v>
      </c>
      <c r="J217">
        <v>1.9</v>
      </c>
      <c r="K217" s="114">
        <v>27.8</v>
      </c>
      <c r="L217" s="114">
        <v>1435.58</v>
      </c>
    </row>
    <row r="218" spans="1:12" x14ac:dyDescent="0.25">
      <c r="A218" t="s">
        <v>261</v>
      </c>
      <c r="B218" s="158">
        <v>45372.021527777775</v>
      </c>
      <c r="C218" t="s">
        <v>13</v>
      </c>
      <c r="D218" t="s">
        <v>14</v>
      </c>
      <c r="E218" t="s">
        <v>28</v>
      </c>
      <c r="F218" t="s">
        <v>41</v>
      </c>
      <c r="G218" s="114">
        <v>4476.45</v>
      </c>
      <c r="H218" t="s">
        <v>34</v>
      </c>
      <c r="I218" t="s">
        <v>100</v>
      </c>
      <c r="J218">
        <v>2.9</v>
      </c>
      <c r="K218" s="114">
        <v>0</v>
      </c>
      <c r="L218" s="114">
        <v>0</v>
      </c>
    </row>
    <row r="219" spans="1:12" x14ac:dyDescent="0.25">
      <c r="A219" t="s">
        <v>262</v>
      </c>
      <c r="B219" s="158">
        <v>45372.367361111108</v>
      </c>
      <c r="C219" t="s">
        <v>31</v>
      </c>
      <c r="D219" t="s">
        <v>32</v>
      </c>
      <c r="E219" t="s">
        <v>33</v>
      </c>
      <c r="F219" t="s">
        <v>41</v>
      </c>
      <c r="G219" s="114">
        <v>1149.74</v>
      </c>
      <c r="H219" t="s">
        <v>17</v>
      </c>
      <c r="J219">
        <v>1.9</v>
      </c>
      <c r="K219" s="114">
        <v>0</v>
      </c>
      <c r="L219" s="114">
        <v>0</v>
      </c>
    </row>
    <row r="220" spans="1:12" x14ac:dyDescent="0.25">
      <c r="A220" t="s">
        <v>263</v>
      </c>
      <c r="B220" s="158">
        <v>45372.628472222219</v>
      </c>
      <c r="C220" t="s">
        <v>19</v>
      </c>
      <c r="D220" t="s">
        <v>20</v>
      </c>
      <c r="E220" t="s">
        <v>39</v>
      </c>
      <c r="F220" t="s">
        <v>41</v>
      </c>
      <c r="G220" s="114">
        <v>308.27999999999997</v>
      </c>
      <c r="H220" t="s">
        <v>22</v>
      </c>
      <c r="J220">
        <v>3.2</v>
      </c>
      <c r="K220" s="114">
        <v>9.86</v>
      </c>
      <c r="L220" s="114">
        <v>298.42</v>
      </c>
    </row>
    <row r="221" spans="1:12" x14ac:dyDescent="0.25">
      <c r="A221" t="s">
        <v>264</v>
      </c>
      <c r="B221" s="158">
        <v>45372.793749999997</v>
      </c>
      <c r="C221" t="s">
        <v>31</v>
      </c>
      <c r="D221" t="s">
        <v>32</v>
      </c>
      <c r="E221" t="s">
        <v>39</v>
      </c>
      <c r="F221" t="s">
        <v>16</v>
      </c>
      <c r="G221" s="114">
        <v>3313.07</v>
      </c>
      <c r="H221" t="s">
        <v>34</v>
      </c>
      <c r="I221" t="s">
        <v>100</v>
      </c>
      <c r="J221">
        <v>3.2</v>
      </c>
      <c r="K221" s="114">
        <v>0</v>
      </c>
      <c r="L221" s="114">
        <v>0</v>
      </c>
    </row>
    <row r="222" spans="1:12" x14ac:dyDescent="0.25">
      <c r="A222" t="s">
        <v>265</v>
      </c>
      <c r="B222" s="158">
        <v>45373.865277777775</v>
      </c>
      <c r="C222" t="s">
        <v>60</v>
      </c>
      <c r="D222" t="s">
        <v>25</v>
      </c>
      <c r="E222" t="s">
        <v>33</v>
      </c>
      <c r="F222" t="s">
        <v>45</v>
      </c>
      <c r="G222" s="114">
        <v>619.49</v>
      </c>
      <c r="H222" t="s">
        <v>34</v>
      </c>
      <c r="I222" t="s">
        <v>62</v>
      </c>
      <c r="J222">
        <v>1.9</v>
      </c>
      <c r="K222" s="114">
        <v>0</v>
      </c>
      <c r="L222" s="114">
        <v>0</v>
      </c>
    </row>
    <row r="223" spans="1:12" x14ac:dyDescent="0.25">
      <c r="A223" t="s">
        <v>266</v>
      </c>
      <c r="B223" s="158">
        <v>45373.935416666667</v>
      </c>
      <c r="C223" t="s">
        <v>37</v>
      </c>
      <c r="D223" t="s">
        <v>38</v>
      </c>
      <c r="E223" t="s">
        <v>39</v>
      </c>
      <c r="F223" t="s">
        <v>29</v>
      </c>
      <c r="G223" s="114">
        <v>1084.42</v>
      </c>
      <c r="H223" t="s">
        <v>22</v>
      </c>
      <c r="J223">
        <v>3.2</v>
      </c>
      <c r="K223" s="114">
        <v>34.700000000000003</v>
      </c>
      <c r="L223" s="114">
        <v>1049.72</v>
      </c>
    </row>
    <row r="224" spans="1:12" x14ac:dyDescent="0.25">
      <c r="A224" t="s">
        <v>267</v>
      </c>
      <c r="B224" s="158">
        <v>45374.218055555553</v>
      </c>
      <c r="C224" t="s">
        <v>19</v>
      </c>
      <c r="D224" t="s">
        <v>20</v>
      </c>
      <c r="E224" t="s">
        <v>39</v>
      </c>
      <c r="F224" t="s">
        <v>29</v>
      </c>
      <c r="G224" s="114">
        <v>581.97</v>
      </c>
      <c r="H224" t="s">
        <v>17</v>
      </c>
      <c r="J224">
        <v>3.2</v>
      </c>
      <c r="K224" s="114">
        <v>0</v>
      </c>
      <c r="L224" s="114">
        <v>0</v>
      </c>
    </row>
    <row r="225" spans="1:12" x14ac:dyDescent="0.25">
      <c r="A225" t="s">
        <v>268</v>
      </c>
      <c r="B225" s="158">
        <v>45374.285416666666</v>
      </c>
      <c r="C225" t="s">
        <v>19</v>
      </c>
      <c r="D225" t="s">
        <v>20</v>
      </c>
      <c r="E225" t="s">
        <v>44</v>
      </c>
      <c r="F225" t="s">
        <v>21</v>
      </c>
      <c r="G225" s="114">
        <v>270.38</v>
      </c>
      <c r="H225" t="s">
        <v>34</v>
      </c>
      <c r="I225" t="s">
        <v>62</v>
      </c>
      <c r="J225">
        <v>2.1</v>
      </c>
      <c r="K225" s="114">
        <v>0</v>
      </c>
      <c r="L225" s="114">
        <v>0</v>
      </c>
    </row>
    <row r="226" spans="1:12" x14ac:dyDescent="0.25">
      <c r="A226" t="s">
        <v>269</v>
      </c>
      <c r="B226" s="158">
        <v>45374.977777777778</v>
      </c>
      <c r="C226" t="s">
        <v>13</v>
      </c>
      <c r="D226" t="s">
        <v>14</v>
      </c>
      <c r="E226" t="s">
        <v>15</v>
      </c>
      <c r="F226" t="s">
        <v>45</v>
      </c>
      <c r="G226" s="114">
        <v>58.25</v>
      </c>
      <c r="H226" t="s">
        <v>22</v>
      </c>
      <c r="J226">
        <v>2.5</v>
      </c>
      <c r="K226" s="114">
        <v>1.46</v>
      </c>
      <c r="L226" s="114">
        <v>56.79</v>
      </c>
    </row>
    <row r="227" spans="1:12" x14ac:dyDescent="0.25">
      <c r="A227" t="s">
        <v>270</v>
      </c>
      <c r="B227" s="158">
        <v>45375.053472222222</v>
      </c>
      <c r="C227" t="s">
        <v>37</v>
      </c>
      <c r="D227" t="s">
        <v>38</v>
      </c>
      <c r="E227" t="s">
        <v>15</v>
      </c>
      <c r="F227" t="s">
        <v>21</v>
      </c>
      <c r="G227" s="114">
        <v>253.09</v>
      </c>
      <c r="H227" t="s">
        <v>22</v>
      </c>
      <c r="J227">
        <v>2.5</v>
      </c>
      <c r="K227" s="114">
        <v>6.33</v>
      </c>
      <c r="L227" s="114">
        <v>246.76</v>
      </c>
    </row>
    <row r="228" spans="1:12" x14ac:dyDescent="0.25">
      <c r="A228" t="s">
        <v>271</v>
      </c>
      <c r="B228" s="158">
        <v>45375.134027777778</v>
      </c>
      <c r="C228" t="s">
        <v>27</v>
      </c>
      <c r="D228" t="s">
        <v>25</v>
      </c>
      <c r="E228" t="s">
        <v>33</v>
      </c>
      <c r="F228" t="s">
        <v>29</v>
      </c>
      <c r="G228" s="114">
        <v>4159.55</v>
      </c>
      <c r="H228" t="s">
        <v>17</v>
      </c>
      <c r="J228">
        <v>1.9</v>
      </c>
      <c r="K228" s="114">
        <v>0</v>
      </c>
      <c r="L228" s="114">
        <v>0</v>
      </c>
    </row>
    <row r="229" spans="1:12" x14ac:dyDescent="0.25">
      <c r="A229" t="s">
        <v>272</v>
      </c>
      <c r="B229" s="158">
        <v>45375.174305555556</v>
      </c>
      <c r="C229" t="s">
        <v>60</v>
      </c>
      <c r="D229" t="s">
        <v>25</v>
      </c>
      <c r="E229" t="s">
        <v>15</v>
      </c>
      <c r="F229" t="s">
        <v>21</v>
      </c>
      <c r="G229" s="114">
        <v>1554.5</v>
      </c>
      <c r="H229" t="s">
        <v>34</v>
      </c>
      <c r="I229" t="s">
        <v>62</v>
      </c>
      <c r="J229">
        <v>2.5</v>
      </c>
      <c r="K229" s="114">
        <v>0</v>
      </c>
      <c r="L229" s="114">
        <v>0</v>
      </c>
    </row>
    <row r="230" spans="1:12" x14ac:dyDescent="0.25">
      <c r="A230" t="s">
        <v>273</v>
      </c>
      <c r="B230" s="158">
        <v>45375.527083333334</v>
      </c>
      <c r="C230" t="s">
        <v>47</v>
      </c>
      <c r="D230" t="s">
        <v>25</v>
      </c>
      <c r="E230" t="s">
        <v>33</v>
      </c>
      <c r="F230" t="s">
        <v>21</v>
      </c>
      <c r="G230" s="114">
        <v>2541.5</v>
      </c>
      <c r="H230" t="s">
        <v>17</v>
      </c>
      <c r="J230">
        <v>1.9</v>
      </c>
      <c r="K230" s="114">
        <v>0</v>
      </c>
      <c r="L230" s="114">
        <v>0</v>
      </c>
    </row>
    <row r="231" spans="1:12" x14ac:dyDescent="0.25">
      <c r="A231" t="s">
        <v>274</v>
      </c>
      <c r="B231" s="158">
        <v>45375.640277777777</v>
      </c>
      <c r="C231" t="s">
        <v>13</v>
      </c>
      <c r="D231" t="s">
        <v>14</v>
      </c>
      <c r="E231" t="s">
        <v>33</v>
      </c>
      <c r="F231" t="s">
        <v>21</v>
      </c>
      <c r="G231" s="114">
        <v>843.15</v>
      </c>
      <c r="H231" t="s">
        <v>22</v>
      </c>
      <c r="J231">
        <v>1.9</v>
      </c>
      <c r="K231" s="114">
        <v>16.02</v>
      </c>
      <c r="L231" s="114">
        <v>827.13</v>
      </c>
    </row>
    <row r="232" spans="1:12" x14ac:dyDescent="0.25">
      <c r="A232" t="s">
        <v>275</v>
      </c>
      <c r="B232" s="158">
        <v>45376.338194444441</v>
      </c>
      <c r="C232" t="s">
        <v>27</v>
      </c>
      <c r="D232" t="s">
        <v>25</v>
      </c>
      <c r="E232" t="s">
        <v>15</v>
      </c>
      <c r="F232" t="s">
        <v>29</v>
      </c>
      <c r="G232" s="114">
        <v>4376.22</v>
      </c>
      <c r="H232" t="s">
        <v>17</v>
      </c>
      <c r="J232">
        <v>2.5</v>
      </c>
      <c r="K232" s="114">
        <v>0</v>
      </c>
      <c r="L232" s="114">
        <v>0</v>
      </c>
    </row>
    <row r="233" spans="1:12" x14ac:dyDescent="0.25">
      <c r="A233" t="s">
        <v>276</v>
      </c>
      <c r="B233" s="158">
        <v>45376.401388888888</v>
      </c>
      <c r="C233" t="s">
        <v>19</v>
      </c>
      <c r="D233" t="s">
        <v>20</v>
      </c>
      <c r="E233" t="s">
        <v>39</v>
      </c>
      <c r="F233" t="s">
        <v>16</v>
      </c>
      <c r="G233" s="114">
        <v>630.52</v>
      </c>
      <c r="H233" t="s">
        <v>22</v>
      </c>
      <c r="J233">
        <v>3.2</v>
      </c>
      <c r="K233" s="114">
        <v>20.18</v>
      </c>
      <c r="L233" s="114">
        <v>610.34</v>
      </c>
    </row>
    <row r="234" spans="1:12" x14ac:dyDescent="0.25">
      <c r="A234" t="s">
        <v>277</v>
      </c>
      <c r="B234" s="158">
        <v>45376.5</v>
      </c>
      <c r="C234" t="s">
        <v>58</v>
      </c>
      <c r="D234" t="s">
        <v>25</v>
      </c>
      <c r="E234" t="s">
        <v>39</v>
      </c>
      <c r="F234" t="s">
        <v>16</v>
      </c>
      <c r="G234" s="114">
        <v>1433.39</v>
      </c>
      <c r="H234" t="s">
        <v>17</v>
      </c>
      <c r="J234">
        <v>3.2</v>
      </c>
      <c r="K234" s="114">
        <v>0</v>
      </c>
      <c r="L234" s="114">
        <v>0</v>
      </c>
    </row>
    <row r="235" spans="1:12" x14ac:dyDescent="0.25">
      <c r="A235" t="s">
        <v>278</v>
      </c>
      <c r="B235" s="158">
        <v>45376.543749999997</v>
      </c>
      <c r="C235" t="s">
        <v>58</v>
      </c>
      <c r="D235" t="s">
        <v>25</v>
      </c>
      <c r="E235" t="s">
        <v>28</v>
      </c>
      <c r="F235" t="s">
        <v>29</v>
      </c>
      <c r="G235" s="114">
        <v>4513.53</v>
      </c>
      <c r="H235" t="s">
        <v>22</v>
      </c>
      <c r="J235">
        <v>2.9</v>
      </c>
      <c r="K235" s="114">
        <v>130.88999999999999</v>
      </c>
      <c r="L235" s="114">
        <v>4382.6400000000003</v>
      </c>
    </row>
    <row r="236" spans="1:12" x14ac:dyDescent="0.25">
      <c r="A236" t="s">
        <v>279</v>
      </c>
      <c r="B236" s="158">
        <v>45376.630555555559</v>
      </c>
      <c r="C236" t="s">
        <v>58</v>
      </c>
      <c r="D236" t="s">
        <v>25</v>
      </c>
      <c r="E236" t="s">
        <v>28</v>
      </c>
      <c r="F236" t="s">
        <v>21</v>
      </c>
      <c r="G236" s="114">
        <v>3058.15</v>
      </c>
      <c r="H236" t="s">
        <v>22</v>
      </c>
      <c r="J236">
        <v>2.9</v>
      </c>
      <c r="K236" s="114">
        <v>88.69</v>
      </c>
      <c r="L236" s="114">
        <v>2969.46</v>
      </c>
    </row>
    <row r="237" spans="1:12" x14ac:dyDescent="0.25">
      <c r="A237" t="s">
        <v>280</v>
      </c>
      <c r="B237" s="158">
        <v>45377.504166666666</v>
      </c>
      <c r="C237" t="s">
        <v>31</v>
      </c>
      <c r="D237" t="s">
        <v>32</v>
      </c>
      <c r="E237" t="s">
        <v>28</v>
      </c>
      <c r="F237" t="s">
        <v>16</v>
      </c>
      <c r="G237" s="114">
        <v>2746.68</v>
      </c>
      <c r="H237" t="s">
        <v>22</v>
      </c>
      <c r="J237">
        <v>2.9</v>
      </c>
      <c r="K237" s="114">
        <v>79.650000000000006</v>
      </c>
      <c r="L237" s="114">
        <v>2667.03</v>
      </c>
    </row>
    <row r="238" spans="1:12" x14ac:dyDescent="0.25">
      <c r="A238" t="s">
        <v>281</v>
      </c>
      <c r="B238" s="158">
        <v>45377.600694444445</v>
      </c>
      <c r="C238" t="s">
        <v>43</v>
      </c>
      <c r="D238" t="s">
        <v>25</v>
      </c>
      <c r="E238" t="s">
        <v>39</v>
      </c>
      <c r="F238" t="s">
        <v>16</v>
      </c>
      <c r="G238" s="114">
        <v>3733.29</v>
      </c>
      <c r="H238" t="s">
        <v>17</v>
      </c>
      <c r="J238">
        <v>3.2</v>
      </c>
      <c r="K238" s="114">
        <v>0</v>
      </c>
      <c r="L238" s="114">
        <v>0</v>
      </c>
    </row>
    <row r="239" spans="1:12" x14ac:dyDescent="0.25">
      <c r="A239" t="s">
        <v>282</v>
      </c>
      <c r="B239" s="158">
        <v>45377.818055555559</v>
      </c>
      <c r="C239" t="s">
        <v>31</v>
      </c>
      <c r="D239" t="s">
        <v>32</v>
      </c>
      <c r="E239" t="s">
        <v>44</v>
      </c>
      <c r="F239" t="s">
        <v>21</v>
      </c>
      <c r="G239" s="114">
        <v>549.41</v>
      </c>
      <c r="H239" t="s">
        <v>22</v>
      </c>
      <c r="J239">
        <v>2.1</v>
      </c>
      <c r="K239" s="114">
        <v>11.54</v>
      </c>
      <c r="L239" s="114">
        <v>537.87</v>
      </c>
    </row>
    <row r="240" spans="1:12" x14ac:dyDescent="0.25">
      <c r="A240" t="s">
        <v>283</v>
      </c>
      <c r="B240" s="158">
        <v>45377.838194444441</v>
      </c>
      <c r="C240" t="s">
        <v>24</v>
      </c>
      <c r="D240" t="s">
        <v>25</v>
      </c>
      <c r="E240" t="s">
        <v>39</v>
      </c>
      <c r="F240" t="s">
        <v>29</v>
      </c>
      <c r="G240" s="114">
        <v>3644.46</v>
      </c>
      <c r="H240" t="s">
        <v>34</v>
      </c>
      <c r="I240" t="s">
        <v>100</v>
      </c>
      <c r="J240">
        <v>3.2</v>
      </c>
      <c r="K240" s="114">
        <v>0</v>
      </c>
      <c r="L240" s="114">
        <v>0</v>
      </c>
    </row>
    <row r="241" spans="1:12" x14ac:dyDescent="0.25">
      <c r="A241" t="s">
        <v>284</v>
      </c>
      <c r="B241" s="158">
        <v>45377.86041666667</v>
      </c>
      <c r="C241" t="s">
        <v>60</v>
      </c>
      <c r="D241" t="s">
        <v>25</v>
      </c>
      <c r="E241" t="s">
        <v>33</v>
      </c>
      <c r="F241" t="s">
        <v>16</v>
      </c>
      <c r="G241" s="114">
        <v>4834.3900000000003</v>
      </c>
      <c r="H241" t="s">
        <v>22</v>
      </c>
      <c r="J241">
        <v>1.9</v>
      </c>
      <c r="K241" s="114">
        <v>91.85</v>
      </c>
      <c r="L241" s="114">
        <v>4742.54</v>
      </c>
    </row>
    <row r="242" spans="1:12" x14ac:dyDescent="0.25">
      <c r="A242" t="s">
        <v>285</v>
      </c>
      <c r="B242" s="158">
        <v>45377.988194444442</v>
      </c>
      <c r="C242" t="s">
        <v>37</v>
      </c>
      <c r="D242" t="s">
        <v>38</v>
      </c>
      <c r="E242" t="s">
        <v>15</v>
      </c>
      <c r="F242" t="s">
        <v>45</v>
      </c>
      <c r="G242" s="114">
        <v>2957.07</v>
      </c>
      <c r="H242" t="s">
        <v>22</v>
      </c>
      <c r="J242">
        <v>2.5</v>
      </c>
      <c r="K242" s="114">
        <v>73.930000000000007</v>
      </c>
      <c r="L242" s="114">
        <v>2883.14</v>
      </c>
    </row>
    <row r="243" spans="1:12" x14ac:dyDescent="0.25">
      <c r="A243" t="s">
        <v>286</v>
      </c>
      <c r="B243" s="158">
        <v>45378.099305555559</v>
      </c>
      <c r="C243" t="s">
        <v>24</v>
      </c>
      <c r="D243" t="s">
        <v>25</v>
      </c>
      <c r="E243" t="s">
        <v>39</v>
      </c>
      <c r="F243" t="s">
        <v>29</v>
      </c>
      <c r="G243" s="114">
        <v>2978.85</v>
      </c>
      <c r="H243" t="s">
        <v>34</v>
      </c>
      <c r="I243" t="s">
        <v>78</v>
      </c>
      <c r="J243">
        <v>3.2</v>
      </c>
      <c r="K243" s="114">
        <v>0</v>
      </c>
      <c r="L243" s="114">
        <v>0</v>
      </c>
    </row>
    <row r="244" spans="1:12" x14ac:dyDescent="0.25">
      <c r="A244" t="s">
        <v>287</v>
      </c>
      <c r="B244" s="158">
        <v>45378.105555555558</v>
      </c>
      <c r="C244" t="s">
        <v>31</v>
      </c>
      <c r="D244" t="s">
        <v>32</v>
      </c>
      <c r="E244" t="s">
        <v>33</v>
      </c>
      <c r="F244" t="s">
        <v>45</v>
      </c>
      <c r="G244" s="114">
        <v>977.58</v>
      </c>
      <c r="H244" t="s">
        <v>22</v>
      </c>
      <c r="J244">
        <v>1.9</v>
      </c>
      <c r="K244" s="114">
        <v>18.57</v>
      </c>
      <c r="L244" s="114">
        <v>959.01</v>
      </c>
    </row>
    <row r="245" spans="1:12" x14ac:dyDescent="0.25">
      <c r="A245" t="s">
        <v>288</v>
      </c>
      <c r="B245" s="158">
        <v>45378.178472222222</v>
      </c>
      <c r="C245" t="s">
        <v>47</v>
      </c>
      <c r="D245" t="s">
        <v>25</v>
      </c>
      <c r="E245" t="s">
        <v>39</v>
      </c>
      <c r="F245" t="s">
        <v>16</v>
      </c>
      <c r="G245" s="114">
        <v>738.21</v>
      </c>
      <c r="H245" t="s">
        <v>22</v>
      </c>
      <c r="J245">
        <v>3.2</v>
      </c>
      <c r="K245" s="114">
        <v>23.62</v>
      </c>
      <c r="L245" s="114">
        <v>714.59</v>
      </c>
    </row>
    <row r="246" spans="1:12" x14ac:dyDescent="0.25">
      <c r="A246" t="s">
        <v>289</v>
      </c>
      <c r="B246" s="158">
        <v>45378.783333333333</v>
      </c>
      <c r="C246" t="s">
        <v>27</v>
      </c>
      <c r="D246" t="s">
        <v>25</v>
      </c>
      <c r="E246" t="s">
        <v>15</v>
      </c>
      <c r="F246" t="s">
        <v>41</v>
      </c>
      <c r="G246" s="114">
        <v>655.74</v>
      </c>
      <c r="H246" t="s">
        <v>34</v>
      </c>
      <c r="I246" t="s">
        <v>55</v>
      </c>
      <c r="J246">
        <v>2.5</v>
      </c>
      <c r="K246" s="114">
        <v>0</v>
      </c>
      <c r="L246" s="114">
        <v>0</v>
      </c>
    </row>
    <row r="247" spans="1:12" x14ac:dyDescent="0.25">
      <c r="A247" t="s">
        <v>290</v>
      </c>
      <c r="B247" s="158">
        <v>45378.878472222219</v>
      </c>
      <c r="C247" t="s">
        <v>47</v>
      </c>
      <c r="D247" t="s">
        <v>25</v>
      </c>
      <c r="E247" t="s">
        <v>33</v>
      </c>
      <c r="F247" t="s">
        <v>45</v>
      </c>
      <c r="G247" s="114">
        <v>1682.59</v>
      </c>
      <c r="H247" t="s">
        <v>22</v>
      </c>
      <c r="J247">
        <v>1.9</v>
      </c>
      <c r="K247" s="114">
        <v>31.97</v>
      </c>
      <c r="L247" s="114">
        <v>1650.62</v>
      </c>
    </row>
    <row r="248" spans="1:12" x14ac:dyDescent="0.25">
      <c r="A248" t="s">
        <v>291</v>
      </c>
      <c r="B248" s="158">
        <v>45378.980555555558</v>
      </c>
      <c r="C248" t="s">
        <v>47</v>
      </c>
      <c r="D248" t="s">
        <v>25</v>
      </c>
      <c r="E248" t="s">
        <v>33</v>
      </c>
      <c r="F248" t="s">
        <v>45</v>
      </c>
      <c r="G248" s="114">
        <v>1069.8599999999999</v>
      </c>
      <c r="H248" t="s">
        <v>22</v>
      </c>
      <c r="J248">
        <v>1.9</v>
      </c>
      <c r="K248" s="114">
        <v>20.329999999999998</v>
      </c>
      <c r="L248" s="114">
        <v>1049.53</v>
      </c>
    </row>
    <row r="249" spans="1:12" x14ac:dyDescent="0.25">
      <c r="A249" t="s">
        <v>292</v>
      </c>
      <c r="B249" s="158">
        <v>45379.328472222223</v>
      </c>
      <c r="C249" t="s">
        <v>58</v>
      </c>
      <c r="D249" t="s">
        <v>25</v>
      </c>
      <c r="E249" t="s">
        <v>33</v>
      </c>
      <c r="F249" t="s">
        <v>29</v>
      </c>
      <c r="G249" s="114">
        <v>3975.13</v>
      </c>
      <c r="H249" t="s">
        <v>22</v>
      </c>
      <c r="J249">
        <v>1.9</v>
      </c>
      <c r="K249" s="114">
        <v>75.53</v>
      </c>
      <c r="L249" s="114">
        <v>3899.6</v>
      </c>
    </row>
    <row r="250" spans="1:12" x14ac:dyDescent="0.25">
      <c r="A250" t="s">
        <v>293</v>
      </c>
      <c r="B250" s="158">
        <v>45379.708333333336</v>
      </c>
      <c r="C250" t="s">
        <v>31</v>
      </c>
      <c r="D250" t="s">
        <v>32</v>
      </c>
      <c r="E250" t="s">
        <v>44</v>
      </c>
      <c r="F250" t="s">
        <v>45</v>
      </c>
      <c r="G250" s="114">
        <v>4257.97</v>
      </c>
      <c r="H250" t="s">
        <v>34</v>
      </c>
      <c r="I250" t="s">
        <v>62</v>
      </c>
      <c r="J250">
        <v>2.1</v>
      </c>
      <c r="K250" s="114">
        <v>0</v>
      </c>
      <c r="L250" s="114">
        <v>0</v>
      </c>
    </row>
    <row r="251" spans="1:12" x14ac:dyDescent="0.25">
      <c r="A251" t="s">
        <v>294</v>
      </c>
      <c r="B251" s="158">
        <v>45379.811805555553</v>
      </c>
      <c r="C251" t="s">
        <v>37</v>
      </c>
      <c r="D251" t="s">
        <v>38</v>
      </c>
      <c r="E251" t="s">
        <v>28</v>
      </c>
      <c r="F251" t="s">
        <v>16</v>
      </c>
      <c r="G251" s="114">
        <v>4223.9799999999996</v>
      </c>
      <c r="H251" t="s">
        <v>22</v>
      </c>
      <c r="J251">
        <v>2.9</v>
      </c>
      <c r="K251" s="114">
        <v>122.5</v>
      </c>
      <c r="L251" s="114">
        <v>4101.4799999999996</v>
      </c>
    </row>
    <row r="252" spans="1:12" x14ac:dyDescent="0.25">
      <c r="A252" t="s">
        <v>295</v>
      </c>
      <c r="B252" s="158">
        <v>45379.902083333334</v>
      </c>
      <c r="C252" t="s">
        <v>19</v>
      </c>
      <c r="D252" t="s">
        <v>20</v>
      </c>
      <c r="E252" t="s">
        <v>39</v>
      </c>
      <c r="F252" t="s">
        <v>45</v>
      </c>
      <c r="G252" s="114">
        <v>215.56</v>
      </c>
      <c r="H252" t="s">
        <v>22</v>
      </c>
      <c r="J252">
        <v>3.2</v>
      </c>
      <c r="K252" s="114">
        <v>6.9</v>
      </c>
      <c r="L252" s="114">
        <v>208.66</v>
      </c>
    </row>
    <row r="253" spans="1:12" x14ac:dyDescent="0.25">
      <c r="A253" t="s">
        <v>296</v>
      </c>
      <c r="B253" s="158">
        <v>45380.936111111114</v>
      </c>
      <c r="C253" t="s">
        <v>31</v>
      </c>
      <c r="D253" t="s">
        <v>32</v>
      </c>
      <c r="E253" t="s">
        <v>39</v>
      </c>
      <c r="F253" t="s">
        <v>21</v>
      </c>
      <c r="G253" s="114">
        <v>3550.61</v>
      </c>
      <c r="H253" t="s">
        <v>17</v>
      </c>
      <c r="J253">
        <v>3.2</v>
      </c>
      <c r="K253" s="114">
        <v>0</v>
      </c>
      <c r="L253" s="114">
        <v>0</v>
      </c>
    </row>
    <row r="254" spans="1:12" x14ac:dyDescent="0.25">
      <c r="A254" t="s">
        <v>297</v>
      </c>
      <c r="B254" s="158">
        <v>45381.26458333333</v>
      </c>
      <c r="C254" t="s">
        <v>37</v>
      </c>
      <c r="D254" t="s">
        <v>38</v>
      </c>
      <c r="E254" t="s">
        <v>15</v>
      </c>
      <c r="F254" t="s">
        <v>16</v>
      </c>
      <c r="G254" s="114">
        <v>3988.3</v>
      </c>
      <c r="H254" t="s">
        <v>22</v>
      </c>
      <c r="J254">
        <v>2.5</v>
      </c>
      <c r="K254" s="114">
        <v>99.71</v>
      </c>
      <c r="L254" s="114">
        <v>3888.59</v>
      </c>
    </row>
    <row r="255" spans="1:12" x14ac:dyDescent="0.25">
      <c r="A255" t="s">
        <v>298</v>
      </c>
      <c r="B255" s="158">
        <v>45381.854861111111</v>
      </c>
      <c r="C255" t="s">
        <v>43</v>
      </c>
      <c r="D255" t="s">
        <v>25</v>
      </c>
      <c r="E255" t="s">
        <v>28</v>
      </c>
      <c r="F255" t="s">
        <v>29</v>
      </c>
      <c r="G255" s="114">
        <v>4254.33</v>
      </c>
      <c r="H255" t="s">
        <v>17</v>
      </c>
      <c r="J255">
        <v>2.9</v>
      </c>
      <c r="K255" s="114">
        <v>0</v>
      </c>
      <c r="L255" s="114">
        <v>0</v>
      </c>
    </row>
    <row r="256" spans="1:12" x14ac:dyDescent="0.25">
      <c r="A256" t="s">
        <v>299</v>
      </c>
      <c r="B256" s="158">
        <v>45382.650694444441</v>
      </c>
      <c r="C256" t="s">
        <v>13</v>
      </c>
      <c r="D256" t="s">
        <v>14</v>
      </c>
      <c r="E256" t="s">
        <v>39</v>
      </c>
      <c r="F256" t="s">
        <v>21</v>
      </c>
      <c r="G256" s="114">
        <v>825.93</v>
      </c>
      <c r="H256" t="s">
        <v>22</v>
      </c>
      <c r="J256">
        <v>3.2</v>
      </c>
      <c r="K256" s="114">
        <v>26.43</v>
      </c>
      <c r="L256" s="114">
        <v>799.5</v>
      </c>
    </row>
    <row r="257" spans="1:12" x14ac:dyDescent="0.25">
      <c r="A257" t="s">
        <v>300</v>
      </c>
      <c r="B257" s="158">
        <v>45383.609027777777</v>
      </c>
      <c r="C257" t="s">
        <v>24</v>
      </c>
      <c r="D257" t="s">
        <v>25</v>
      </c>
      <c r="E257" t="s">
        <v>15</v>
      </c>
      <c r="F257" t="s">
        <v>41</v>
      </c>
      <c r="G257" s="114">
        <v>1257.9100000000001</v>
      </c>
      <c r="H257" t="s">
        <v>22</v>
      </c>
      <c r="J257">
        <v>2.5</v>
      </c>
      <c r="K257" s="114">
        <v>31.45</v>
      </c>
      <c r="L257" s="114">
        <v>1226.46</v>
      </c>
    </row>
    <row r="258" spans="1:12" x14ac:dyDescent="0.25">
      <c r="A258" t="s">
        <v>301</v>
      </c>
      <c r="B258" s="158">
        <v>45384.013888888891</v>
      </c>
      <c r="C258" t="s">
        <v>19</v>
      </c>
      <c r="D258" t="s">
        <v>20</v>
      </c>
      <c r="E258" t="s">
        <v>44</v>
      </c>
      <c r="F258" t="s">
        <v>41</v>
      </c>
      <c r="G258" s="114">
        <v>4479.87</v>
      </c>
      <c r="H258" t="s">
        <v>22</v>
      </c>
      <c r="J258">
        <v>2.1</v>
      </c>
      <c r="K258" s="114">
        <v>94.08</v>
      </c>
      <c r="L258" s="114">
        <v>4385.79</v>
      </c>
    </row>
    <row r="259" spans="1:12" x14ac:dyDescent="0.25">
      <c r="A259" t="s">
        <v>302</v>
      </c>
      <c r="B259" s="158">
        <v>45384.363888888889</v>
      </c>
      <c r="C259" t="s">
        <v>47</v>
      </c>
      <c r="D259" t="s">
        <v>25</v>
      </c>
      <c r="E259" t="s">
        <v>39</v>
      </c>
      <c r="F259" t="s">
        <v>21</v>
      </c>
      <c r="G259" s="114">
        <v>40.47</v>
      </c>
      <c r="H259" t="s">
        <v>22</v>
      </c>
      <c r="J259">
        <v>3.2</v>
      </c>
      <c r="K259" s="114">
        <v>1.3</v>
      </c>
      <c r="L259" s="114">
        <v>39.17</v>
      </c>
    </row>
    <row r="260" spans="1:12" x14ac:dyDescent="0.25">
      <c r="A260" t="s">
        <v>303</v>
      </c>
      <c r="B260" s="158">
        <v>45384.704861111109</v>
      </c>
      <c r="C260" t="s">
        <v>60</v>
      </c>
      <c r="D260" t="s">
        <v>25</v>
      </c>
      <c r="E260" t="s">
        <v>39</v>
      </c>
      <c r="F260" t="s">
        <v>41</v>
      </c>
      <c r="G260" s="114">
        <v>4837.05</v>
      </c>
      <c r="H260" t="s">
        <v>17</v>
      </c>
      <c r="J260">
        <v>3.2</v>
      </c>
      <c r="K260" s="114">
        <v>0</v>
      </c>
      <c r="L260" s="114">
        <v>0</v>
      </c>
    </row>
    <row r="261" spans="1:12" x14ac:dyDescent="0.25">
      <c r="A261" t="s">
        <v>304</v>
      </c>
      <c r="B261" s="158">
        <v>45384.789583333331</v>
      </c>
      <c r="C261" t="s">
        <v>13</v>
      </c>
      <c r="D261" t="s">
        <v>14</v>
      </c>
      <c r="E261" t="s">
        <v>44</v>
      </c>
      <c r="F261" t="s">
        <v>16</v>
      </c>
      <c r="G261" s="114">
        <v>2073.66</v>
      </c>
      <c r="H261" t="s">
        <v>34</v>
      </c>
      <c r="I261" t="s">
        <v>78</v>
      </c>
      <c r="J261">
        <v>2.1</v>
      </c>
      <c r="K261" s="114">
        <v>0</v>
      </c>
      <c r="L261" s="114">
        <v>0</v>
      </c>
    </row>
    <row r="262" spans="1:12" x14ac:dyDescent="0.25">
      <c r="A262" t="s">
        <v>305</v>
      </c>
      <c r="B262" s="158">
        <v>45385.501388888886</v>
      </c>
      <c r="C262" t="s">
        <v>31</v>
      </c>
      <c r="D262" t="s">
        <v>32</v>
      </c>
      <c r="E262" t="s">
        <v>15</v>
      </c>
      <c r="F262" t="s">
        <v>21</v>
      </c>
      <c r="G262" s="114">
        <v>1576.59</v>
      </c>
      <c r="H262" t="s">
        <v>34</v>
      </c>
      <c r="I262" t="s">
        <v>55</v>
      </c>
      <c r="J262">
        <v>2.5</v>
      </c>
      <c r="K262" s="114">
        <v>0</v>
      </c>
      <c r="L262" s="114">
        <v>0</v>
      </c>
    </row>
    <row r="263" spans="1:12" x14ac:dyDescent="0.25">
      <c r="A263" t="s">
        <v>306</v>
      </c>
      <c r="B263" s="158">
        <v>45386.027083333334</v>
      </c>
      <c r="C263" t="s">
        <v>37</v>
      </c>
      <c r="D263" t="s">
        <v>38</v>
      </c>
      <c r="E263" t="s">
        <v>33</v>
      </c>
      <c r="F263" t="s">
        <v>29</v>
      </c>
      <c r="G263" s="114">
        <v>1610.26</v>
      </c>
      <c r="H263" t="s">
        <v>22</v>
      </c>
      <c r="J263">
        <v>1.9</v>
      </c>
      <c r="K263" s="114">
        <v>30.59</v>
      </c>
      <c r="L263" s="114">
        <v>1579.67</v>
      </c>
    </row>
    <row r="264" spans="1:12" x14ac:dyDescent="0.25">
      <c r="A264" t="s">
        <v>307</v>
      </c>
      <c r="B264" s="158">
        <v>45387.109722222223</v>
      </c>
      <c r="C264" t="s">
        <v>31</v>
      </c>
      <c r="D264" t="s">
        <v>32</v>
      </c>
      <c r="E264" t="s">
        <v>44</v>
      </c>
      <c r="F264" t="s">
        <v>16</v>
      </c>
      <c r="G264" s="114">
        <v>608.23</v>
      </c>
      <c r="H264" t="s">
        <v>17</v>
      </c>
      <c r="J264">
        <v>2.1</v>
      </c>
      <c r="K264" s="114">
        <v>0</v>
      </c>
      <c r="L264" s="114">
        <v>0</v>
      </c>
    </row>
    <row r="265" spans="1:12" x14ac:dyDescent="0.25">
      <c r="A265" t="s">
        <v>308</v>
      </c>
      <c r="B265" s="158">
        <v>45387.272222222222</v>
      </c>
      <c r="C265" t="s">
        <v>43</v>
      </c>
      <c r="D265" t="s">
        <v>25</v>
      </c>
      <c r="E265" t="s">
        <v>33</v>
      </c>
      <c r="F265" t="s">
        <v>41</v>
      </c>
      <c r="G265" s="114">
        <v>208.36</v>
      </c>
      <c r="H265" t="s">
        <v>17</v>
      </c>
      <c r="J265">
        <v>1.9</v>
      </c>
      <c r="K265" s="114">
        <v>0</v>
      </c>
      <c r="L265" s="114">
        <v>0</v>
      </c>
    </row>
    <row r="266" spans="1:12" x14ac:dyDescent="0.25">
      <c r="A266" t="s">
        <v>309</v>
      </c>
      <c r="B266" s="158">
        <v>45387.584722222222</v>
      </c>
      <c r="C266" t="s">
        <v>47</v>
      </c>
      <c r="D266" t="s">
        <v>25</v>
      </c>
      <c r="E266" t="s">
        <v>15</v>
      </c>
      <c r="F266" t="s">
        <v>16</v>
      </c>
      <c r="G266" s="114">
        <v>1324.37</v>
      </c>
      <c r="H266" t="s">
        <v>22</v>
      </c>
      <c r="J266">
        <v>2.5</v>
      </c>
      <c r="K266" s="114">
        <v>33.11</v>
      </c>
      <c r="L266" s="114">
        <v>1291.26</v>
      </c>
    </row>
    <row r="267" spans="1:12" x14ac:dyDescent="0.25">
      <c r="A267" t="s">
        <v>310</v>
      </c>
      <c r="B267" s="158">
        <v>45387.655555555553</v>
      </c>
      <c r="C267" t="s">
        <v>43</v>
      </c>
      <c r="D267" t="s">
        <v>25</v>
      </c>
      <c r="E267" t="s">
        <v>39</v>
      </c>
      <c r="F267" t="s">
        <v>45</v>
      </c>
      <c r="G267" s="114">
        <v>1340.94</v>
      </c>
      <c r="H267" t="s">
        <v>22</v>
      </c>
      <c r="J267">
        <v>3.2</v>
      </c>
      <c r="K267" s="114">
        <v>42.91</v>
      </c>
      <c r="L267" s="114">
        <v>1298.03</v>
      </c>
    </row>
    <row r="268" spans="1:12" x14ac:dyDescent="0.25">
      <c r="A268" t="s">
        <v>311</v>
      </c>
      <c r="B268" s="158">
        <v>45388.417361111111</v>
      </c>
      <c r="C268" t="s">
        <v>27</v>
      </c>
      <c r="D268" t="s">
        <v>25</v>
      </c>
      <c r="E268" t="s">
        <v>28</v>
      </c>
      <c r="F268" t="s">
        <v>45</v>
      </c>
      <c r="G268" s="114">
        <v>120.43</v>
      </c>
      <c r="H268" t="s">
        <v>22</v>
      </c>
      <c r="J268">
        <v>2.9</v>
      </c>
      <c r="K268" s="114">
        <v>3.49</v>
      </c>
      <c r="L268" s="114">
        <v>116.94</v>
      </c>
    </row>
    <row r="269" spans="1:12" x14ac:dyDescent="0.25">
      <c r="A269" t="s">
        <v>312</v>
      </c>
      <c r="B269" s="158">
        <v>45388.580555555556</v>
      </c>
      <c r="C269" t="s">
        <v>13</v>
      </c>
      <c r="D269" t="s">
        <v>14</v>
      </c>
      <c r="E269" t="s">
        <v>15</v>
      </c>
      <c r="F269" t="s">
        <v>16</v>
      </c>
      <c r="G269" s="114">
        <v>1256.98</v>
      </c>
      <c r="H269" t="s">
        <v>34</v>
      </c>
      <c r="I269" t="s">
        <v>55</v>
      </c>
      <c r="J269">
        <v>2.5</v>
      </c>
      <c r="K269" s="114">
        <v>0</v>
      </c>
      <c r="L269" s="114">
        <v>0</v>
      </c>
    </row>
    <row r="270" spans="1:12" x14ac:dyDescent="0.25">
      <c r="A270" t="s">
        <v>313</v>
      </c>
      <c r="B270" s="158">
        <v>45389.272916666669</v>
      </c>
      <c r="C270" t="s">
        <v>24</v>
      </c>
      <c r="D270" t="s">
        <v>25</v>
      </c>
      <c r="E270" t="s">
        <v>33</v>
      </c>
      <c r="F270" t="s">
        <v>29</v>
      </c>
      <c r="G270" s="114">
        <v>2796.53</v>
      </c>
      <c r="H270" t="s">
        <v>17</v>
      </c>
      <c r="J270">
        <v>1.9</v>
      </c>
      <c r="K270" s="114">
        <v>0</v>
      </c>
      <c r="L270" s="114">
        <v>0</v>
      </c>
    </row>
    <row r="271" spans="1:12" x14ac:dyDescent="0.25">
      <c r="A271" t="s">
        <v>314</v>
      </c>
      <c r="B271" s="158">
        <v>45389.572222222225</v>
      </c>
      <c r="C271" t="s">
        <v>13</v>
      </c>
      <c r="D271" t="s">
        <v>14</v>
      </c>
      <c r="E271" t="s">
        <v>33</v>
      </c>
      <c r="F271" t="s">
        <v>21</v>
      </c>
      <c r="G271" s="114">
        <v>3306.38</v>
      </c>
      <c r="H271" t="s">
        <v>22</v>
      </c>
      <c r="J271">
        <v>1.9</v>
      </c>
      <c r="K271" s="114">
        <v>62.82</v>
      </c>
      <c r="L271" s="114">
        <v>3243.56</v>
      </c>
    </row>
    <row r="272" spans="1:12" x14ac:dyDescent="0.25">
      <c r="A272" t="s">
        <v>315</v>
      </c>
      <c r="B272" s="158">
        <v>45389.696527777778</v>
      </c>
      <c r="C272" t="s">
        <v>43</v>
      </c>
      <c r="D272" t="s">
        <v>25</v>
      </c>
      <c r="E272" t="s">
        <v>33</v>
      </c>
      <c r="F272" t="s">
        <v>29</v>
      </c>
      <c r="G272" s="114">
        <v>3069.07</v>
      </c>
      <c r="H272" t="s">
        <v>22</v>
      </c>
      <c r="J272">
        <v>1.9</v>
      </c>
      <c r="K272" s="114">
        <v>58.31</v>
      </c>
      <c r="L272" s="114">
        <v>3010.76</v>
      </c>
    </row>
    <row r="273" spans="1:12" x14ac:dyDescent="0.25">
      <c r="A273" t="s">
        <v>316</v>
      </c>
      <c r="B273" s="158">
        <v>45390.042361111111</v>
      </c>
      <c r="C273" t="s">
        <v>19</v>
      </c>
      <c r="D273" t="s">
        <v>20</v>
      </c>
      <c r="E273" t="s">
        <v>28</v>
      </c>
      <c r="F273" t="s">
        <v>41</v>
      </c>
      <c r="G273" s="114">
        <v>4693.1400000000003</v>
      </c>
      <c r="H273" t="s">
        <v>22</v>
      </c>
      <c r="J273">
        <v>2.9</v>
      </c>
      <c r="K273" s="114">
        <v>136.1</v>
      </c>
      <c r="L273" s="114">
        <v>4557.04</v>
      </c>
    </row>
    <row r="274" spans="1:12" x14ac:dyDescent="0.25">
      <c r="A274" t="s">
        <v>317</v>
      </c>
      <c r="B274" s="158">
        <v>45390.293055555558</v>
      </c>
      <c r="C274" t="s">
        <v>58</v>
      </c>
      <c r="D274" t="s">
        <v>25</v>
      </c>
      <c r="E274" t="s">
        <v>28</v>
      </c>
      <c r="F274" t="s">
        <v>21</v>
      </c>
      <c r="G274" s="114">
        <v>4751.49</v>
      </c>
      <c r="H274" t="s">
        <v>22</v>
      </c>
      <c r="J274">
        <v>2.9</v>
      </c>
      <c r="K274" s="114">
        <v>137.79</v>
      </c>
      <c r="L274" s="114">
        <v>4613.7</v>
      </c>
    </row>
    <row r="275" spans="1:12" x14ac:dyDescent="0.25">
      <c r="A275" t="s">
        <v>318</v>
      </c>
      <c r="B275" s="158">
        <v>45390.303472222222</v>
      </c>
      <c r="C275" t="s">
        <v>13</v>
      </c>
      <c r="D275" t="s">
        <v>14</v>
      </c>
      <c r="E275" t="s">
        <v>39</v>
      </c>
      <c r="F275" t="s">
        <v>29</v>
      </c>
      <c r="G275" s="114">
        <v>4708.01</v>
      </c>
      <c r="H275" t="s">
        <v>22</v>
      </c>
      <c r="J275">
        <v>3.2</v>
      </c>
      <c r="K275" s="114">
        <v>150.66</v>
      </c>
      <c r="L275" s="114">
        <v>4557.3500000000004</v>
      </c>
    </row>
    <row r="276" spans="1:12" x14ac:dyDescent="0.25">
      <c r="A276" t="s">
        <v>319</v>
      </c>
      <c r="B276" s="158">
        <v>45391.076388888891</v>
      </c>
      <c r="C276" t="s">
        <v>19</v>
      </c>
      <c r="D276" t="s">
        <v>20</v>
      </c>
      <c r="E276" t="s">
        <v>33</v>
      </c>
      <c r="F276" t="s">
        <v>45</v>
      </c>
      <c r="G276" s="114">
        <v>3495.26</v>
      </c>
      <c r="H276" t="s">
        <v>17</v>
      </c>
      <c r="J276">
        <v>1.9</v>
      </c>
      <c r="K276" s="114">
        <v>0</v>
      </c>
      <c r="L276" s="114">
        <v>0</v>
      </c>
    </row>
    <row r="277" spans="1:12" x14ac:dyDescent="0.25">
      <c r="A277" t="s">
        <v>320</v>
      </c>
      <c r="B277" s="158">
        <v>45391.394444444442</v>
      </c>
      <c r="C277" t="s">
        <v>27</v>
      </c>
      <c r="D277" t="s">
        <v>25</v>
      </c>
      <c r="E277" t="s">
        <v>28</v>
      </c>
      <c r="F277" t="s">
        <v>29</v>
      </c>
      <c r="G277" s="114">
        <v>4812.75</v>
      </c>
      <c r="H277" t="s">
        <v>17</v>
      </c>
      <c r="J277">
        <v>2.9</v>
      </c>
      <c r="K277" s="114">
        <v>0</v>
      </c>
      <c r="L277" s="114">
        <v>0</v>
      </c>
    </row>
    <row r="278" spans="1:12" x14ac:dyDescent="0.25">
      <c r="A278" t="s">
        <v>321</v>
      </c>
      <c r="B278" s="158">
        <v>45392.003472222219</v>
      </c>
      <c r="C278" t="s">
        <v>13</v>
      </c>
      <c r="D278" t="s">
        <v>14</v>
      </c>
      <c r="E278" t="s">
        <v>15</v>
      </c>
      <c r="F278" t="s">
        <v>41</v>
      </c>
      <c r="G278" s="114">
        <v>4879.4399999999996</v>
      </c>
      <c r="H278" t="s">
        <v>34</v>
      </c>
      <c r="I278" t="s">
        <v>35</v>
      </c>
      <c r="J278">
        <v>2.5</v>
      </c>
      <c r="K278" s="114">
        <v>0</v>
      </c>
      <c r="L278" s="114">
        <v>0</v>
      </c>
    </row>
    <row r="279" spans="1:12" x14ac:dyDescent="0.25">
      <c r="A279" t="s">
        <v>322</v>
      </c>
      <c r="B279" s="158">
        <v>45392.279861111114</v>
      </c>
      <c r="C279" t="s">
        <v>37</v>
      </c>
      <c r="D279" t="s">
        <v>38</v>
      </c>
      <c r="E279" t="s">
        <v>39</v>
      </c>
      <c r="F279" t="s">
        <v>45</v>
      </c>
      <c r="G279" s="114">
        <v>3973.79</v>
      </c>
      <c r="H279" t="s">
        <v>22</v>
      </c>
      <c r="J279">
        <v>3.2</v>
      </c>
      <c r="K279" s="114">
        <v>127.16</v>
      </c>
      <c r="L279" s="114">
        <v>3846.63</v>
      </c>
    </row>
    <row r="280" spans="1:12" x14ac:dyDescent="0.25">
      <c r="A280" t="s">
        <v>323</v>
      </c>
      <c r="B280" s="158">
        <v>45393.101388888892</v>
      </c>
      <c r="C280" t="s">
        <v>37</v>
      </c>
      <c r="D280" t="s">
        <v>38</v>
      </c>
      <c r="E280" t="s">
        <v>44</v>
      </c>
      <c r="F280" t="s">
        <v>16</v>
      </c>
      <c r="G280" s="114">
        <v>4383.1899999999996</v>
      </c>
      <c r="H280" t="s">
        <v>17</v>
      </c>
      <c r="J280">
        <v>2.1</v>
      </c>
      <c r="K280" s="114">
        <v>0</v>
      </c>
      <c r="L280" s="114">
        <v>0</v>
      </c>
    </row>
    <row r="281" spans="1:12" x14ac:dyDescent="0.25">
      <c r="A281" t="s">
        <v>324</v>
      </c>
      <c r="B281" s="158">
        <v>45393.49722222222</v>
      </c>
      <c r="C281" t="s">
        <v>60</v>
      </c>
      <c r="D281" t="s">
        <v>25</v>
      </c>
      <c r="E281" t="s">
        <v>44</v>
      </c>
      <c r="F281" t="s">
        <v>41</v>
      </c>
      <c r="G281" s="114">
        <v>1187.47</v>
      </c>
      <c r="H281" t="s">
        <v>34</v>
      </c>
      <c r="I281" t="s">
        <v>62</v>
      </c>
      <c r="J281">
        <v>2.1</v>
      </c>
      <c r="K281" s="114">
        <v>0</v>
      </c>
      <c r="L281" s="114">
        <v>0</v>
      </c>
    </row>
    <row r="282" spans="1:12" x14ac:dyDescent="0.25">
      <c r="A282" t="s">
        <v>325</v>
      </c>
      <c r="B282" s="158">
        <v>45393.515972222223</v>
      </c>
      <c r="C282" t="s">
        <v>31</v>
      </c>
      <c r="D282" t="s">
        <v>32</v>
      </c>
      <c r="E282" t="s">
        <v>33</v>
      </c>
      <c r="F282" t="s">
        <v>45</v>
      </c>
      <c r="G282" s="114">
        <v>1301.52</v>
      </c>
      <c r="H282" t="s">
        <v>22</v>
      </c>
      <c r="J282">
        <v>1.9</v>
      </c>
      <c r="K282" s="114">
        <v>24.73</v>
      </c>
      <c r="L282" s="114">
        <v>1276.79</v>
      </c>
    </row>
    <row r="283" spans="1:12" x14ac:dyDescent="0.25">
      <c r="A283" t="s">
        <v>326</v>
      </c>
      <c r="B283" s="158">
        <v>45393.642361111109</v>
      </c>
      <c r="C283" t="s">
        <v>19</v>
      </c>
      <c r="D283" t="s">
        <v>20</v>
      </c>
      <c r="E283" t="s">
        <v>44</v>
      </c>
      <c r="F283" t="s">
        <v>45</v>
      </c>
      <c r="G283" s="114">
        <v>3083.82</v>
      </c>
      <c r="H283" t="s">
        <v>17</v>
      </c>
      <c r="J283">
        <v>2.1</v>
      </c>
      <c r="K283" s="114">
        <v>0</v>
      </c>
      <c r="L283" s="114">
        <v>0</v>
      </c>
    </row>
    <row r="284" spans="1:12" x14ac:dyDescent="0.25">
      <c r="A284" t="s">
        <v>327</v>
      </c>
      <c r="B284" s="158">
        <v>45393.984027777777</v>
      </c>
      <c r="C284" t="s">
        <v>43</v>
      </c>
      <c r="D284" t="s">
        <v>25</v>
      </c>
      <c r="E284" t="s">
        <v>39</v>
      </c>
      <c r="F284" t="s">
        <v>21</v>
      </c>
      <c r="G284" s="114">
        <v>649.79</v>
      </c>
      <c r="H284" t="s">
        <v>22</v>
      </c>
      <c r="J284">
        <v>3.2</v>
      </c>
      <c r="K284" s="114">
        <v>20.79</v>
      </c>
      <c r="L284" s="114">
        <v>629</v>
      </c>
    </row>
    <row r="285" spans="1:12" x14ac:dyDescent="0.25">
      <c r="A285" t="s">
        <v>328</v>
      </c>
      <c r="B285" s="158">
        <v>45394.245138888888</v>
      </c>
      <c r="C285" t="s">
        <v>58</v>
      </c>
      <c r="D285" t="s">
        <v>25</v>
      </c>
      <c r="E285" t="s">
        <v>39</v>
      </c>
      <c r="F285" t="s">
        <v>45</v>
      </c>
      <c r="G285" s="114">
        <v>2458.02</v>
      </c>
      <c r="H285" t="s">
        <v>22</v>
      </c>
      <c r="J285">
        <v>3.2</v>
      </c>
      <c r="K285" s="114">
        <v>78.66</v>
      </c>
      <c r="L285" s="114">
        <v>2379.36</v>
      </c>
    </row>
    <row r="286" spans="1:12" x14ac:dyDescent="0.25">
      <c r="A286" t="s">
        <v>329</v>
      </c>
      <c r="B286" s="158">
        <v>45394.559027777781</v>
      </c>
      <c r="C286" t="s">
        <v>47</v>
      </c>
      <c r="D286" t="s">
        <v>25</v>
      </c>
      <c r="E286" t="s">
        <v>33</v>
      </c>
      <c r="F286" t="s">
        <v>45</v>
      </c>
      <c r="G286" s="114">
        <v>2271.61</v>
      </c>
      <c r="H286" t="s">
        <v>17</v>
      </c>
      <c r="J286">
        <v>1.9</v>
      </c>
      <c r="K286" s="114">
        <v>0</v>
      </c>
      <c r="L286" s="114">
        <v>0</v>
      </c>
    </row>
    <row r="287" spans="1:12" x14ac:dyDescent="0.25">
      <c r="A287" t="s">
        <v>330</v>
      </c>
      <c r="B287" s="158">
        <v>45394.809027777781</v>
      </c>
      <c r="C287" t="s">
        <v>27</v>
      </c>
      <c r="D287" t="s">
        <v>25</v>
      </c>
      <c r="E287" t="s">
        <v>15</v>
      </c>
      <c r="F287" t="s">
        <v>41</v>
      </c>
      <c r="G287" s="114">
        <v>727.92</v>
      </c>
      <c r="H287" t="s">
        <v>34</v>
      </c>
      <c r="I287" t="s">
        <v>35</v>
      </c>
      <c r="J287">
        <v>2.5</v>
      </c>
      <c r="K287" s="114">
        <v>0</v>
      </c>
      <c r="L287" s="114">
        <v>0</v>
      </c>
    </row>
    <row r="288" spans="1:12" x14ac:dyDescent="0.25">
      <c r="A288" t="s">
        <v>331</v>
      </c>
      <c r="B288" s="158">
        <v>45395.328472222223</v>
      </c>
      <c r="C288" t="s">
        <v>19</v>
      </c>
      <c r="D288" t="s">
        <v>20</v>
      </c>
      <c r="E288" t="s">
        <v>39</v>
      </c>
      <c r="F288" t="s">
        <v>29</v>
      </c>
      <c r="G288" s="114">
        <v>3896.9</v>
      </c>
      <c r="H288" t="s">
        <v>22</v>
      </c>
      <c r="J288">
        <v>3.2</v>
      </c>
      <c r="K288" s="114">
        <v>124.7</v>
      </c>
      <c r="L288" s="114">
        <v>3772.2</v>
      </c>
    </row>
    <row r="289" spans="1:12" x14ac:dyDescent="0.25">
      <c r="A289" t="s">
        <v>332</v>
      </c>
      <c r="B289" s="158">
        <v>45395.601388888892</v>
      </c>
      <c r="C289" t="s">
        <v>60</v>
      </c>
      <c r="D289" t="s">
        <v>25</v>
      </c>
      <c r="E289" t="s">
        <v>44</v>
      </c>
      <c r="F289" t="s">
        <v>16</v>
      </c>
      <c r="G289" s="114">
        <v>1713.19</v>
      </c>
      <c r="H289" t="s">
        <v>17</v>
      </c>
      <c r="J289">
        <v>2.1</v>
      </c>
      <c r="K289" s="114">
        <v>0</v>
      </c>
      <c r="L289" s="114">
        <v>0</v>
      </c>
    </row>
    <row r="290" spans="1:12" x14ac:dyDescent="0.25">
      <c r="A290" t="s">
        <v>333</v>
      </c>
      <c r="B290" s="158">
        <v>45395.720138888886</v>
      </c>
      <c r="C290" t="s">
        <v>13</v>
      </c>
      <c r="D290" t="s">
        <v>14</v>
      </c>
      <c r="E290" t="s">
        <v>39</v>
      </c>
      <c r="F290" t="s">
        <v>29</v>
      </c>
      <c r="G290" s="114">
        <v>555.04</v>
      </c>
      <c r="H290" t="s">
        <v>17</v>
      </c>
      <c r="J290">
        <v>3.2</v>
      </c>
      <c r="K290" s="114">
        <v>0</v>
      </c>
      <c r="L290" s="114">
        <v>0</v>
      </c>
    </row>
    <row r="291" spans="1:12" x14ac:dyDescent="0.25">
      <c r="A291" t="s">
        <v>334</v>
      </c>
      <c r="B291" s="158">
        <v>45396.09097222222</v>
      </c>
      <c r="C291" t="s">
        <v>43</v>
      </c>
      <c r="D291" t="s">
        <v>25</v>
      </c>
      <c r="E291" t="s">
        <v>33</v>
      </c>
      <c r="F291" t="s">
        <v>16</v>
      </c>
      <c r="G291" s="114">
        <v>3442.43</v>
      </c>
      <c r="H291" t="s">
        <v>34</v>
      </c>
      <c r="I291" t="s">
        <v>35</v>
      </c>
      <c r="J291">
        <v>1.9</v>
      </c>
      <c r="K291" s="114">
        <v>0</v>
      </c>
      <c r="L291" s="114">
        <v>0</v>
      </c>
    </row>
    <row r="292" spans="1:12" x14ac:dyDescent="0.25">
      <c r="A292" t="s">
        <v>335</v>
      </c>
      <c r="B292" s="158">
        <v>45396.472222222219</v>
      </c>
      <c r="C292" t="s">
        <v>58</v>
      </c>
      <c r="D292" t="s">
        <v>25</v>
      </c>
      <c r="E292" t="s">
        <v>28</v>
      </c>
      <c r="F292" t="s">
        <v>45</v>
      </c>
      <c r="G292" s="114">
        <v>4321.78</v>
      </c>
      <c r="H292" t="s">
        <v>22</v>
      </c>
      <c r="J292">
        <v>2.9</v>
      </c>
      <c r="K292" s="114">
        <v>125.33</v>
      </c>
      <c r="L292" s="114">
        <v>4196.45</v>
      </c>
    </row>
    <row r="293" spans="1:12" x14ac:dyDescent="0.25">
      <c r="A293" t="s">
        <v>336</v>
      </c>
      <c r="B293" s="158">
        <v>45397.066666666666</v>
      </c>
      <c r="C293" t="s">
        <v>37</v>
      </c>
      <c r="D293" t="s">
        <v>38</v>
      </c>
      <c r="E293" t="s">
        <v>33</v>
      </c>
      <c r="F293" t="s">
        <v>21</v>
      </c>
      <c r="G293" s="114">
        <v>2988.32</v>
      </c>
      <c r="H293" t="s">
        <v>22</v>
      </c>
      <c r="J293">
        <v>1.9</v>
      </c>
      <c r="K293" s="114">
        <v>56.78</v>
      </c>
      <c r="L293" s="114">
        <v>2931.54</v>
      </c>
    </row>
    <row r="294" spans="1:12" x14ac:dyDescent="0.25">
      <c r="A294" t="s">
        <v>337</v>
      </c>
      <c r="B294" s="158">
        <v>45397.194444444445</v>
      </c>
      <c r="C294" t="s">
        <v>47</v>
      </c>
      <c r="D294" t="s">
        <v>25</v>
      </c>
      <c r="E294" t="s">
        <v>33</v>
      </c>
      <c r="F294" t="s">
        <v>16</v>
      </c>
      <c r="G294" s="114">
        <v>2066.04</v>
      </c>
      <c r="H294" t="s">
        <v>22</v>
      </c>
      <c r="J294">
        <v>1.9</v>
      </c>
      <c r="K294" s="114">
        <v>39.25</v>
      </c>
      <c r="L294" s="114">
        <v>2026.79</v>
      </c>
    </row>
    <row r="295" spans="1:12" x14ac:dyDescent="0.25">
      <c r="A295" t="s">
        <v>338</v>
      </c>
      <c r="B295" s="158">
        <v>45397.6875</v>
      </c>
      <c r="C295" t="s">
        <v>37</v>
      </c>
      <c r="D295" t="s">
        <v>38</v>
      </c>
      <c r="E295" t="s">
        <v>15</v>
      </c>
      <c r="F295" t="s">
        <v>41</v>
      </c>
      <c r="G295" s="114">
        <v>2196.4499999999998</v>
      </c>
      <c r="H295" t="s">
        <v>34</v>
      </c>
      <c r="I295" t="s">
        <v>62</v>
      </c>
      <c r="J295">
        <v>2.5</v>
      </c>
      <c r="K295" s="114">
        <v>0</v>
      </c>
      <c r="L295" s="114">
        <v>0</v>
      </c>
    </row>
    <row r="296" spans="1:12" x14ac:dyDescent="0.25">
      <c r="A296" t="s">
        <v>339</v>
      </c>
      <c r="B296" s="158">
        <v>45397.959722222222</v>
      </c>
      <c r="C296" t="s">
        <v>43</v>
      </c>
      <c r="D296" t="s">
        <v>25</v>
      </c>
      <c r="E296" t="s">
        <v>15</v>
      </c>
      <c r="F296" t="s">
        <v>45</v>
      </c>
      <c r="G296" s="114">
        <v>588.02</v>
      </c>
      <c r="H296" t="s">
        <v>22</v>
      </c>
      <c r="J296">
        <v>2.5</v>
      </c>
      <c r="K296" s="114">
        <v>14.7</v>
      </c>
      <c r="L296" s="114">
        <v>573.32000000000005</v>
      </c>
    </row>
    <row r="297" spans="1:12" x14ac:dyDescent="0.25">
      <c r="A297" t="s">
        <v>340</v>
      </c>
      <c r="B297" s="158">
        <v>45398.59652777778</v>
      </c>
      <c r="C297" t="s">
        <v>43</v>
      </c>
      <c r="D297" t="s">
        <v>25</v>
      </c>
      <c r="E297" t="s">
        <v>39</v>
      </c>
      <c r="F297" t="s">
        <v>41</v>
      </c>
      <c r="G297" s="114">
        <v>461.2</v>
      </c>
      <c r="H297" t="s">
        <v>22</v>
      </c>
      <c r="J297">
        <v>3.2</v>
      </c>
      <c r="K297" s="114">
        <v>14.76</v>
      </c>
      <c r="L297" s="114">
        <v>446.44</v>
      </c>
    </row>
    <row r="298" spans="1:12" x14ac:dyDescent="0.25">
      <c r="A298" t="s">
        <v>341</v>
      </c>
      <c r="B298" s="158">
        <v>45398.842361111114</v>
      </c>
      <c r="C298" t="s">
        <v>47</v>
      </c>
      <c r="D298" t="s">
        <v>25</v>
      </c>
      <c r="E298" t="s">
        <v>28</v>
      </c>
      <c r="F298" t="s">
        <v>29</v>
      </c>
      <c r="G298" s="114">
        <v>1206.93</v>
      </c>
      <c r="H298" t="s">
        <v>17</v>
      </c>
      <c r="J298">
        <v>2.9</v>
      </c>
      <c r="K298" s="114">
        <v>0</v>
      </c>
      <c r="L298" s="114">
        <v>0</v>
      </c>
    </row>
    <row r="299" spans="1:12" x14ac:dyDescent="0.25">
      <c r="A299" t="s">
        <v>342</v>
      </c>
      <c r="B299" s="158">
        <v>45399.552777777775</v>
      </c>
      <c r="C299" t="s">
        <v>37</v>
      </c>
      <c r="D299" t="s">
        <v>38</v>
      </c>
      <c r="E299" t="s">
        <v>33</v>
      </c>
      <c r="F299" t="s">
        <v>16</v>
      </c>
      <c r="G299" s="114">
        <v>226.15</v>
      </c>
      <c r="H299" t="s">
        <v>22</v>
      </c>
      <c r="J299">
        <v>1.9</v>
      </c>
      <c r="K299" s="114">
        <v>4.3</v>
      </c>
      <c r="L299" s="114">
        <v>221.85</v>
      </c>
    </row>
    <row r="300" spans="1:12" x14ac:dyDescent="0.25">
      <c r="A300" t="s">
        <v>343</v>
      </c>
      <c r="B300" s="158">
        <v>45399.984027777777</v>
      </c>
      <c r="C300" t="s">
        <v>37</v>
      </c>
      <c r="D300" t="s">
        <v>38</v>
      </c>
      <c r="E300" t="s">
        <v>33</v>
      </c>
      <c r="F300" t="s">
        <v>16</v>
      </c>
      <c r="G300" s="114">
        <v>838.25</v>
      </c>
      <c r="H300" t="s">
        <v>22</v>
      </c>
      <c r="J300">
        <v>1.9</v>
      </c>
      <c r="K300" s="114">
        <v>15.93</v>
      </c>
      <c r="L300" s="114">
        <v>822.32</v>
      </c>
    </row>
    <row r="301" spans="1:12" x14ac:dyDescent="0.25">
      <c r="A301" t="s">
        <v>344</v>
      </c>
      <c r="B301" s="158">
        <v>45399.990972222222</v>
      </c>
      <c r="C301" t="s">
        <v>37</v>
      </c>
      <c r="D301" t="s">
        <v>38</v>
      </c>
      <c r="E301" t="s">
        <v>44</v>
      </c>
      <c r="F301" t="s">
        <v>16</v>
      </c>
      <c r="G301" s="114">
        <v>4529.08</v>
      </c>
      <c r="H301" t="s">
        <v>17</v>
      </c>
      <c r="J301">
        <v>2.1</v>
      </c>
      <c r="K301" s="114">
        <v>0</v>
      </c>
      <c r="L301" s="114">
        <v>0</v>
      </c>
    </row>
    <row r="302" spans="1:12" x14ac:dyDescent="0.25">
      <c r="A302" t="s">
        <v>345</v>
      </c>
      <c r="B302" s="158">
        <v>45400.493750000001</v>
      </c>
      <c r="C302" t="s">
        <v>47</v>
      </c>
      <c r="D302" t="s">
        <v>25</v>
      </c>
      <c r="E302" t="s">
        <v>39</v>
      </c>
      <c r="F302" t="s">
        <v>21</v>
      </c>
      <c r="G302" s="114">
        <v>4402.8</v>
      </c>
      <c r="H302" t="s">
        <v>22</v>
      </c>
      <c r="J302">
        <v>3.2</v>
      </c>
      <c r="K302" s="114">
        <v>140.88999999999999</v>
      </c>
      <c r="L302" s="114">
        <v>4261.91</v>
      </c>
    </row>
    <row r="303" spans="1:12" x14ac:dyDescent="0.25">
      <c r="A303" t="s">
        <v>346</v>
      </c>
      <c r="B303" s="158">
        <v>45400.741666666669</v>
      </c>
      <c r="C303" t="s">
        <v>24</v>
      </c>
      <c r="D303" t="s">
        <v>25</v>
      </c>
      <c r="E303" t="s">
        <v>39</v>
      </c>
      <c r="F303" t="s">
        <v>16</v>
      </c>
      <c r="G303" s="114">
        <v>4975.8</v>
      </c>
      <c r="H303" t="s">
        <v>22</v>
      </c>
      <c r="J303">
        <v>3.2</v>
      </c>
      <c r="K303" s="114">
        <v>159.22999999999999</v>
      </c>
      <c r="L303" s="114">
        <v>4816.57</v>
      </c>
    </row>
    <row r="304" spans="1:12" x14ac:dyDescent="0.25">
      <c r="A304" t="s">
        <v>347</v>
      </c>
      <c r="B304" s="158">
        <v>45400.854861111111</v>
      </c>
      <c r="C304" t="s">
        <v>58</v>
      </c>
      <c r="D304" t="s">
        <v>25</v>
      </c>
      <c r="E304" t="s">
        <v>15</v>
      </c>
      <c r="F304" t="s">
        <v>29</v>
      </c>
      <c r="G304" s="114">
        <v>1331.75</v>
      </c>
      <c r="H304" t="s">
        <v>22</v>
      </c>
      <c r="J304">
        <v>2.5</v>
      </c>
      <c r="K304" s="114">
        <v>33.29</v>
      </c>
      <c r="L304" s="114">
        <v>1298.46</v>
      </c>
    </row>
    <row r="305" spans="1:12" x14ac:dyDescent="0.25">
      <c r="A305" t="s">
        <v>348</v>
      </c>
      <c r="B305" s="158">
        <v>45400.959027777775</v>
      </c>
      <c r="C305" t="s">
        <v>19</v>
      </c>
      <c r="D305" t="s">
        <v>20</v>
      </c>
      <c r="E305" t="s">
        <v>33</v>
      </c>
      <c r="F305" t="s">
        <v>29</v>
      </c>
      <c r="G305" s="114">
        <v>624.58000000000004</v>
      </c>
      <c r="H305" t="s">
        <v>22</v>
      </c>
      <c r="J305">
        <v>1.9</v>
      </c>
      <c r="K305" s="114">
        <v>11.87</v>
      </c>
      <c r="L305" s="114">
        <v>612.71</v>
      </c>
    </row>
    <row r="306" spans="1:12" x14ac:dyDescent="0.25">
      <c r="A306" t="s">
        <v>349</v>
      </c>
      <c r="B306" s="158">
        <v>45401.676388888889</v>
      </c>
      <c r="C306" t="s">
        <v>58</v>
      </c>
      <c r="D306" t="s">
        <v>25</v>
      </c>
      <c r="E306" t="s">
        <v>28</v>
      </c>
      <c r="F306" t="s">
        <v>21</v>
      </c>
      <c r="G306" s="114">
        <v>626.84</v>
      </c>
      <c r="H306" t="s">
        <v>22</v>
      </c>
      <c r="J306">
        <v>2.9</v>
      </c>
      <c r="K306" s="114">
        <v>18.18</v>
      </c>
      <c r="L306" s="114">
        <v>608.66</v>
      </c>
    </row>
    <row r="307" spans="1:12" x14ac:dyDescent="0.25">
      <c r="A307" t="s">
        <v>350</v>
      </c>
      <c r="B307" s="158">
        <v>45402.354166666664</v>
      </c>
      <c r="C307" t="s">
        <v>31</v>
      </c>
      <c r="D307" t="s">
        <v>32</v>
      </c>
      <c r="E307" t="s">
        <v>15</v>
      </c>
      <c r="F307" t="s">
        <v>21</v>
      </c>
      <c r="G307" s="114">
        <v>1306.25</v>
      </c>
      <c r="H307" t="s">
        <v>22</v>
      </c>
      <c r="J307">
        <v>2.5</v>
      </c>
      <c r="K307" s="114">
        <v>32.659999999999997</v>
      </c>
      <c r="L307" s="114">
        <v>1273.5899999999999</v>
      </c>
    </row>
    <row r="308" spans="1:12" x14ac:dyDescent="0.25">
      <c r="A308" t="s">
        <v>351</v>
      </c>
      <c r="B308" s="158">
        <v>45402.42291666667</v>
      </c>
      <c r="C308" t="s">
        <v>31</v>
      </c>
      <c r="D308" t="s">
        <v>32</v>
      </c>
      <c r="E308" t="s">
        <v>44</v>
      </c>
      <c r="F308" t="s">
        <v>21</v>
      </c>
      <c r="G308" s="114">
        <v>1987.26</v>
      </c>
      <c r="H308" t="s">
        <v>22</v>
      </c>
      <c r="J308">
        <v>2.1</v>
      </c>
      <c r="K308" s="114">
        <v>41.73</v>
      </c>
      <c r="L308" s="114">
        <v>1945.53</v>
      </c>
    </row>
    <row r="309" spans="1:12" x14ac:dyDescent="0.25">
      <c r="A309" t="s">
        <v>352</v>
      </c>
      <c r="B309" s="158">
        <v>45403.17083333333</v>
      </c>
      <c r="C309" t="s">
        <v>27</v>
      </c>
      <c r="D309" t="s">
        <v>25</v>
      </c>
      <c r="E309" t="s">
        <v>44</v>
      </c>
      <c r="F309" t="s">
        <v>21</v>
      </c>
      <c r="G309" s="114">
        <v>2202.98</v>
      </c>
      <c r="H309" t="s">
        <v>22</v>
      </c>
      <c r="J309">
        <v>2.1</v>
      </c>
      <c r="K309" s="114">
        <v>46.26</v>
      </c>
      <c r="L309" s="114">
        <v>2156.7199999999998</v>
      </c>
    </row>
    <row r="310" spans="1:12" x14ac:dyDescent="0.25">
      <c r="A310" t="s">
        <v>353</v>
      </c>
      <c r="B310" s="158">
        <v>45403.43472222222</v>
      </c>
      <c r="C310" t="s">
        <v>47</v>
      </c>
      <c r="D310" t="s">
        <v>25</v>
      </c>
      <c r="E310" t="s">
        <v>15</v>
      </c>
      <c r="F310" t="s">
        <v>21</v>
      </c>
      <c r="G310" s="114">
        <v>2323.79</v>
      </c>
      <c r="H310" t="s">
        <v>22</v>
      </c>
      <c r="J310">
        <v>2.5</v>
      </c>
      <c r="K310" s="114">
        <v>58.09</v>
      </c>
      <c r="L310" s="114">
        <v>2265.6999999999998</v>
      </c>
    </row>
    <row r="311" spans="1:12" x14ac:dyDescent="0.25">
      <c r="A311" t="s">
        <v>354</v>
      </c>
      <c r="B311" s="158">
        <v>45403.779166666667</v>
      </c>
      <c r="C311" t="s">
        <v>43</v>
      </c>
      <c r="D311" t="s">
        <v>25</v>
      </c>
      <c r="E311" t="s">
        <v>15</v>
      </c>
      <c r="F311" t="s">
        <v>16</v>
      </c>
      <c r="G311" s="114">
        <v>2214.96</v>
      </c>
      <c r="H311" t="s">
        <v>17</v>
      </c>
      <c r="J311">
        <v>2.5</v>
      </c>
      <c r="K311" s="114">
        <v>0</v>
      </c>
      <c r="L311" s="114">
        <v>0</v>
      </c>
    </row>
    <row r="312" spans="1:12" x14ac:dyDescent="0.25">
      <c r="A312" t="s">
        <v>355</v>
      </c>
      <c r="B312" s="158">
        <v>45404.336805555555</v>
      </c>
      <c r="C312" t="s">
        <v>58</v>
      </c>
      <c r="D312" t="s">
        <v>25</v>
      </c>
      <c r="E312" t="s">
        <v>44</v>
      </c>
      <c r="F312" t="s">
        <v>45</v>
      </c>
      <c r="G312" s="114">
        <v>3825.05</v>
      </c>
      <c r="H312" t="s">
        <v>17</v>
      </c>
      <c r="J312">
        <v>2.1</v>
      </c>
      <c r="K312" s="114">
        <v>0</v>
      </c>
      <c r="L312" s="114">
        <v>0</v>
      </c>
    </row>
    <row r="313" spans="1:12" x14ac:dyDescent="0.25">
      <c r="A313" t="s">
        <v>356</v>
      </c>
      <c r="B313" s="158">
        <v>45404.376388888886</v>
      </c>
      <c r="C313" t="s">
        <v>47</v>
      </c>
      <c r="D313" t="s">
        <v>25</v>
      </c>
      <c r="E313" t="s">
        <v>44</v>
      </c>
      <c r="F313" t="s">
        <v>45</v>
      </c>
      <c r="G313" s="114">
        <v>1450.46</v>
      </c>
      <c r="H313" t="s">
        <v>34</v>
      </c>
      <c r="I313" t="s">
        <v>100</v>
      </c>
      <c r="J313">
        <v>2.1</v>
      </c>
      <c r="K313" s="114">
        <v>0</v>
      </c>
      <c r="L313" s="114">
        <v>0</v>
      </c>
    </row>
    <row r="314" spans="1:12" x14ac:dyDescent="0.25">
      <c r="A314" t="s">
        <v>357</v>
      </c>
      <c r="B314" s="158">
        <v>45406.013888888891</v>
      </c>
      <c r="C314" t="s">
        <v>31</v>
      </c>
      <c r="D314" t="s">
        <v>32</v>
      </c>
      <c r="E314" t="s">
        <v>39</v>
      </c>
      <c r="F314" t="s">
        <v>29</v>
      </c>
      <c r="G314" s="114">
        <v>696.62</v>
      </c>
      <c r="H314" t="s">
        <v>22</v>
      </c>
      <c r="J314">
        <v>3.2</v>
      </c>
      <c r="K314" s="114">
        <v>22.29</v>
      </c>
      <c r="L314" s="114">
        <v>674.33</v>
      </c>
    </row>
    <row r="315" spans="1:12" x14ac:dyDescent="0.25">
      <c r="A315" t="s">
        <v>358</v>
      </c>
      <c r="B315" s="158">
        <v>45406.140277777777</v>
      </c>
      <c r="C315" t="s">
        <v>13</v>
      </c>
      <c r="D315" t="s">
        <v>14</v>
      </c>
      <c r="E315" t="s">
        <v>39</v>
      </c>
      <c r="F315" t="s">
        <v>41</v>
      </c>
      <c r="G315" s="114">
        <v>3815.4</v>
      </c>
      <c r="H315" t="s">
        <v>17</v>
      </c>
      <c r="J315">
        <v>3.2</v>
      </c>
      <c r="K315" s="114">
        <v>0</v>
      </c>
      <c r="L315" s="114">
        <v>0</v>
      </c>
    </row>
    <row r="316" spans="1:12" x14ac:dyDescent="0.25">
      <c r="A316" t="s">
        <v>359</v>
      </c>
      <c r="B316" s="158">
        <v>45406.836111111108</v>
      </c>
      <c r="C316" t="s">
        <v>60</v>
      </c>
      <c r="D316" t="s">
        <v>25</v>
      </c>
      <c r="E316" t="s">
        <v>28</v>
      </c>
      <c r="F316" t="s">
        <v>29</v>
      </c>
      <c r="G316" s="114">
        <v>1004.81</v>
      </c>
      <c r="H316" t="s">
        <v>22</v>
      </c>
      <c r="J316">
        <v>2.9</v>
      </c>
      <c r="K316" s="114">
        <v>29.14</v>
      </c>
      <c r="L316" s="114">
        <v>975.67</v>
      </c>
    </row>
    <row r="317" spans="1:12" x14ac:dyDescent="0.25">
      <c r="A317" t="s">
        <v>360</v>
      </c>
      <c r="B317" s="158">
        <v>45407.181250000001</v>
      </c>
      <c r="C317" t="s">
        <v>58</v>
      </c>
      <c r="D317" t="s">
        <v>25</v>
      </c>
      <c r="E317" t="s">
        <v>44</v>
      </c>
      <c r="F317" t="s">
        <v>41</v>
      </c>
      <c r="G317" s="114">
        <v>3652.15</v>
      </c>
      <c r="H317" t="s">
        <v>17</v>
      </c>
      <c r="J317">
        <v>2.1</v>
      </c>
      <c r="K317" s="114">
        <v>0</v>
      </c>
      <c r="L317" s="114">
        <v>0</v>
      </c>
    </row>
    <row r="318" spans="1:12" x14ac:dyDescent="0.25">
      <c r="A318" t="s">
        <v>361</v>
      </c>
      <c r="B318" s="158">
        <v>45407.256249999999</v>
      </c>
      <c r="C318" t="s">
        <v>60</v>
      </c>
      <c r="D318" t="s">
        <v>25</v>
      </c>
      <c r="E318" t="s">
        <v>28</v>
      </c>
      <c r="F318" t="s">
        <v>29</v>
      </c>
      <c r="G318" s="114">
        <v>4919.84</v>
      </c>
      <c r="H318" t="s">
        <v>17</v>
      </c>
      <c r="J318">
        <v>2.9</v>
      </c>
      <c r="K318" s="114">
        <v>0</v>
      </c>
      <c r="L318" s="114">
        <v>0</v>
      </c>
    </row>
    <row r="319" spans="1:12" x14ac:dyDescent="0.25">
      <c r="A319" t="s">
        <v>362</v>
      </c>
      <c r="B319" s="158">
        <v>45408.20208333333</v>
      </c>
      <c r="C319" t="s">
        <v>58</v>
      </c>
      <c r="D319" t="s">
        <v>25</v>
      </c>
      <c r="E319" t="s">
        <v>15</v>
      </c>
      <c r="F319" t="s">
        <v>16</v>
      </c>
      <c r="G319" s="114">
        <v>4491.3500000000004</v>
      </c>
      <c r="H319" t="s">
        <v>17</v>
      </c>
      <c r="J319">
        <v>2.5</v>
      </c>
      <c r="K319" s="114">
        <v>0</v>
      </c>
      <c r="L319" s="114">
        <v>0</v>
      </c>
    </row>
    <row r="320" spans="1:12" x14ac:dyDescent="0.25">
      <c r="A320" t="s">
        <v>363</v>
      </c>
      <c r="B320" s="158">
        <v>45408.710416666669</v>
      </c>
      <c r="C320" t="s">
        <v>58</v>
      </c>
      <c r="D320" t="s">
        <v>25</v>
      </c>
      <c r="E320" t="s">
        <v>33</v>
      </c>
      <c r="F320" t="s">
        <v>16</v>
      </c>
      <c r="G320" s="114">
        <v>4828.4799999999996</v>
      </c>
      <c r="H320" t="s">
        <v>34</v>
      </c>
      <c r="I320" t="s">
        <v>100</v>
      </c>
      <c r="J320">
        <v>1.9</v>
      </c>
      <c r="K320" s="114">
        <v>0</v>
      </c>
      <c r="L320" s="114">
        <v>0</v>
      </c>
    </row>
    <row r="321" spans="1:12" x14ac:dyDescent="0.25">
      <c r="A321" t="s">
        <v>364</v>
      </c>
      <c r="B321" s="158">
        <v>45409.289583333331</v>
      </c>
      <c r="C321" t="s">
        <v>19</v>
      </c>
      <c r="D321" t="s">
        <v>20</v>
      </c>
      <c r="E321" t="s">
        <v>15</v>
      </c>
      <c r="F321" t="s">
        <v>21</v>
      </c>
      <c r="G321" s="114">
        <v>242.34</v>
      </c>
      <c r="H321" t="s">
        <v>22</v>
      </c>
      <c r="J321">
        <v>2.5</v>
      </c>
      <c r="K321" s="114">
        <v>6.06</v>
      </c>
      <c r="L321" s="114">
        <v>236.28</v>
      </c>
    </row>
    <row r="322" spans="1:12" x14ac:dyDescent="0.25">
      <c r="A322" t="s">
        <v>365</v>
      </c>
      <c r="B322" s="158">
        <v>45409.324305555558</v>
      </c>
      <c r="C322" t="s">
        <v>47</v>
      </c>
      <c r="D322" t="s">
        <v>25</v>
      </c>
      <c r="E322" t="s">
        <v>15</v>
      </c>
      <c r="F322" t="s">
        <v>29</v>
      </c>
      <c r="G322" s="114">
        <v>665.07</v>
      </c>
      <c r="H322" t="s">
        <v>22</v>
      </c>
      <c r="J322">
        <v>2.5</v>
      </c>
      <c r="K322" s="114">
        <v>16.63</v>
      </c>
      <c r="L322" s="114">
        <v>648.44000000000005</v>
      </c>
    </row>
    <row r="323" spans="1:12" x14ac:dyDescent="0.25">
      <c r="A323" t="s">
        <v>366</v>
      </c>
      <c r="B323" s="158">
        <v>45409.525000000001</v>
      </c>
      <c r="C323" t="s">
        <v>24</v>
      </c>
      <c r="D323" t="s">
        <v>25</v>
      </c>
      <c r="E323" t="s">
        <v>15</v>
      </c>
      <c r="F323" t="s">
        <v>45</v>
      </c>
      <c r="G323" s="114">
        <v>3276.49</v>
      </c>
      <c r="H323" t="s">
        <v>22</v>
      </c>
      <c r="J323">
        <v>2.5</v>
      </c>
      <c r="K323" s="114">
        <v>81.91</v>
      </c>
      <c r="L323" s="114">
        <v>3194.58</v>
      </c>
    </row>
    <row r="324" spans="1:12" x14ac:dyDescent="0.25">
      <c r="A324" t="s">
        <v>367</v>
      </c>
      <c r="B324" s="158">
        <v>45409.82708333333</v>
      </c>
      <c r="C324" t="s">
        <v>37</v>
      </c>
      <c r="D324" t="s">
        <v>38</v>
      </c>
      <c r="E324" t="s">
        <v>44</v>
      </c>
      <c r="F324" t="s">
        <v>29</v>
      </c>
      <c r="G324" s="114">
        <v>3108.25</v>
      </c>
      <c r="H324" t="s">
        <v>22</v>
      </c>
      <c r="J324">
        <v>2.1</v>
      </c>
      <c r="K324" s="114">
        <v>65.27</v>
      </c>
      <c r="L324" s="114">
        <v>3042.98</v>
      </c>
    </row>
    <row r="325" spans="1:12" x14ac:dyDescent="0.25">
      <c r="A325" t="s">
        <v>368</v>
      </c>
      <c r="B325" s="158">
        <v>45410.29791666667</v>
      </c>
      <c r="C325" t="s">
        <v>19</v>
      </c>
      <c r="D325" t="s">
        <v>20</v>
      </c>
      <c r="E325" t="s">
        <v>39</v>
      </c>
      <c r="F325" t="s">
        <v>21</v>
      </c>
      <c r="G325" s="114">
        <v>1966.46</v>
      </c>
      <c r="H325" t="s">
        <v>22</v>
      </c>
      <c r="J325">
        <v>3.2</v>
      </c>
      <c r="K325" s="114">
        <v>62.93</v>
      </c>
      <c r="L325" s="114">
        <v>1903.53</v>
      </c>
    </row>
    <row r="326" spans="1:12" x14ac:dyDescent="0.25">
      <c r="A326" t="s">
        <v>369</v>
      </c>
      <c r="B326" s="158">
        <v>45411.368750000001</v>
      </c>
      <c r="C326" t="s">
        <v>47</v>
      </c>
      <c r="D326" t="s">
        <v>25</v>
      </c>
      <c r="E326" t="s">
        <v>28</v>
      </c>
      <c r="F326" t="s">
        <v>45</v>
      </c>
      <c r="G326" s="114">
        <v>2004.99</v>
      </c>
      <c r="H326" t="s">
        <v>22</v>
      </c>
      <c r="J326">
        <v>2.9</v>
      </c>
      <c r="K326" s="114">
        <v>58.14</v>
      </c>
      <c r="L326" s="114">
        <v>1946.85</v>
      </c>
    </row>
    <row r="327" spans="1:12" x14ac:dyDescent="0.25">
      <c r="A327" t="s">
        <v>370</v>
      </c>
      <c r="B327" s="158">
        <v>45411.543055555558</v>
      </c>
      <c r="C327" t="s">
        <v>37</v>
      </c>
      <c r="D327" t="s">
        <v>38</v>
      </c>
      <c r="E327" t="s">
        <v>15</v>
      </c>
      <c r="F327" t="s">
        <v>16</v>
      </c>
      <c r="G327" s="114">
        <v>1936.53</v>
      </c>
      <c r="H327" t="s">
        <v>22</v>
      </c>
      <c r="J327">
        <v>2.5</v>
      </c>
      <c r="K327" s="114">
        <v>48.41</v>
      </c>
      <c r="L327" s="114">
        <v>1888.12</v>
      </c>
    </row>
    <row r="328" spans="1:12" x14ac:dyDescent="0.25">
      <c r="A328" t="s">
        <v>371</v>
      </c>
      <c r="B328" s="158">
        <v>45411.573611111111</v>
      </c>
      <c r="C328" t="s">
        <v>43</v>
      </c>
      <c r="D328" t="s">
        <v>25</v>
      </c>
      <c r="E328" t="s">
        <v>39</v>
      </c>
      <c r="F328" t="s">
        <v>45</v>
      </c>
      <c r="G328" s="114">
        <v>2972.31</v>
      </c>
      <c r="H328" t="s">
        <v>34</v>
      </c>
      <c r="I328" t="s">
        <v>62</v>
      </c>
      <c r="J328">
        <v>3.2</v>
      </c>
      <c r="K328" s="114">
        <v>0</v>
      </c>
      <c r="L328" s="114">
        <v>0</v>
      </c>
    </row>
    <row r="329" spans="1:12" x14ac:dyDescent="0.25">
      <c r="A329" t="s">
        <v>372</v>
      </c>
      <c r="B329" s="158">
        <v>45411.723611111112</v>
      </c>
      <c r="C329" t="s">
        <v>60</v>
      </c>
      <c r="D329" t="s">
        <v>25</v>
      </c>
      <c r="E329" t="s">
        <v>39</v>
      </c>
      <c r="F329" t="s">
        <v>41</v>
      </c>
      <c r="G329" s="114">
        <v>3797.06</v>
      </c>
      <c r="H329" t="s">
        <v>34</v>
      </c>
      <c r="I329" t="s">
        <v>62</v>
      </c>
      <c r="J329">
        <v>3.2</v>
      </c>
      <c r="K329" s="114">
        <v>0</v>
      </c>
      <c r="L329" s="114">
        <v>0</v>
      </c>
    </row>
    <row r="330" spans="1:12" x14ac:dyDescent="0.25">
      <c r="A330" t="s">
        <v>373</v>
      </c>
      <c r="B330" s="158">
        <v>45412.638194444444</v>
      </c>
      <c r="C330" t="s">
        <v>31</v>
      </c>
      <c r="D330" t="s">
        <v>32</v>
      </c>
      <c r="E330" t="s">
        <v>15</v>
      </c>
      <c r="F330" t="s">
        <v>41</v>
      </c>
      <c r="G330" s="114">
        <v>2515.4899999999998</v>
      </c>
      <c r="H330" t="s">
        <v>17</v>
      </c>
      <c r="J330">
        <v>2.5</v>
      </c>
      <c r="K330" s="114">
        <v>0</v>
      </c>
      <c r="L330" s="114">
        <v>0</v>
      </c>
    </row>
    <row r="331" spans="1:12" x14ac:dyDescent="0.25">
      <c r="A331" t="s">
        <v>374</v>
      </c>
      <c r="B331" s="158">
        <v>45412.678472222222</v>
      </c>
      <c r="C331" t="s">
        <v>60</v>
      </c>
      <c r="D331" t="s">
        <v>25</v>
      </c>
      <c r="E331" t="s">
        <v>39</v>
      </c>
      <c r="F331" t="s">
        <v>16</v>
      </c>
      <c r="G331" s="114">
        <v>4453.1099999999997</v>
      </c>
      <c r="H331" t="s">
        <v>22</v>
      </c>
      <c r="J331">
        <v>3.2</v>
      </c>
      <c r="K331" s="114">
        <v>142.5</v>
      </c>
      <c r="L331" s="114">
        <v>4310.6099999999997</v>
      </c>
    </row>
    <row r="332" spans="1:12" x14ac:dyDescent="0.25">
      <c r="A332" t="s">
        <v>375</v>
      </c>
      <c r="B332" s="158">
        <v>45413.379861111112</v>
      </c>
      <c r="C332" t="s">
        <v>60</v>
      </c>
      <c r="D332" t="s">
        <v>25</v>
      </c>
      <c r="E332" t="s">
        <v>44</v>
      </c>
      <c r="F332" t="s">
        <v>16</v>
      </c>
      <c r="G332" s="114">
        <v>3198.37</v>
      </c>
      <c r="H332" t="s">
        <v>17</v>
      </c>
      <c r="J332">
        <v>2.1</v>
      </c>
      <c r="K332" s="114">
        <v>0</v>
      </c>
      <c r="L332" s="114">
        <v>0</v>
      </c>
    </row>
    <row r="333" spans="1:12" x14ac:dyDescent="0.25">
      <c r="A333" t="s">
        <v>376</v>
      </c>
      <c r="B333" s="158">
        <v>45413.625694444447</v>
      </c>
      <c r="C333" t="s">
        <v>37</v>
      </c>
      <c r="D333" t="s">
        <v>38</v>
      </c>
      <c r="E333" t="s">
        <v>33</v>
      </c>
      <c r="F333" t="s">
        <v>45</v>
      </c>
      <c r="G333" s="114">
        <v>1850.87</v>
      </c>
      <c r="H333" t="s">
        <v>17</v>
      </c>
      <c r="J333">
        <v>1.9</v>
      </c>
      <c r="K333" s="114">
        <v>0</v>
      </c>
      <c r="L333" s="114">
        <v>0</v>
      </c>
    </row>
    <row r="334" spans="1:12" x14ac:dyDescent="0.25">
      <c r="A334" t="s">
        <v>377</v>
      </c>
      <c r="B334" s="158">
        <v>45413.763888888891</v>
      </c>
      <c r="C334" t="s">
        <v>37</v>
      </c>
      <c r="D334" t="s">
        <v>38</v>
      </c>
      <c r="E334" t="s">
        <v>33</v>
      </c>
      <c r="F334" t="s">
        <v>41</v>
      </c>
      <c r="G334" s="114">
        <v>3520.23</v>
      </c>
      <c r="H334" t="s">
        <v>22</v>
      </c>
      <c r="J334">
        <v>1.9</v>
      </c>
      <c r="K334" s="114">
        <v>66.88</v>
      </c>
      <c r="L334" s="114">
        <v>3453.35</v>
      </c>
    </row>
    <row r="335" spans="1:12" x14ac:dyDescent="0.25">
      <c r="A335" t="s">
        <v>378</v>
      </c>
      <c r="B335" s="158">
        <v>45413.938888888886</v>
      </c>
      <c r="C335" t="s">
        <v>47</v>
      </c>
      <c r="D335" t="s">
        <v>25</v>
      </c>
      <c r="E335" t="s">
        <v>15</v>
      </c>
      <c r="F335" t="s">
        <v>45</v>
      </c>
      <c r="G335" s="114">
        <v>2886</v>
      </c>
      <c r="H335" t="s">
        <v>22</v>
      </c>
      <c r="J335">
        <v>2.5</v>
      </c>
      <c r="K335" s="114">
        <v>72.150000000000006</v>
      </c>
      <c r="L335" s="114">
        <v>2813.85</v>
      </c>
    </row>
    <row r="336" spans="1:12" x14ac:dyDescent="0.25">
      <c r="A336" t="s">
        <v>379</v>
      </c>
      <c r="B336" s="158">
        <v>45414.1875</v>
      </c>
      <c r="C336" t="s">
        <v>31</v>
      </c>
      <c r="D336" t="s">
        <v>32</v>
      </c>
      <c r="E336" t="s">
        <v>33</v>
      </c>
      <c r="F336" t="s">
        <v>29</v>
      </c>
      <c r="G336" s="114">
        <v>2330.52</v>
      </c>
      <c r="H336" t="s">
        <v>22</v>
      </c>
      <c r="J336">
        <v>1.9</v>
      </c>
      <c r="K336" s="114">
        <v>44.28</v>
      </c>
      <c r="L336" s="114">
        <v>2286.2399999999998</v>
      </c>
    </row>
    <row r="337" spans="1:12" x14ac:dyDescent="0.25">
      <c r="A337" t="s">
        <v>380</v>
      </c>
      <c r="B337" s="158">
        <v>45414.503472222219</v>
      </c>
      <c r="C337" t="s">
        <v>60</v>
      </c>
      <c r="D337" t="s">
        <v>25</v>
      </c>
      <c r="E337" t="s">
        <v>44</v>
      </c>
      <c r="F337" t="s">
        <v>29</v>
      </c>
      <c r="G337" s="114">
        <v>1948.63</v>
      </c>
      <c r="H337" t="s">
        <v>34</v>
      </c>
      <c r="I337" t="s">
        <v>62</v>
      </c>
      <c r="J337">
        <v>2.1</v>
      </c>
      <c r="K337" s="114">
        <v>0</v>
      </c>
      <c r="L337" s="114">
        <v>0</v>
      </c>
    </row>
    <row r="338" spans="1:12" x14ac:dyDescent="0.25">
      <c r="A338" t="s">
        <v>381</v>
      </c>
      <c r="B338" s="158">
        <v>45415.277083333334</v>
      </c>
      <c r="C338" t="s">
        <v>13</v>
      </c>
      <c r="D338" t="s">
        <v>14</v>
      </c>
      <c r="E338" t="s">
        <v>39</v>
      </c>
      <c r="F338" t="s">
        <v>21</v>
      </c>
      <c r="G338" s="114">
        <v>1343.95</v>
      </c>
      <c r="H338" t="s">
        <v>34</v>
      </c>
      <c r="I338" t="s">
        <v>78</v>
      </c>
      <c r="J338">
        <v>3.2</v>
      </c>
      <c r="K338" s="114">
        <v>0</v>
      </c>
      <c r="L338" s="114">
        <v>0</v>
      </c>
    </row>
    <row r="339" spans="1:12" x14ac:dyDescent="0.25">
      <c r="A339" t="s">
        <v>382</v>
      </c>
      <c r="B339" s="158">
        <v>45415.304861111108</v>
      </c>
      <c r="C339" t="s">
        <v>27</v>
      </c>
      <c r="D339" t="s">
        <v>25</v>
      </c>
      <c r="E339" t="s">
        <v>15</v>
      </c>
      <c r="F339" t="s">
        <v>41</v>
      </c>
      <c r="G339" s="114">
        <v>2816.31</v>
      </c>
      <c r="H339" t="s">
        <v>34</v>
      </c>
      <c r="I339" t="s">
        <v>100</v>
      </c>
      <c r="J339">
        <v>2.5</v>
      </c>
      <c r="K339" s="114">
        <v>0</v>
      </c>
      <c r="L339" s="114">
        <v>0</v>
      </c>
    </row>
    <row r="340" spans="1:12" x14ac:dyDescent="0.25">
      <c r="A340" t="s">
        <v>383</v>
      </c>
      <c r="B340" s="158">
        <v>45415.406944444447</v>
      </c>
      <c r="C340" t="s">
        <v>58</v>
      </c>
      <c r="D340" t="s">
        <v>25</v>
      </c>
      <c r="E340" t="s">
        <v>33</v>
      </c>
      <c r="F340" t="s">
        <v>41</v>
      </c>
      <c r="G340" s="114">
        <v>3662.61</v>
      </c>
      <c r="H340" t="s">
        <v>22</v>
      </c>
      <c r="J340">
        <v>1.9</v>
      </c>
      <c r="K340" s="114">
        <v>69.59</v>
      </c>
      <c r="L340" s="114">
        <v>3593.02</v>
      </c>
    </row>
    <row r="341" spans="1:12" x14ac:dyDescent="0.25">
      <c r="A341" t="s">
        <v>384</v>
      </c>
      <c r="B341" s="158">
        <v>45416.047222222223</v>
      </c>
      <c r="C341" t="s">
        <v>19</v>
      </c>
      <c r="D341" t="s">
        <v>20</v>
      </c>
      <c r="E341" t="s">
        <v>33</v>
      </c>
      <c r="F341" t="s">
        <v>29</v>
      </c>
      <c r="G341" s="114">
        <v>682.27</v>
      </c>
      <c r="H341" t="s">
        <v>17</v>
      </c>
      <c r="J341">
        <v>1.9</v>
      </c>
      <c r="K341" s="114">
        <v>0</v>
      </c>
      <c r="L341" s="114">
        <v>0</v>
      </c>
    </row>
    <row r="342" spans="1:12" x14ac:dyDescent="0.25">
      <c r="A342" t="s">
        <v>385</v>
      </c>
      <c r="B342" s="158">
        <v>45416.070833333331</v>
      </c>
      <c r="C342" t="s">
        <v>13</v>
      </c>
      <c r="D342" t="s">
        <v>14</v>
      </c>
      <c r="E342" t="s">
        <v>44</v>
      </c>
      <c r="F342" t="s">
        <v>29</v>
      </c>
      <c r="G342" s="114">
        <v>271.93</v>
      </c>
      <c r="H342" t="s">
        <v>34</v>
      </c>
      <c r="I342" t="s">
        <v>62</v>
      </c>
      <c r="J342">
        <v>2.1</v>
      </c>
      <c r="K342" s="114">
        <v>0</v>
      </c>
      <c r="L342" s="114">
        <v>0</v>
      </c>
    </row>
    <row r="343" spans="1:12" x14ac:dyDescent="0.25">
      <c r="A343" t="s">
        <v>386</v>
      </c>
      <c r="B343" s="158">
        <v>45416.095138888886</v>
      </c>
      <c r="C343" t="s">
        <v>58</v>
      </c>
      <c r="D343" t="s">
        <v>25</v>
      </c>
      <c r="E343" t="s">
        <v>39</v>
      </c>
      <c r="F343" t="s">
        <v>45</v>
      </c>
      <c r="G343" s="114">
        <v>457.08</v>
      </c>
      <c r="H343" t="s">
        <v>34</v>
      </c>
      <c r="I343" t="s">
        <v>55</v>
      </c>
      <c r="J343">
        <v>3.2</v>
      </c>
      <c r="K343" s="114">
        <v>0</v>
      </c>
      <c r="L343" s="114">
        <v>0</v>
      </c>
    </row>
    <row r="344" spans="1:12" x14ac:dyDescent="0.25">
      <c r="A344" t="s">
        <v>387</v>
      </c>
      <c r="B344" s="158">
        <v>45416.660416666666</v>
      </c>
      <c r="C344" t="s">
        <v>58</v>
      </c>
      <c r="D344" t="s">
        <v>25</v>
      </c>
      <c r="E344" t="s">
        <v>44</v>
      </c>
      <c r="F344" t="s">
        <v>41</v>
      </c>
      <c r="G344" s="114">
        <v>493.68</v>
      </c>
      <c r="H344" t="s">
        <v>34</v>
      </c>
      <c r="I344" t="s">
        <v>62</v>
      </c>
      <c r="J344">
        <v>2.1</v>
      </c>
      <c r="K344" s="114">
        <v>0</v>
      </c>
      <c r="L344" s="114">
        <v>0</v>
      </c>
    </row>
    <row r="345" spans="1:12" x14ac:dyDescent="0.25">
      <c r="A345" t="s">
        <v>388</v>
      </c>
      <c r="B345" s="158">
        <v>45416.945138888892</v>
      </c>
      <c r="C345" t="s">
        <v>27</v>
      </c>
      <c r="D345" t="s">
        <v>25</v>
      </c>
      <c r="E345" t="s">
        <v>28</v>
      </c>
      <c r="F345" t="s">
        <v>29</v>
      </c>
      <c r="G345" s="114">
        <v>3166.98</v>
      </c>
      <c r="H345" t="s">
        <v>22</v>
      </c>
      <c r="J345">
        <v>2.9</v>
      </c>
      <c r="K345" s="114">
        <v>91.84</v>
      </c>
      <c r="L345" s="114">
        <v>3075.14</v>
      </c>
    </row>
    <row r="346" spans="1:12" x14ac:dyDescent="0.25">
      <c r="A346" t="s">
        <v>389</v>
      </c>
      <c r="B346" s="158">
        <v>45417.69027777778</v>
      </c>
      <c r="C346" t="s">
        <v>58</v>
      </c>
      <c r="D346" t="s">
        <v>25</v>
      </c>
      <c r="E346" t="s">
        <v>28</v>
      </c>
      <c r="F346" t="s">
        <v>45</v>
      </c>
      <c r="G346" s="114">
        <v>1943.12</v>
      </c>
      <c r="H346" t="s">
        <v>22</v>
      </c>
      <c r="J346">
        <v>2.9</v>
      </c>
      <c r="K346" s="114">
        <v>56.35</v>
      </c>
      <c r="L346" s="114">
        <v>1886.77</v>
      </c>
    </row>
    <row r="347" spans="1:12" x14ac:dyDescent="0.25">
      <c r="A347" t="s">
        <v>390</v>
      </c>
      <c r="B347" s="158">
        <v>45417.720138888886</v>
      </c>
      <c r="C347" t="s">
        <v>19</v>
      </c>
      <c r="D347" t="s">
        <v>20</v>
      </c>
      <c r="E347" t="s">
        <v>33</v>
      </c>
      <c r="F347" t="s">
        <v>29</v>
      </c>
      <c r="G347" s="114">
        <v>254.1</v>
      </c>
      <c r="H347" t="s">
        <v>22</v>
      </c>
      <c r="J347">
        <v>1.9</v>
      </c>
      <c r="K347" s="114">
        <v>4.83</v>
      </c>
      <c r="L347" s="114">
        <v>249.27</v>
      </c>
    </row>
    <row r="348" spans="1:12" x14ac:dyDescent="0.25">
      <c r="A348" t="s">
        <v>391</v>
      </c>
      <c r="B348" s="158">
        <v>45417.959722222222</v>
      </c>
      <c r="C348" t="s">
        <v>58</v>
      </c>
      <c r="D348" t="s">
        <v>25</v>
      </c>
      <c r="E348" t="s">
        <v>15</v>
      </c>
      <c r="F348" t="s">
        <v>29</v>
      </c>
      <c r="G348" s="114">
        <v>2703.4</v>
      </c>
      <c r="H348" t="s">
        <v>22</v>
      </c>
      <c r="J348">
        <v>2.5</v>
      </c>
      <c r="K348" s="114">
        <v>67.58</v>
      </c>
      <c r="L348" s="114">
        <v>2635.82</v>
      </c>
    </row>
    <row r="349" spans="1:12" x14ac:dyDescent="0.25">
      <c r="A349" t="s">
        <v>392</v>
      </c>
      <c r="B349" s="158">
        <v>45419.011111111111</v>
      </c>
      <c r="C349" t="s">
        <v>58</v>
      </c>
      <c r="D349" t="s">
        <v>25</v>
      </c>
      <c r="E349" t="s">
        <v>44</v>
      </c>
      <c r="F349" t="s">
        <v>16</v>
      </c>
      <c r="G349" s="114">
        <v>3771.25</v>
      </c>
      <c r="H349" t="s">
        <v>22</v>
      </c>
      <c r="J349">
        <v>2.1</v>
      </c>
      <c r="K349" s="114">
        <v>79.2</v>
      </c>
      <c r="L349" s="114">
        <v>3692.05</v>
      </c>
    </row>
    <row r="350" spans="1:12" x14ac:dyDescent="0.25">
      <c r="A350" t="s">
        <v>393</v>
      </c>
      <c r="B350" s="158">
        <v>45419.061805555553</v>
      </c>
      <c r="C350" t="s">
        <v>60</v>
      </c>
      <c r="D350" t="s">
        <v>25</v>
      </c>
      <c r="E350" t="s">
        <v>39</v>
      </c>
      <c r="F350" t="s">
        <v>29</v>
      </c>
      <c r="G350" s="114">
        <v>1377.15</v>
      </c>
      <c r="H350" t="s">
        <v>34</v>
      </c>
      <c r="I350" t="s">
        <v>100</v>
      </c>
      <c r="J350">
        <v>3.2</v>
      </c>
      <c r="K350" s="114">
        <v>0</v>
      </c>
      <c r="L350" s="114">
        <v>0</v>
      </c>
    </row>
    <row r="351" spans="1:12" x14ac:dyDescent="0.25">
      <c r="A351" t="s">
        <v>394</v>
      </c>
      <c r="B351" s="158">
        <v>45419.102777777778</v>
      </c>
      <c r="C351" t="s">
        <v>13</v>
      </c>
      <c r="D351" t="s">
        <v>14</v>
      </c>
      <c r="E351" t="s">
        <v>28</v>
      </c>
      <c r="F351" t="s">
        <v>41</v>
      </c>
      <c r="G351" s="114">
        <v>3264.2</v>
      </c>
      <c r="H351" t="s">
        <v>17</v>
      </c>
      <c r="J351">
        <v>2.9</v>
      </c>
      <c r="K351" s="114">
        <v>0</v>
      </c>
      <c r="L351" s="114">
        <v>0</v>
      </c>
    </row>
    <row r="352" spans="1:12" x14ac:dyDescent="0.25">
      <c r="A352" t="s">
        <v>395</v>
      </c>
      <c r="B352" s="158">
        <v>45419.149305555555</v>
      </c>
      <c r="C352" t="s">
        <v>58</v>
      </c>
      <c r="D352" t="s">
        <v>25</v>
      </c>
      <c r="E352" t="s">
        <v>33</v>
      </c>
      <c r="F352" t="s">
        <v>45</v>
      </c>
      <c r="G352" s="114">
        <v>3955.8</v>
      </c>
      <c r="H352" t="s">
        <v>22</v>
      </c>
      <c r="J352">
        <v>1.9</v>
      </c>
      <c r="K352" s="114">
        <v>75.16</v>
      </c>
      <c r="L352" s="114">
        <v>3880.64</v>
      </c>
    </row>
    <row r="353" spans="1:12" x14ac:dyDescent="0.25">
      <c r="A353" t="s">
        <v>396</v>
      </c>
      <c r="B353" s="158">
        <v>45419.258333333331</v>
      </c>
      <c r="C353" t="s">
        <v>13</v>
      </c>
      <c r="D353" t="s">
        <v>14</v>
      </c>
      <c r="E353" t="s">
        <v>15</v>
      </c>
      <c r="F353" t="s">
        <v>29</v>
      </c>
      <c r="G353" s="114">
        <v>2115.19</v>
      </c>
      <c r="H353" t="s">
        <v>22</v>
      </c>
      <c r="J353">
        <v>2.5</v>
      </c>
      <c r="K353" s="114">
        <v>52.88</v>
      </c>
      <c r="L353" s="114">
        <v>2062.31</v>
      </c>
    </row>
    <row r="354" spans="1:12" x14ac:dyDescent="0.25">
      <c r="A354" t="s">
        <v>397</v>
      </c>
      <c r="B354" s="158">
        <v>45419.484027777777</v>
      </c>
      <c r="C354" t="s">
        <v>43</v>
      </c>
      <c r="D354" t="s">
        <v>25</v>
      </c>
      <c r="E354" t="s">
        <v>28</v>
      </c>
      <c r="F354" t="s">
        <v>41</v>
      </c>
      <c r="G354" s="114">
        <v>2349.7199999999998</v>
      </c>
      <c r="H354" t="s">
        <v>22</v>
      </c>
      <c r="J354">
        <v>2.9</v>
      </c>
      <c r="K354" s="114">
        <v>68.14</v>
      </c>
      <c r="L354" s="114">
        <v>2281.58</v>
      </c>
    </row>
    <row r="355" spans="1:12" x14ac:dyDescent="0.25">
      <c r="A355" t="s">
        <v>398</v>
      </c>
      <c r="B355" s="158">
        <v>45419.685416666667</v>
      </c>
      <c r="C355" t="s">
        <v>47</v>
      </c>
      <c r="D355" t="s">
        <v>25</v>
      </c>
      <c r="E355" t="s">
        <v>33</v>
      </c>
      <c r="F355" t="s">
        <v>41</v>
      </c>
      <c r="G355" s="114">
        <v>2759.46</v>
      </c>
      <c r="H355" t="s">
        <v>22</v>
      </c>
      <c r="J355">
        <v>1.9</v>
      </c>
      <c r="K355" s="114">
        <v>52.43</v>
      </c>
      <c r="L355" s="114">
        <v>2707.03</v>
      </c>
    </row>
    <row r="356" spans="1:12" x14ac:dyDescent="0.25">
      <c r="A356" t="s">
        <v>399</v>
      </c>
      <c r="B356" s="158">
        <v>45420.045138888891</v>
      </c>
      <c r="C356" t="s">
        <v>58</v>
      </c>
      <c r="D356" t="s">
        <v>25</v>
      </c>
      <c r="E356" t="s">
        <v>39</v>
      </c>
      <c r="F356" t="s">
        <v>41</v>
      </c>
      <c r="G356" s="114">
        <v>27.69</v>
      </c>
      <c r="H356" t="s">
        <v>22</v>
      </c>
      <c r="J356">
        <v>3.2</v>
      </c>
      <c r="K356" s="114">
        <v>0.89</v>
      </c>
      <c r="L356" s="114">
        <v>26.8</v>
      </c>
    </row>
    <row r="357" spans="1:12" x14ac:dyDescent="0.25">
      <c r="A357" t="s">
        <v>400</v>
      </c>
      <c r="B357" s="158">
        <v>45420.536805555559</v>
      </c>
      <c r="C357" t="s">
        <v>60</v>
      </c>
      <c r="D357" t="s">
        <v>25</v>
      </c>
      <c r="E357" t="s">
        <v>28</v>
      </c>
      <c r="F357" t="s">
        <v>29</v>
      </c>
      <c r="G357" s="114">
        <v>1930.14</v>
      </c>
      <c r="H357" t="s">
        <v>34</v>
      </c>
      <c r="I357" t="s">
        <v>35</v>
      </c>
      <c r="J357">
        <v>2.9</v>
      </c>
      <c r="K357" s="114">
        <v>0</v>
      </c>
      <c r="L357" s="114">
        <v>0</v>
      </c>
    </row>
    <row r="358" spans="1:12" x14ac:dyDescent="0.25">
      <c r="A358" t="s">
        <v>401</v>
      </c>
      <c r="B358" s="158">
        <v>45420.711111111108</v>
      </c>
      <c r="C358" t="s">
        <v>19</v>
      </c>
      <c r="D358" t="s">
        <v>20</v>
      </c>
      <c r="E358" t="s">
        <v>44</v>
      </c>
      <c r="F358" t="s">
        <v>21</v>
      </c>
      <c r="G358" s="114">
        <v>2044.09</v>
      </c>
      <c r="H358" t="s">
        <v>34</v>
      </c>
      <c r="I358" t="s">
        <v>55</v>
      </c>
      <c r="J358">
        <v>2.1</v>
      </c>
      <c r="K358" s="114">
        <v>0</v>
      </c>
      <c r="L358" s="114">
        <v>0</v>
      </c>
    </row>
    <row r="359" spans="1:12" x14ac:dyDescent="0.25">
      <c r="A359" t="s">
        <v>402</v>
      </c>
      <c r="B359" s="158">
        <v>45422.210416666669</v>
      </c>
      <c r="C359" t="s">
        <v>47</v>
      </c>
      <c r="D359" t="s">
        <v>25</v>
      </c>
      <c r="E359" t="s">
        <v>44</v>
      </c>
      <c r="F359" t="s">
        <v>45</v>
      </c>
      <c r="G359" s="114">
        <v>1363.69</v>
      </c>
      <c r="H359" t="s">
        <v>34</v>
      </c>
      <c r="I359" t="s">
        <v>78</v>
      </c>
      <c r="J359">
        <v>2.1</v>
      </c>
      <c r="K359" s="114">
        <v>0</v>
      </c>
      <c r="L359" s="114">
        <v>0</v>
      </c>
    </row>
    <row r="360" spans="1:12" x14ac:dyDescent="0.25">
      <c r="A360" t="s">
        <v>403</v>
      </c>
      <c r="B360" s="158">
        <v>45422.875</v>
      </c>
      <c r="C360" t="s">
        <v>43</v>
      </c>
      <c r="D360" t="s">
        <v>25</v>
      </c>
      <c r="E360" t="s">
        <v>39</v>
      </c>
      <c r="F360" t="s">
        <v>45</v>
      </c>
      <c r="G360" s="114">
        <v>798.3</v>
      </c>
      <c r="H360" t="s">
        <v>34</v>
      </c>
      <c r="I360" t="s">
        <v>62</v>
      </c>
      <c r="J360">
        <v>3.2</v>
      </c>
      <c r="K360" s="114">
        <v>0</v>
      </c>
      <c r="L360" s="114">
        <v>0</v>
      </c>
    </row>
    <row r="361" spans="1:12" x14ac:dyDescent="0.25">
      <c r="A361" t="s">
        <v>404</v>
      </c>
      <c r="B361" s="158">
        <v>45423.286805555559</v>
      </c>
      <c r="C361" t="s">
        <v>27</v>
      </c>
      <c r="D361" t="s">
        <v>25</v>
      </c>
      <c r="E361" t="s">
        <v>33</v>
      </c>
      <c r="F361" t="s">
        <v>45</v>
      </c>
      <c r="G361" s="114">
        <v>2643.58</v>
      </c>
      <c r="H361" t="s">
        <v>22</v>
      </c>
      <c r="J361">
        <v>1.9</v>
      </c>
      <c r="K361" s="114">
        <v>50.23</v>
      </c>
      <c r="L361" s="114">
        <v>2593.35</v>
      </c>
    </row>
    <row r="362" spans="1:12" x14ac:dyDescent="0.25">
      <c r="A362" t="s">
        <v>405</v>
      </c>
      <c r="B362" s="158">
        <v>45424.234027777777</v>
      </c>
      <c r="C362" t="s">
        <v>60</v>
      </c>
      <c r="D362" t="s">
        <v>25</v>
      </c>
      <c r="E362" t="s">
        <v>44</v>
      </c>
      <c r="F362" t="s">
        <v>21</v>
      </c>
      <c r="G362" s="114">
        <v>2310.61</v>
      </c>
      <c r="H362" t="s">
        <v>22</v>
      </c>
      <c r="J362">
        <v>2.1</v>
      </c>
      <c r="K362" s="114">
        <v>48.52</v>
      </c>
      <c r="L362" s="114">
        <v>2262.09</v>
      </c>
    </row>
    <row r="363" spans="1:12" x14ac:dyDescent="0.25">
      <c r="A363" t="s">
        <v>406</v>
      </c>
      <c r="B363" s="158">
        <v>45424.362500000003</v>
      </c>
      <c r="C363" t="s">
        <v>13</v>
      </c>
      <c r="D363" t="s">
        <v>14</v>
      </c>
      <c r="E363" t="s">
        <v>44</v>
      </c>
      <c r="F363" t="s">
        <v>41</v>
      </c>
      <c r="G363" s="114">
        <v>4819.3</v>
      </c>
      <c r="H363" t="s">
        <v>34</v>
      </c>
      <c r="I363" t="s">
        <v>78</v>
      </c>
      <c r="J363">
        <v>2.1</v>
      </c>
      <c r="K363" s="114">
        <v>0</v>
      </c>
      <c r="L363" s="114">
        <v>0</v>
      </c>
    </row>
    <row r="364" spans="1:12" x14ac:dyDescent="0.25">
      <c r="A364" t="s">
        <v>407</v>
      </c>
      <c r="B364" s="158">
        <v>45425.209027777775</v>
      </c>
      <c r="C364" t="s">
        <v>58</v>
      </c>
      <c r="D364" t="s">
        <v>25</v>
      </c>
      <c r="E364" t="s">
        <v>15</v>
      </c>
      <c r="F364" t="s">
        <v>45</v>
      </c>
      <c r="G364" s="114">
        <v>3742.91</v>
      </c>
      <c r="H364" t="s">
        <v>22</v>
      </c>
      <c r="J364">
        <v>2.5</v>
      </c>
      <c r="K364" s="114">
        <v>93.57</v>
      </c>
      <c r="L364" s="114">
        <v>3649.34</v>
      </c>
    </row>
    <row r="365" spans="1:12" x14ac:dyDescent="0.25">
      <c r="A365" t="s">
        <v>408</v>
      </c>
      <c r="B365" s="158">
        <v>45425.279166666667</v>
      </c>
      <c r="C365" t="s">
        <v>37</v>
      </c>
      <c r="D365" t="s">
        <v>38</v>
      </c>
      <c r="E365" t="s">
        <v>44</v>
      </c>
      <c r="F365" t="s">
        <v>21</v>
      </c>
      <c r="G365" s="114">
        <v>1984.97</v>
      </c>
      <c r="H365" t="s">
        <v>22</v>
      </c>
      <c r="J365">
        <v>2.1</v>
      </c>
      <c r="K365" s="114">
        <v>41.68</v>
      </c>
      <c r="L365" s="114">
        <v>1943.29</v>
      </c>
    </row>
    <row r="366" spans="1:12" x14ac:dyDescent="0.25">
      <c r="A366" t="s">
        <v>409</v>
      </c>
      <c r="B366" s="158">
        <v>45425.480555555558</v>
      </c>
      <c r="C366" t="s">
        <v>43</v>
      </c>
      <c r="D366" t="s">
        <v>25</v>
      </c>
      <c r="E366" t="s">
        <v>15</v>
      </c>
      <c r="F366" t="s">
        <v>41</v>
      </c>
      <c r="G366" s="114">
        <v>4016.05</v>
      </c>
      <c r="H366" t="s">
        <v>34</v>
      </c>
      <c r="I366" t="s">
        <v>62</v>
      </c>
      <c r="J366">
        <v>2.5</v>
      </c>
      <c r="K366" s="114">
        <v>0</v>
      </c>
      <c r="L366" s="114">
        <v>0</v>
      </c>
    </row>
    <row r="367" spans="1:12" x14ac:dyDescent="0.25">
      <c r="A367" t="s">
        <v>410</v>
      </c>
      <c r="B367" s="158">
        <v>45425.749305555553</v>
      </c>
      <c r="C367" t="s">
        <v>19</v>
      </c>
      <c r="D367" t="s">
        <v>20</v>
      </c>
      <c r="E367" t="s">
        <v>33</v>
      </c>
      <c r="F367" t="s">
        <v>16</v>
      </c>
      <c r="G367" s="114">
        <v>1483.01</v>
      </c>
      <c r="H367" t="s">
        <v>22</v>
      </c>
      <c r="J367">
        <v>1.9</v>
      </c>
      <c r="K367" s="114">
        <v>28.18</v>
      </c>
      <c r="L367" s="114">
        <v>1454.83</v>
      </c>
    </row>
    <row r="368" spans="1:12" x14ac:dyDescent="0.25">
      <c r="A368" t="s">
        <v>411</v>
      </c>
      <c r="B368" s="158">
        <v>45425.762499999997</v>
      </c>
      <c r="C368" t="s">
        <v>43</v>
      </c>
      <c r="D368" t="s">
        <v>25</v>
      </c>
      <c r="E368" t="s">
        <v>28</v>
      </c>
      <c r="F368" t="s">
        <v>16</v>
      </c>
      <c r="G368" s="114">
        <v>277.85000000000002</v>
      </c>
      <c r="H368" t="s">
        <v>17</v>
      </c>
      <c r="J368">
        <v>2.9</v>
      </c>
      <c r="K368" s="114">
        <v>0</v>
      </c>
      <c r="L368" s="114">
        <v>0</v>
      </c>
    </row>
    <row r="369" spans="1:12" x14ac:dyDescent="0.25">
      <c r="A369" t="s">
        <v>412</v>
      </c>
      <c r="B369" s="158">
        <v>45425.864583333336</v>
      </c>
      <c r="C369" t="s">
        <v>47</v>
      </c>
      <c r="D369" t="s">
        <v>25</v>
      </c>
      <c r="E369" t="s">
        <v>44</v>
      </c>
      <c r="F369" t="s">
        <v>29</v>
      </c>
      <c r="G369" s="114">
        <v>2591.29</v>
      </c>
      <c r="H369" t="s">
        <v>22</v>
      </c>
      <c r="J369">
        <v>2.1</v>
      </c>
      <c r="K369" s="114">
        <v>54.42</v>
      </c>
      <c r="L369" s="114">
        <v>2536.87</v>
      </c>
    </row>
    <row r="370" spans="1:12" x14ac:dyDescent="0.25">
      <c r="A370" t="s">
        <v>413</v>
      </c>
      <c r="B370" s="158">
        <v>45426.100694444445</v>
      </c>
      <c r="C370" t="s">
        <v>13</v>
      </c>
      <c r="D370" t="s">
        <v>14</v>
      </c>
      <c r="E370" t="s">
        <v>15</v>
      </c>
      <c r="F370" t="s">
        <v>29</v>
      </c>
      <c r="G370" s="114">
        <v>3812.54</v>
      </c>
      <c r="H370" t="s">
        <v>34</v>
      </c>
      <c r="I370" t="s">
        <v>100</v>
      </c>
      <c r="J370">
        <v>2.5</v>
      </c>
      <c r="K370" s="114">
        <v>0</v>
      </c>
      <c r="L370" s="114">
        <v>0</v>
      </c>
    </row>
    <row r="371" spans="1:12" x14ac:dyDescent="0.25">
      <c r="A371" t="s">
        <v>414</v>
      </c>
      <c r="B371" s="158">
        <v>45426.251388888886</v>
      </c>
      <c r="C371" t="s">
        <v>60</v>
      </c>
      <c r="D371" t="s">
        <v>25</v>
      </c>
      <c r="E371" t="s">
        <v>15</v>
      </c>
      <c r="F371" t="s">
        <v>45</v>
      </c>
      <c r="G371" s="114">
        <v>1439.57</v>
      </c>
      <c r="H371" t="s">
        <v>17</v>
      </c>
      <c r="J371">
        <v>2.5</v>
      </c>
      <c r="K371" s="114">
        <v>0</v>
      </c>
      <c r="L371" s="114">
        <v>0</v>
      </c>
    </row>
    <row r="372" spans="1:12" x14ac:dyDescent="0.25">
      <c r="A372" t="s">
        <v>415</v>
      </c>
      <c r="B372" s="158">
        <v>45426.95416666667</v>
      </c>
      <c r="C372" t="s">
        <v>27</v>
      </c>
      <c r="D372" t="s">
        <v>25</v>
      </c>
      <c r="E372" t="s">
        <v>28</v>
      </c>
      <c r="F372" t="s">
        <v>16</v>
      </c>
      <c r="G372" s="114">
        <v>3093.84</v>
      </c>
      <c r="H372" t="s">
        <v>17</v>
      </c>
      <c r="J372">
        <v>2.9</v>
      </c>
      <c r="K372" s="114">
        <v>0</v>
      </c>
      <c r="L372" s="114">
        <v>0</v>
      </c>
    </row>
    <row r="373" spans="1:12" x14ac:dyDescent="0.25">
      <c r="A373" t="s">
        <v>416</v>
      </c>
      <c r="B373" s="158">
        <v>45427.047222222223</v>
      </c>
      <c r="C373" t="s">
        <v>58</v>
      </c>
      <c r="D373" t="s">
        <v>25</v>
      </c>
      <c r="E373" t="s">
        <v>33</v>
      </c>
      <c r="F373" t="s">
        <v>41</v>
      </c>
      <c r="G373" s="114">
        <v>3730.87</v>
      </c>
      <c r="H373" t="s">
        <v>34</v>
      </c>
      <c r="I373" t="s">
        <v>55</v>
      </c>
      <c r="J373">
        <v>1.9</v>
      </c>
      <c r="K373" s="114">
        <v>0</v>
      </c>
      <c r="L373" s="114">
        <v>0</v>
      </c>
    </row>
    <row r="374" spans="1:12" x14ac:dyDescent="0.25">
      <c r="A374" t="s">
        <v>417</v>
      </c>
      <c r="B374" s="158">
        <v>45428.220833333333</v>
      </c>
      <c r="C374" t="s">
        <v>47</v>
      </c>
      <c r="D374" t="s">
        <v>25</v>
      </c>
      <c r="E374" t="s">
        <v>44</v>
      </c>
      <c r="F374" t="s">
        <v>41</v>
      </c>
      <c r="G374" s="114">
        <v>3456.07</v>
      </c>
      <c r="H374" t="s">
        <v>22</v>
      </c>
      <c r="J374">
        <v>2.1</v>
      </c>
      <c r="K374" s="114">
        <v>72.58</v>
      </c>
      <c r="L374" s="114">
        <v>3383.49</v>
      </c>
    </row>
    <row r="375" spans="1:12" x14ac:dyDescent="0.25">
      <c r="A375" t="s">
        <v>418</v>
      </c>
      <c r="B375" s="158">
        <v>45429.197916666664</v>
      </c>
      <c r="C375" t="s">
        <v>43</v>
      </c>
      <c r="D375" t="s">
        <v>25</v>
      </c>
      <c r="E375" t="s">
        <v>28</v>
      </c>
      <c r="F375" t="s">
        <v>29</v>
      </c>
      <c r="G375" s="114">
        <v>460.08</v>
      </c>
      <c r="H375" t="s">
        <v>22</v>
      </c>
      <c r="J375">
        <v>2.9</v>
      </c>
      <c r="K375" s="114">
        <v>13.34</v>
      </c>
      <c r="L375" s="114">
        <v>446.74</v>
      </c>
    </row>
    <row r="376" spans="1:12" x14ac:dyDescent="0.25">
      <c r="A376" t="s">
        <v>419</v>
      </c>
      <c r="B376" s="158">
        <v>45429.776388888888</v>
      </c>
      <c r="C376" t="s">
        <v>58</v>
      </c>
      <c r="D376" t="s">
        <v>25</v>
      </c>
      <c r="E376" t="s">
        <v>28</v>
      </c>
      <c r="F376" t="s">
        <v>16</v>
      </c>
      <c r="G376" s="114">
        <v>4056.86</v>
      </c>
      <c r="H376" t="s">
        <v>17</v>
      </c>
      <c r="J376">
        <v>2.9</v>
      </c>
      <c r="K376" s="114">
        <v>0</v>
      </c>
      <c r="L376" s="114">
        <v>0</v>
      </c>
    </row>
    <row r="377" spans="1:12" x14ac:dyDescent="0.25">
      <c r="A377" t="s">
        <v>420</v>
      </c>
      <c r="B377" s="158">
        <v>45429.976388888892</v>
      </c>
      <c r="C377" t="s">
        <v>19</v>
      </c>
      <c r="D377" t="s">
        <v>20</v>
      </c>
      <c r="E377" t="s">
        <v>28</v>
      </c>
      <c r="F377" t="s">
        <v>29</v>
      </c>
      <c r="G377" s="114">
        <v>2214.17</v>
      </c>
      <c r="H377" t="s">
        <v>34</v>
      </c>
      <c r="I377" t="s">
        <v>55</v>
      </c>
      <c r="J377">
        <v>2.9</v>
      </c>
      <c r="K377" s="114">
        <v>0</v>
      </c>
      <c r="L377" s="114">
        <v>0</v>
      </c>
    </row>
    <row r="378" spans="1:12" x14ac:dyDescent="0.25">
      <c r="A378" t="s">
        <v>421</v>
      </c>
      <c r="B378" s="158">
        <v>45430.197916666664</v>
      </c>
      <c r="C378" t="s">
        <v>47</v>
      </c>
      <c r="D378" t="s">
        <v>25</v>
      </c>
      <c r="E378" t="s">
        <v>33</v>
      </c>
      <c r="F378" t="s">
        <v>29</v>
      </c>
      <c r="G378" s="114">
        <v>864.66</v>
      </c>
      <c r="H378" t="s">
        <v>22</v>
      </c>
      <c r="J378">
        <v>1.9</v>
      </c>
      <c r="K378" s="114">
        <v>16.43</v>
      </c>
      <c r="L378" s="114">
        <v>848.23</v>
      </c>
    </row>
    <row r="379" spans="1:12" x14ac:dyDescent="0.25">
      <c r="A379" t="s">
        <v>422</v>
      </c>
      <c r="B379" s="158">
        <v>45430.315972222219</v>
      </c>
      <c r="C379" t="s">
        <v>58</v>
      </c>
      <c r="D379" t="s">
        <v>25</v>
      </c>
      <c r="E379" t="s">
        <v>15</v>
      </c>
      <c r="F379" t="s">
        <v>29</v>
      </c>
      <c r="G379" s="114">
        <v>737.76</v>
      </c>
      <c r="H379" t="s">
        <v>22</v>
      </c>
      <c r="J379">
        <v>2.5</v>
      </c>
      <c r="K379" s="114">
        <v>18.440000000000001</v>
      </c>
      <c r="L379" s="114">
        <v>719.32</v>
      </c>
    </row>
    <row r="380" spans="1:12" x14ac:dyDescent="0.25">
      <c r="A380" t="s">
        <v>423</v>
      </c>
      <c r="B380" s="158">
        <v>45431.160416666666</v>
      </c>
      <c r="C380" t="s">
        <v>37</v>
      </c>
      <c r="D380" t="s">
        <v>38</v>
      </c>
      <c r="E380" t="s">
        <v>15</v>
      </c>
      <c r="F380" t="s">
        <v>16</v>
      </c>
      <c r="G380" s="114">
        <v>3719.11</v>
      </c>
      <c r="H380" t="s">
        <v>34</v>
      </c>
      <c r="I380" t="s">
        <v>62</v>
      </c>
      <c r="J380">
        <v>2.5</v>
      </c>
      <c r="K380" s="114">
        <v>0</v>
      </c>
      <c r="L380" s="114">
        <v>0</v>
      </c>
    </row>
    <row r="381" spans="1:12" x14ac:dyDescent="0.25">
      <c r="A381" t="s">
        <v>424</v>
      </c>
      <c r="B381" s="158">
        <v>45431.285416666666</v>
      </c>
      <c r="C381" t="s">
        <v>31</v>
      </c>
      <c r="D381" t="s">
        <v>32</v>
      </c>
      <c r="E381" t="s">
        <v>39</v>
      </c>
      <c r="F381" t="s">
        <v>29</v>
      </c>
      <c r="G381" s="114">
        <v>3658.28</v>
      </c>
      <c r="H381" t="s">
        <v>22</v>
      </c>
      <c r="J381">
        <v>3.2</v>
      </c>
      <c r="K381" s="114">
        <v>117.06</v>
      </c>
      <c r="L381" s="114">
        <v>3541.22</v>
      </c>
    </row>
    <row r="382" spans="1:12" x14ac:dyDescent="0.25">
      <c r="A382" t="s">
        <v>425</v>
      </c>
      <c r="B382" s="158">
        <v>45431.401388888888</v>
      </c>
      <c r="C382" t="s">
        <v>24</v>
      </c>
      <c r="D382" t="s">
        <v>25</v>
      </c>
      <c r="E382" t="s">
        <v>39</v>
      </c>
      <c r="F382" t="s">
        <v>29</v>
      </c>
      <c r="G382" s="114">
        <v>3440.61</v>
      </c>
      <c r="H382" t="s">
        <v>22</v>
      </c>
      <c r="J382">
        <v>3.2</v>
      </c>
      <c r="K382" s="114">
        <v>110.1</v>
      </c>
      <c r="L382" s="114">
        <v>3330.51</v>
      </c>
    </row>
    <row r="383" spans="1:12" x14ac:dyDescent="0.25">
      <c r="A383" t="s">
        <v>426</v>
      </c>
      <c r="B383" s="158">
        <v>45431.69027777778</v>
      </c>
      <c r="C383" t="s">
        <v>43</v>
      </c>
      <c r="D383" t="s">
        <v>25</v>
      </c>
      <c r="E383" t="s">
        <v>15</v>
      </c>
      <c r="F383" t="s">
        <v>41</v>
      </c>
      <c r="G383" s="114">
        <v>2994.2</v>
      </c>
      <c r="H383" t="s">
        <v>34</v>
      </c>
      <c r="I383" t="s">
        <v>62</v>
      </c>
      <c r="J383">
        <v>2.5</v>
      </c>
      <c r="K383" s="114">
        <v>0</v>
      </c>
      <c r="L383" s="114">
        <v>0</v>
      </c>
    </row>
    <row r="384" spans="1:12" x14ac:dyDescent="0.25">
      <c r="A384" t="s">
        <v>427</v>
      </c>
      <c r="B384" s="158">
        <v>45433.044444444444</v>
      </c>
      <c r="C384" t="s">
        <v>37</v>
      </c>
      <c r="D384" t="s">
        <v>38</v>
      </c>
      <c r="E384" t="s">
        <v>39</v>
      </c>
      <c r="F384" t="s">
        <v>16</v>
      </c>
      <c r="G384" s="114">
        <v>2436.27</v>
      </c>
      <c r="H384" t="s">
        <v>17</v>
      </c>
      <c r="J384">
        <v>3.2</v>
      </c>
      <c r="K384" s="114">
        <v>0</v>
      </c>
      <c r="L384" s="114">
        <v>0</v>
      </c>
    </row>
    <row r="385" spans="1:12" x14ac:dyDescent="0.25">
      <c r="A385" t="s">
        <v>428</v>
      </c>
      <c r="B385" s="158">
        <v>45433.554861111108</v>
      </c>
      <c r="C385" t="s">
        <v>43</v>
      </c>
      <c r="D385" t="s">
        <v>25</v>
      </c>
      <c r="E385" t="s">
        <v>28</v>
      </c>
      <c r="F385" t="s">
        <v>21</v>
      </c>
      <c r="G385" s="114">
        <v>1265.98</v>
      </c>
      <c r="H385" t="s">
        <v>22</v>
      </c>
      <c r="J385">
        <v>2.9</v>
      </c>
      <c r="K385" s="114">
        <v>36.71</v>
      </c>
      <c r="L385" s="114">
        <v>1229.27</v>
      </c>
    </row>
    <row r="386" spans="1:12" x14ac:dyDescent="0.25">
      <c r="A386" t="s">
        <v>429</v>
      </c>
      <c r="B386" s="158">
        <v>45433.572222222225</v>
      </c>
      <c r="C386" t="s">
        <v>37</v>
      </c>
      <c r="D386" t="s">
        <v>38</v>
      </c>
      <c r="E386" t="s">
        <v>39</v>
      </c>
      <c r="F386" t="s">
        <v>29</v>
      </c>
      <c r="G386" s="114">
        <v>3905.85</v>
      </c>
      <c r="H386" t="s">
        <v>22</v>
      </c>
      <c r="J386">
        <v>3.2</v>
      </c>
      <c r="K386" s="114">
        <v>124.99</v>
      </c>
      <c r="L386" s="114">
        <v>3780.86</v>
      </c>
    </row>
    <row r="387" spans="1:12" x14ac:dyDescent="0.25">
      <c r="A387" t="s">
        <v>430</v>
      </c>
      <c r="B387" s="158">
        <v>45435.206250000003</v>
      </c>
      <c r="C387" t="s">
        <v>13</v>
      </c>
      <c r="D387" t="s">
        <v>14</v>
      </c>
      <c r="E387" t="s">
        <v>44</v>
      </c>
      <c r="F387" t="s">
        <v>21</v>
      </c>
      <c r="G387" s="114">
        <v>3670.39</v>
      </c>
      <c r="H387" t="s">
        <v>22</v>
      </c>
      <c r="J387">
        <v>2.1</v>
      </c>
      <c r="K387" s="114">
        <v>77.08</v>
      </c>
      <c r="L387" s="114">
        <v>3593.31</v>
      </c>
    </row>
    <row r="388" spans="1:12" x14ac:dyDescent="0.25">
      <c r="A388" t="s">
        <v>431</v>
      </c>
      <c r="B388" s="158">
        <v>45435.62222222222</v>
      </c>
      <c r="C388" t="s">
        <v>27</v>
      </c>
      <c r="D388" t="s">
        <v>25</v>
      </c>
      <c r="E388" t="s">
        <v>28</v>
      </c>
      <c r="F388" t="s">
        <v>45</v>
      </c>
      <c r="G388" s="114">
        <v>3099.69</v>
      </c>
      <c r="H388" t="s">
        <v>22</v>
      </c>
      <c r="J388">
        <v>2.9</v>
      </c>
      <c r="K388" s="114">
        <v>89.89</v>
      </c>
      <c r="L388" s="114">
        <v>3009.8</v>
      </c>
    </row>
    <row r="389" spans="1:12" x14ac:dyDescent="0.25">
      <c r="A389" t="s">
        <v>432</v>
      </c>
      <c r="B389" s="158">
        <v>45435.662499999999</v>
      </c>
      <c r="C389" t="s">
        <v>31</v>
      </c>
      <c r="D389" t="s">
        <v>32</v>
      </c>
      <c r="E389" t="s">
        <v>44</v>
      </c>
      <c r="F389" t="s">
        <v>29</v>
      </c>
      <c r="G389" s="114">
        <v>1509.4</v>
      </c>
      <c r="H389" t="s">
        <v>34</v>
      </c>
      <c r="I389" t="s">
        <v>62</v>
      </c>
      <c r="J389">
        <v>2.1</v>
      </c>
      <c r="K389" s="114">
        <v>0</v>
      </c>
      <c r="L389" s="114">
        <v>0</v>
      </c>
    </row>
    <row r="390" spans="1:12" x14ac:dyDescent="0.25">
      <c r="A390" t="s">
        <v>433</v>
      </c>
      <c r="B390" s="158">
        <v>45436.010416666664</v>
      </c>
      <c r="C390" t="s">
        <v>58</v>
      </c>
      <c r="D390" t="s">
        <v>25</v>
      </c>
      <c r="E390" t="s">
        <v>33</v>
      </c>
      <c r="F390" t="s">
        <v>16</v>
      </c>
      <c r="G390" s="114">
        <v>3129.82</v>
      </c>
      <c r="H390" t="s">
        <v>34</v>
      </c>
      <c r="I390" t="s">
        <v>55</v>
      </c>
      <c r="J390">
        <v>1.9</v>
      </c>
      <c r="K390" s="114">
        <v>0</v>
      </c>
      <c r="L390" s="114">
        <v>0</v>
      </c>
    </row>
    <row r="391" spans="1:12" x14ac:dyDescent="0.25">
      <c r="A391" t="s">
        <v>434</v>
      </c>
      <c r="B391" s="158">
        <v>45436.159722222219</v>
      </c>
      <c r="C391" t="s">
        <v>31</v>
      </c>
      <c r="D391" t="s">
        <v>32</v>
      </c>
      <c r="E391" t="s">
        <v>15</v>
      </c>
      <c r="F391" t="s">
        <v>29</v>
      </c>
      <c r="G391" s="114">
        <v>3048.92</v>
      </c>
      <c r="H391" t="s">
        <v>22</v>
      </c>
      <c r="J391">
        <v>2.5</v>
      </c>
      <c r="K391" s="114">
        <v>76.22</v>
      </c>
      <c r="L391" s="114">
        <v>2972.7</v>
      </c>
    </row>
    <row r="392" spans="1:12" x14ac:dyDescent="0.25">
      <c r="A392" t="s">
        <v>435</v>
      </c>
      <c r="B392" s="158">
        <v>45436.484722222223</v>
      </c>
      <c r="C392" t="s">
        <v>19</v>
      </c>
      <c r="D392" t="s">
        <v>20</v>
      </c>
      <c r="E392" t="s">
        <v>44</v>
      </c>
      <c r="F392" t="s">
        <v>45</v>
      </c>
      <c r="G392" s="114">
        <v>523.63</v>
      </c>
      <c r="H392" t="s">
        <v>22</v>
      </c>
      <c r="J392">
        <v>2.1</v>
      </c>
      <c r="K392" s="114">
        <v>11</v>
      </c>
      <c r="L392" s="114">
        <v>512.63</v>
      </c>
    </row>
    <row r="393" spans="1:12" x14ac:dyDescent="0.25">
      <c r="A393" t="s">
        <v>436</v>
      </c>
      <c r="B393" s="158">
        <v>45436.6</v>
      </c>
      <c r="C393" t="s">
        <v>58</v>
      </c>
      <c r="D393" t="s">
        <v>25</v>
      </c>
      <c r="E393" t="s">
        <v>28</v>
      </c>
      <c r="F393" t="s">
        <v>16</v>
      </c>
      <c r="G393" s="114">
        <v>790.05</v>
      </c>
      <c r="H393" t="s">
        <v>22</v>
      </c>
      <c r="J393">
        <v>2.9</v>
      </c>
      <c r="K393" s="114">
        <v>22.91</v>
      </c>
      <c r="L393" s="114">
        <v>767.14</v>
      </c>
    </row>
    <row r="394" spans="1:12" x14ac:dyDescent="0.25">
      <c r="A394" t="s">
        <v>437</v>
      </c>
      <c r="B394" s="158">
        <v>45437.01666666667</v>
      </c>
      <c r="C394" t="s">
        <v>60</v>
      </c>
      <c r="D394" t="s">
        <v>25</v>
      </c>
      <c r="E394" t="s">
        <v>44</v>
      </c>
      <c r="F394" t="s">
        <v>45</v>
      </c>
      <c r="G394" s="114">
        <v>3901.35</v>
      </c>
      <c r="H394" t="s">
        <v>22</v>
      </c>
      <c r="J394">
        <v>2.1</v>
      </c>
      <c r="K394" s="114">
        <v>81.93</v>
      </c>
      <c r="L394" s="114">
        <v>3819.42</v>
      </c>
    </row>
    <row r="395" spans="1:12" x14ac:dyDescent="0.25">
      <c r="A395" t="s">
        <v>438</v>
      </c>
      <c r="B395" s="158">
        <v>45437.472222222219</v>
      </c>
      <c r="C395" t="s">
        <v>13</v>
      </c>
      <c r="D395" t="s">
        <v>14</v>
      </c>
      <c r="E395" t="s">
        <v>15</v>
      </c>
      <c r="F395" t="s">
        <v>16</v>
      </c>
      <c r="G395" s="114">
        <v>4449.2700000000004</v>
      </c>
      <c r="H395" t="s">
        <v>34</v>
      </c>
      <c r="I395" t="s">
        <v>100</v>
      </c>
      <c r="J395">
        <v>2.5</v>
      </c>
      <c r="K395" s="114">
        <v>0</v>
      </c>
      <c r="L395" s="114">
        <v>0</v>
      </c>
    </row>
    <row r="396" spans="1:12" x14ac:dyDescent="0.25">
      <c r="A396" t="s">
        <v>439</v>
      </c>
      <c r="B396" s="158">
        <v>45437.794444444444</v>
      </c>
      <c r="C396" t="s">
        <v>24</v>
      </c>
      <c r="D396" t="s">
        <v>25</v>
      </c>
      <c r="E396" t="s">
        <v>39</v>
      </c>
      <c r="F396" t="s">
        <v>16</v>
      </c>
      <c r="G396" s="114">
        <v>2258.7199999999998</v>
      </c>
      <c r="H396" t="s">
        <v>17</v>
      </c>
      <c r="J396">
        <v>3.2</v>
      </c>
      <c r="K396" s="114">
        <v>0</v>
      </c>
      <c r="L396" s="114">
        <v>0</v>
      </c>
    </row>
    <row r="397" spans="1:12" x14ac:dyDescent="0.25">
      <c r="A397" t="s">
        <v>440</v>
      </c>
      <c r="B397" s="158">
        <v>45437.865972222222</v>
      </c>
      <c r="C397" t="s">
        <v>13</v>
      </c>
      <c r="D397" t="s">
        <v>14</v>
      </c>
      <c r="E397" t="s">
        <v>39</v>
      </c>
      <c r="F397" t="s">
        <v>16</v>
      </c>
      <c r="G397" s="114">
        <v>948.12</v>
      </c>
      <c r="H397" t="s">
        <v>22</v>
      </c>
      <c r="J397">
        <v>3.2</v>
      </c>
      <c r="K397" s="114">
        <v>30.34</v>
      </c>
      <c r="L397" s="114">
        <v>917.78</v>
      </c>
    </row>
    <row r="398" spans="1:12" x14ac:dyDescent="0.25">
      <c r="A398" t="s">
        <v>441</v>
      </c>
      <c r="B398" s="158">
        <v>45438.611111111109</v>
      </c>
      <c r="C398" t="s">
        <v>27</v>
      </c>
      <c r="D398" t="s">
        <v>25</v>
      </c>
      <c r="E398" t="s">
        <v>44</v>
      </c>
      <c r="F398" t="s">
        <v>21</v>
      </c>
      <c r="G398" s="114">
        <v>2114.86</v>
      </c>
      <c r="H398" t="s">
        <v>17</v>
      </c>
      <c r="J398">
        <v>2.1</v>
      </c>
      <c r="K398" s="114">
        <v>0</v>
      </c>
      <c r="L398" s="114">
        <v>0</v>
      </c>
    </row>
    <row r="399" spans="1:12" x14ac:dyDescent="0.25">
      <c r="A399" t="s">
        <v>442</v>
      </c>
      <c r="B399" s="158">
        <v>45438.628472222219</v>
      </c>
      <c r="C399" t="s">
        <v>27</v>
      </c>
      <c r="D399" t="s">
        <v>25</v>
      </c>
      <c r="E399" t="s">
        <v>33</v>
      </c>
      <c r="F399" t="s">
        <v>41</v>
      </c>
      <c r="G399" s="114">
        <v>4258.71</v>
      </c>
      <c r="H399" t="s">
        <v>22</v>
      </c>
      <c r="J399">
        <v>1.9</v>
      </c>
      <c r="K399" s="114">
        <v>80.92</v>
      </c>
      <c r="L399" s="114">
        <v>4177.79</v>
      </c>
    </row>
    <row r="400" spans="1:12" x14ac:dyDescent="0.25">
      <c r="A400" t="s">
        <v>443</v>
      </c>
      <c r="B400" s="158">
        <v>45439.01458333333</v>
      </c>
      <c r="C400" t="s">
        <v>31</v>
      </c>
      <c r="D400" t="s">
        <v>32</v>
      </c>
      <c r="E400" t="s">
        <v>39</v>
      </c>
      <c r="F400" t="s">
        <v>16</v>
      </c>
      <c r="G400" s="114">
        <v>2361.2399999999998</v>
      </c>
      <c r="H400" t="s">
        <v>22</v>
      </c>
      <c r="J400">
        <v>3.2</v>
      </c>
      <c r="K400" s="114">
        <v>75.56</v>
      </c>
      <c r="L400" s="114">
        <v>2285.6799999999998</v>
      </c>
    </row>
    <row r="401" spans="1:12" x14ac:dyDescent="0.25">
      <c r="A401" t="s">
        <v>444</v>
      </c>
      <c r="B401" s="158">
        <v>45439.6</v>
      </c>
      <c r="C401" t="s">
        <v>37</v>
      </c>
      <c r="D401" t="s">
        <v>38</v>
      </c>
      <c r="E401" t="s">
        <v>33</v>
      </c>
      <c r="F401" t="s">
        <v>41</v>
      </c>
      <c r="G401" s="114">
        <v>495.85</v>
      </c>
      <c r="H401" t="s">
        <v>17</v>
      </c>
      <c r="J401">
        <v>1.9</v>
      </c>
      <c r="K401" s="114">
        <v>0</v>
      </c>
      <c r="L401" s="114">
        <v>0</v>
      </c>
    </row>
    <row r="402" spans="1:12" x14ac:dyDescent="0.25">
      <c r="A402" t="s">
        <v>445</v>
      </c>
      <c r="B402" s="158">
        <v>45439.804861111108</v>
      </c>
      <c r="C402" t="s">
        <v>37</v>
      </c>
      <c r="D402" t="s">
        <v>38</v>
      </c>
      <c r="E402" t="s">
        <v>28</v>
      </c>
      <c r="F402" t="s">
        <v>45</v>
      </c>
      <c r="G402" s="114">
        <v>2541.9899999999998</v>
      </c>
      <c r="H402" t="s">
        <v>22</v>
      </c>
      <c r="J402">
        <v>2.9</v>
      </c>
      <c r="K402" s="114">
        <v>73.72</v>
      </c>
      <c r="L402" s="114">
        <v>2468.27</v>
      </c>
    </row>
    <row r="403" spans="1:12" x14ac:dyDescent="0.25">
      <c r="A403" t="s">
        <v>446</v>
      </c>
      <c r="B403" s="158">
        <v>45439.966666666667</v>
      </c>
      <c r="C403" t="s">
        <v>43</v>
      </c>
      <c r="D403" t="s">
        <v>25</v>
      </c>
      <c r="E403" t="s">
        <v>39</v>
      </c>
      <c r="F403" t="s">
        <v>16</v>
      </c>
      <c r="G403" s="114">
        <v>1168.19</v>
      </c>
      <c r="H403" t="s">
        <v>22</v>
      </c>
      <c r="J403">
        <v>3.2</v>
      </c>
      <c r="K403" s="114">
        <v>37.380000000000003</v>
      </c>
      <c r="L403" s="114">
        <v>1130.81</v>
      </c>
    </row>
    <row r="404" spans="1:12" x14ac:dyDescent="0.25">
      <c r="A404" t="s">
        <v>447</v>
      </c>
      <c r="B404" s="158">
        <v>45440.506249999999</v>
      </c>
      <c r="C404" t="s">
        <v>27</v>
      </c>
      <c r="D404" t="s">
        <v>25</v>
      </c>
      <c r="E404" t="s">
        <v>39</v>
      </c>
      <c r="F404" t="s">
        <v>41</v>
      </c>
      <c r="G404" s="114">
        <v>2384.5100000000002</v>
      </c>
      <c r="H404" t="s">
        <v>22</v>
      </c>
      <c r="J404">
        <v>3.2</v>
      </c>
      <c r="K404" s="114">
        <v>76.3</v>
      </c>
      <c r="L404" s="114">
        <v>2308.21</v>
      </c>
    </row>
    <row r="405" spans="1:12" x14ac:dyDescent="0.25">
      <c r="A405" t="s">
        <v>448</v>
      </c>
      <c r="B405" s="158">
        <v>45440.602083333331</v>
      </c>
      <c r="C405" t="s">
        <v>31</v>
      </c>
      <c r="D405" t="s">
        <v>32</v>
      </c>
      <c r="E405" t="s">
        <v>15</v>
      </c>
      <c r="F405" t="s">
        <v>21</v>
      </c>
      <c r="G405" s="114">
        <v>751.55</v>
      </c>
      <c r="H405" t="s">
        <v>22</v>
      </c>
      <c r="J405">
        <v>2.5</v>
      </c>
      <c r="K405" s="114">
        <v>18.79</v>
      </c>
      <c r="L405" s="114">
        <v>732.76</v>
      </c>
    </row>
    <row r="406" spans="1:12" x14ac:dyDescent="0.25">
      <c r="A406" t="s">
        <v>449</v>
      </c>
      <c r="B406" s="158">
        <v>45440.615277777775</v>
      </c>
      <c r="C406" t="s">
        <v>13</v>
      </c>
      <c r="D406" t="s">
        <v>14</v>
      </c>
      <c r="E406" t="s">
        <v>33</v>
      </c>
      <c r="F406" t="s">
        <v>45</v>
      </c>
      <c r="G406" s="114">
        <v>1695.8</v>
      </c>
      <c r="H406" t="s">
        <v>22</v>
      </c>
      <c r="J406">
        <v>1.9</v>
      </c>
      <c r="K406" s="114">
        <v>32.22</v>
      </c>
      <c r="L406" s="114">
        <v>1663.58</v>
      </c>
    </row>
    <row r="407" spans="1:12" x14ac:dyDescent="0.25">
      <c r="A407" t="s">
        <v>450</v>
      </c>
      <c r="B407" s="158">
        <v>45441.25277777778</v>
      </c>
      <c r="C407" t="s">
        <v>60</v>
      </c>
      <c r="D407" t="s">
        <v>25</v>
      </c>
      <c r="E407" t="s">
        <v>44</v>
      </c>
      <c r="F407" t="s">
        <v>45</v>
      </c>
      <c r="G407" s="114">
        <v>3226.91</v>
      </c>
      <c r="H407" t="s">
        <v>34</v>
      </c>
      <c r="I407" t="s">
        <v>100</v>
      </c>
      <c r="J407">
        <v>2.1</v>
      </c>
      <c r="K407" s="114">
        <v>0</v>
      </c>
      <c r="L407" s="114">
        <v>0</v>
      </c>
    </row>
    <row r="408" spans="1:12" x14ac:dyDescent="0.25">
      <c r="A408" t="s">
        <v>451</v>
      </c>
      <c r="B408" s="158">
        <v>45441.558333333334</v>
      </c>
      <c r="C408" t="s">
        <v>31</v>
      </c>
      <c r="D408" t="s">
        <v>32</v>
      </c>
      <c r="E408" t="s">
        <v>33</v>
      </c>
      <c r="F408" t="s">
        <v>29</v>
      </c>
      <c r="G408" s="114">
        <v>2864.08</v>
      </c>
      <c r="H408" t="s">
        <v>22</v>
      </c>
      <c r="J408">
        <v>1.9</v>
      </c>
      <c r="K408" s="114">
        <v>54.42</v>
      </c>
      <c r="L408" s="114">
        <v>2809.66</v>
      </c>
    </row>
    <row r="409" spans="1:12" x14ac:dyDescent="0.25">
      <c r="A409" t="s">
        <v>452</v>
      </c>
      <c r="B409" s="158">
        <v>45441.600694444445</v>
      </c>
      <c r="C409" t="s">
        <v>47</v>
      </c>
      <c r="D409" t="s">
        <v>25</v>
      </c>
      <c r="E409" t="s">
        <v>39</v>
      </c>
      <c r="F409" t="s">
        <v>16</v>
      </c>
      <c r="G409" s="114">
        <v>840.77</v>
      </c>
      <c r="H409" t="s">
        <v>22</v>
      </c>
      <c r="J409">
        <v>3.2</v>
      </c>
      <c r="K409" s="114">
        <v>26.9</v>
      </c>
      <c r="L409" s="114">
        <v>813.87</v>
      </c>
    </row>
    <row r="410" spans="1:12" x14ac:dyDescent="0.25">
      <c r="A410" t="s">
        <v>453</v>
      </c>
      <c r="B410" s="158">
        <v>45441.988888888889</v>
      </c>
      <c r="C410" t="s">
        <v>43</v>
      </c>
      <c r="D410" t="s">
        <v>25</v>
      </c>
      <c r="E410" t="s">
        <v>33</v>
      </c>
      <c r="F410" t="s">
        <v>29</v>
      </c>
      <c r="G410" s="114">
        <v>1636.17</v>
      </c>
      <c r="H410" t="s">
        <v>22</v>
      </c>
      <c r="J410">
        <v>1.9</v>
      </c>
      <c r="K410" s="114">
        <v>31.09</v>
      </c>
      <c r="L410" s="114">
        <v>1605.08</v>
      </c>
    </row>
    <row r="411" spans="1:12" x14ac:dyDescent="0.25">
      <c r="A411" t="s">
        <v>454</v>
      </c>
      <c r="B411" s="158">
        <v>45442.145833333336</v>
      </c>
      <c r="C411" t="s">
        <v>27</v>
      </c>
      <c r="D411" t="s">
        <v>25</v>
      </c>
      <c r="E411" t="s">
        <v>39</v>
      </c>
      <c r="F411" t="s">
        <v>45</v>
      </c>
      <c r="G411" s="114">
        <v>3816.96</v>
      </c>
      <c r="H411" t="s">
        <v>22</v>
      </c>
      <c r="J411">
        <v>3.2</v>
      </c>
      <c r="K411" s="114">
        <v>122.14</v>
      </c>
      <c r="L411" s="114">
        <v>3694.82</v>
      </c>
    </row>
    <row r="412" spans="1:12" x14ac:dyDescent="0.25">
      <c r="A412" t="s">
        <v>455</v>
      </c>
      <c r="B412" s="158">
        <v>45442.571527777778</v>
      </c>
      <c r="C412" t="s">
        <v>13</v>
      </c>
      <c r="D412" t="s">
        <v>14</v>
      </c>
      <c r="E412" t="s">
        <v>44</v>
      </c>
      <c r="F412" t="s">
        <v>16</v>
      </c>
      <c r="G412" s="114">
        <v>1740.03</v>
      </c>
      <c r="H412" t="s">
        <v>34</v>
      </c>
      <c r="I412" t="s">
        <v>78</v>
      </c>
      <c r="J412">
        <v>2.1</v>
      </c>
      <c r="K412" s="114">
        <v>0</v>
      </c>
      <c r="L412" s="114">
        <v>0</v>
      </c>
    </row>
    <row r="413" spans="1:12" x14ac:dyDescent="0.25">
      <c r="A413" t="s">
        <v>456</v>
      </c>
      <c r="B413" s="158">
        <v>45443.356944444444</v>
      </c>
      <c r="C413" t="s">
        <v>37</v>
      </c>
      <c r="D413" t="s">
        <v>38</v>
      </c>
      <c r="E413" t="s">
        <v>15</v>
      </c>
      <c r="F413" t="s">
        <v>41</v>
      </c>
      <c r="G413" s="114">
        <v>3881.83</v>
      </c>
      <c r="H413" t="s">
        <v>17</v>
      </c>
      <c r="J413">
        <v>2.5</v>
      </c>
      <c r="K413" s="114">
        <v>0</v>
      </c>
      <c r="L413" s="114">
        <v>0</v>
      </c>
    </row>
    <row r="414" spans="1:12" x14ac:dyDescent="0.25">
      <c r="A414" t="s">
        <v>457</v>
      </c>
      <c r="B414" s="158">
        <v>45443.449305555558</v>
      </c>
      <c r="C414" t="s">
        <v>58</v>
      </c>
      <c r="D414" t="s">
        <v>25</v>
      </c>
      <c r="E414" t="s">
        <v>44</v>
      </c>
      <c r="F414" t="s">
        <v>29</v>
      </c>
      <c r="G414" s="114">
        <v>669.48</v>
      </c>
      <c r="H414" t="s">
        <v>17</v>
      </c>
      <c r="J414">
        <v>2.1</v>
      </c>
      <c r="K414" s="114">
        <v>0</v>
      </c>
      <c r="L414" s="114">
        <v>0</v>
      </c>
    </row>
    <row r="415" spans="1:12" x14ac:dyDescent="0.25">
      <c r="A415" t="s">
        <v>458</v>
      </c>
      <c r="B415" s="158">
        <v>45443.835416666669</v>
      </c>
      <c r="C415" t="s">
        <v>24</v>
      </c>
      <c r="D415" t="s">
        <v>25</v>
      </c>
      <c r="E415" t="s">
        <v>15</v>
      </c>
      <c r="F415" t="s">
        <v>16</v>
      </c>
      <c r="G415" s="114">
        <v>572.59</v>
      </c>
      <c r="H415" t="s">
        <v>34</v>
      </c>
      <c r="I415" t="s">
        <v>100</v>
      </c>
      <c r="J415">
        <v>2.5</v>
      </c>
      <c r="K415" s="114">
        <v>0</v>
      </c>
      <c r="L415" s="114">
        <v>0</v>
      </c>
    </row>
    <row r="416" spans="1:12" x14ac:dyDescent="0.25">
      <c r="A416" t="s">
        <v>459</v>
      </c>
      <c r="B416" s="158">
        <v>45444.061111111114</v>
      </c>
      <c r="C416" t="s">
        <v>47</v>
      </c>
      <c r="D416" t="s">
        <v>25</v>
      </c>
      <c r="E416" t="s">
        <v>39</v>
      </c>
      <c r="F416" t="s">
        <v>41</v>
      </c>
      <c r="G416" s="114">
        <v>2200.96</v>
      </c>
      <c r="H416" t="s">
        <v>22</v>
      </c>
      <c r="J416">
        <v>3.2</v>
      </c>
      <c r="K416" s="114">
        <v>70.430000000000007</v>
      </c>
      <c r="L416" s="114">
        <v>2130.5300000000002</v>
      </c>
    </row>
    <row r="417" spans="1:12" x14ac:dyDescent="0.25">
      <c r="A417" t="s">
        <v>460</v>
      </c>
      <c r="B417" s="158">
        <v>45444.775694444441</v>
      </c>
      <c r="C417" t="s">
        <v>43</v>
      </c>
      <c r="D417" t="s">
        <v>25</v>
      </c>
      <c r="E417" t="s">
        <v>44</v>
      </c>
      <c r="F417" t="s">
        <v>16</v>
      </c>
      <c r="G417" s="114">
        <v>2697.52</v>
      </c>
      <c r="H417" t="s">
        <v>22</v>
      </c>
      <c r="J417">
        <v>2.1</v>
      </c>
      <c r="K417" s="114">
        <v>56.65</v>
      </c>
      <c r="L417" s="114">
        <v>2640.87</v>
      </c>
    </row>
    <row r="418" spans="1:12" x14ac:dyDescent="0.25">
      <c r="A418" t="s">
        <v>461</v>
      </c>
      <c r="B418" s="158">
        <v>45444.879166666666</v>
      </c>
      <c r="C418" t="s">
        <v>43</v>
      </c>
      <c r="D418" t="s">
        <v>25</v>
      </c>
      <c r="E418" t="s">
        <v>28</v>
      </c>
      <c r="F418" t="s">
        <v>21</v>
      </c>
      <c r="G418" s="114">
        <v>4941.92</v>
      </c>
      <c r="H418" t="s">
        <v>22</v>
      </c>
      <c r="J418">
        <v>2.9</v>
      </c>
      <c r="K418" s="114">
        <v>143.32</v>
      </c>
      <c r="L418" s="114">
        <v>4798.6000000000004</v>
      </c>
    </row>
    <row r="419" spans="1:12" x14ac:dyDescent="0.25">
      <c r="A419" t="s">
        <v>462</v>
      </c>
      <c r="B419" s="158">
        <v>45445.239583333336</v>
      </c>
      <c r="C419" t="s">
        <v>27</v>
      </c>
      <c r="D419" t="s">
        <v>25</v>
      </c>
      <c r="E419" t="s">
        <v>39</v>
      </c>
      <c r="F419" t="s">
        <v>45</v>
      </c>
      <c r="G419" s="114">
        <v>1128.97</v>
      </c>
      <c r="H419" t="s">
        <v>22</v>
      </c>
      <c r="J419">
        <v>3.2</v>
      </c>
      <c r="K419" s="114">
        <v>36.130000000000003</v>
      </c>
      <c r="L419" s="114">
        <v>1092.8399999999999</v>
      </c>
    </row>
    <row r="420" spans="1:12" x14ac:dyDescent="0.25">
      <c r="A420" t="s">
        <v>463</v>
      </c>
      <c r="B420" s="158">
        <v>45445.357638888891</v>
      </c>
      <c r="C420" t="s">
        <v>19</v>
      </c>
      <c r="D420" t="s">
        <v>20</v>
      </c>
      <c r="E420" t="s">
        <v>28</v>
      </c>
      <c r="F420" t="s">
        <v>16</v>
      </c>
      <c r="G420" s="114">
        <v>503.88</v>
      </c>
      <c r="H420" t="s">
        <v>22</v>
      </c>
      <c r="J420">
        <v>2.9</v>
      </c>
      <c r="K420" s="114">
        <v>14.61</v>
      </c>
      <c r="L420" s="114">
        <v>489.27</v>
      </c>
    </row>
    <row r="421" spans="1:12" x14ac:dyDescent="0.25">
      <c r="A421" t="s">
        <v>464</v>
      </c>
      <c r="B421" s="158">
        <v>45445.404166666667</v>
      </c>
      <c r="C421" t="s">
        <v>19</v>
      </c>
      <c r="D421" t="s">
        <v>20</v>
      </c>
      <c r="E421" t="s">
        <v>44</v>
      </c>
      <c r="F421" t="s">
        <v>16</v>
      </c>
      <c r="G421" s="114">
        <v>2603.14</v>
      </c>
      <c r="H421" t="s">
        <v>22</v>
      </c>
      <c r="J421">
        <v>2.1</v>
      </c>
      <c r="K421" s="114">
        <v>54.67</v>
      </c>
      <c r="L421" s="114">
        <v>2548.4699999999998</v>
      </c>
    </row>
    <row r="422" spans="1:12" x14ac:dyDescent="0.25">
      <c r="A422" t="s">
        <v>465</v>
      </c>
      <c r="B422" s="158">
        <v>45445.443055555559</v>
      </c>
      <c r="C422" t="s">
        <v>24</v>
      </c>
      <c r="D422" t="s">
        <v>25</v>
      </c>
      <c r="E422" t="s">
        <v>15</v>
      </c>
      <c r="F422" t="s">
        <v>21</v>
      </c>
      <c r="G422" s="114">
        <v>896.41</v>
      </c>
      <c r="H422" t="s">
        <v>34</v>
      </c>
      <c r="I422" t="s">
        <v>62</v>
      </c>
      <c r="J422">
        <v>2.5</v>
      </c>
      <c r="K422" s="114">
        <v>0</v>
      </c>
      <c r="L422" s="114">
        <v>0</v>
      </c>
    </row>
    <row r="423" spans="1:12" x14ac:dyDescent="0.25">
      <c r="A423" t="s">
        <v>466</v>
      </c>
      <c r="B423" s="158">
        <v>45445.870138888888</v>
      </c>
      <c r="C423" t="s">
        <v>43</v>
      </c>
      <c r="D423" t="s">
        <v>25</v>
      </c>
      <c r="E423" t="s">
        <v>28</v>
      </c>
      <c r="F423" t="s">
        <v>21</v>
      </c>
      <c r="G423" s="114">
        <v>2091.61</v>
      </c>
      <c r="H423" t="s">
        <v>34</v>
      </c>
      <c r="I423" t="s">
        <v>35</v>
      </c>
      <c r="J423">
        <v>2.9</v>
      </c>
      <c r="K423" s="114">
        <v>0</v>
      </c>
      <c r="L423" s="114">
        <v>0</v>
      </c>
    </row>
    <row r="424" spans="1:12" x14ac:dyDescent="0.25">
      <c r="A424" t="s">
        <v>467</v>
      </c>
      <c r="B424" s="158">
        <v>45446.03125</v>
      </c>
      <c r="C424" t="s">
        <v>13</v>
      </c>
      <c r="D424" t="s">
        <v>14</v>
      </c>
      <c r="E424" t="s">
        <v>44</v>
      </c>
      <c r="F424" t="s">
        <v>21</v>
      </c>
      <c r="G424" s="114">
        <v>237.12</v>
      </c>
      <c r="H424" t="s">
        <v>22</v>
      </c>
      <c r="J424">
        <v>2.1</v>
      </c>
      <c r="K424" s="114">
        <v>4.9800000000000004</v>
      </c>
      <c r="L424" s="114">
        <v>232.14</v>
      </c>
    </row>
    <row r="425" spans="1:12" x14ac:dyDescent="0.25">
      <c r="A425" t="s">
        <v>468</v>
      </c>
      <c r="B425" s="158">
        <v>45446.124305555553</v>
      </c>
      <c r="C425" t="s">
        <v>24</v>
      </c>
      <c r="D425" t="s">
        <v>25</v>
      </c>
      <c r="E425" t="s">
        <v>39</v>
      </c>
      <c r="F425" t="s">
        <v>29</v>
      </c>
      <c r="G425" s="114">
        <v>4298.49</v>
      </c>
      <c r="H425" t="s">
        <v>22</v>
      </c>
      <c r="J425">
        <v>3.2</v>
      </c>
      <c r="K425" s="114">
        <v>137.55000000000001</v>
      </c>
      <c r="L425" s="114">
        <v>4160.9399999999996</v>
      </c>
    </row>
    <row r="426" spans="1:12" x14ac:dyDescent="0.25">
      <c r="A426" t="s">
        <v>469</v>
      </c>
      <c r="B426" s="158">
        <v>45446.195833333331</v>
      </c>
      <c r="C426" t="s">
        <v>13</v>
      </c>
      <c r="D426" t="s">
        <v>14</v>
      </c>
      <c r="E426" t="s">
        <v>44</v>
      </c>
      <c r="F426" t="s">
        <v>16</v>
      </c>
      <c r="G426" s="114">
        <v>1509.5</v>
      </c>
      <c r="H426" t="s">
        <v>22</v>
      </c>
      <c r="J426">
        <v>2.1</v>
      </c>
      <c r="K426" s="114">
        <v>31.7</v>
      </c>
      <c r="L426" s="114">
        <v>1477.8</v>
      </c>
    </row>
    <row r="427" spans="1:12" x14ac:dyDescent="0.25">
      <c r="A427" t="s">
        <v>470</v>
      </c>
      <c r="B427" s="158">
        <v>45446.272916666669</v>
      </c>
      <c r="C427" t="s">
        <v>47</v>
      </c>
      <c r="D427" t="s">
        <v>25</v>
      </c>
      <c r="E427" t="s">
        <v>44</v>
      </c>
      <c r="F427" t="s">
        <v>41</v>
      </c>
      <c r="G427" s="114">
        <v>1877.34</v>
      </c>
      <c r="H427" t="s">
        <v>22</v>
      </c>
      <c r="J427">
        <v>2.1</v>
      </c>
      <c r="K427" s="114">
        <v>39.42</v>
      </c>
      <c r="L427" s="114">
        <v>1837.92</v>
      </c>
    </row>
    <row r="428" spans="1:12" x14ac:dyDescent="0.25">
      <c r="A428" t="s">
        <v>471</v>
      </c>
      <c r="B428" s="158">
        <v>45447.629861111112</v>
      </c>
      <c r="C428" t="s">
        <v>31</v>
      </c>
      <c r="D428" t="s">
        <v>32</v>
      </c>
      <c r="E428" t="s">
        <v>44</v>
      </c>
      <c r="F428" t="s">
        <v>45</v>
      </c>
      <c r="G428" s="114">
        <v>686.96</v>
      </c>
      <c r="H428" t="s">
        <v>34</v>
      </c>
      <c r="I428" t="s">
        <v>62</v>
      </c>
      <c r="J428">
        <v>2.1</v>
      </c>
      <c r="K428" s="114">
        <v>0</v>
      </c>
      <c r="L428" s="114">
        <v>0</v>
      </c>
    </row>
    <row r="429" spans="1:12" x14ac:dyDescent="0.25">
      <c r="A429" t="s">
        <v>472</v>
      </c>
      <c r="B429" s="158">
        <v>45448.900694444441</v>
      </c>
      <c r="C429" t="s">
        <v>37</v>
      </c>
      <c r="D429" t="s">
        <v>38</v>
      </c>
      <c r="E429" t="s">
        <v>15</v>
      </c>
      <c r="F429" t="s">
        <v>45</v>
      </c>
      <c r="G429" s="114">
        <v>2659.3</v>
      </c>
      <c r="H429" t="s">
        <v>34</v>
      </c>
      <c r="I429" t="s">
        <v>100</v>
      </c>
      <c r="J429">
        <v>2.5</v>
      </c>
      <c r="K429" s="114">
        <v>0</v>
      </c>
      <c r="L429" s="114">
        <v>0</v>
      </c>
    </row>
    <row r="430" spans="1:12" x14ac:dyDescent="0.25">
      <c r="A430" t="s">
        <v>473</v>
      </c>
      <c r="B430" s="158">
        <v>45449.175694444442</v>
      </c>
      <c r="C430" t="s">
        <v>27</v>
      </c>
      <c r="D430" t="s">
        <v>25</v>
      </c>
      <c r="E430" t="s">
        <v>28</v>
      </c>
      <c r="F430" t="s">
        <v>16</v>
      </c>
      <c r="G430" s="114">
        <v>3457.18</v>
      </c>
      <c r="H430" t="s">
        <v>22</v>
      </c>
      <c r="J430">
        <v>2.9</v>
      </c>
      <c r="K430" s="114">
        <v>100.26</v>
      </c>
      <c r="L430" s="114">
        <v>3356.92</v>
      </c>
    </row>
    <row r="431" spans="1:12" x14ac:dyDescent="0.25">
      <c r="A431" t="s">
        <v>474</v>
      </c>
      <c r="B431" s="158">
        <v>45449.497916666667</v>
      </c>
      <c r="C431" t="s">
        <v>60</v>
      </c>
      <c r="D431" t="s">
        <v>25</v>
      </c>
      <c r="E431" t="s">
        <v>39</v>
      </c>
      <c r="F431" t="s">
        <v>29</v>
      </c>
      <c r="G431" s="114">
        <v>3413.51</v>
      </c>
      <c r="H431" t="s">
        <v>22</v>
      </c>
      <c r="J431">
        <v>3.2</v>
      </c>
      <c r="K431" s="114">
        <v>109.23</v>
      </c>
      <c r="L431" s="114">
        <v>3304.28</v>
      </c>
    </row>
    <row r="432" spans="1:12" x14ac:dyDescent="0.25">
      <c r="A432" t="s">
        <v>475</v>
      </c>
      <c r="B432" s="158">
        <v>45449.50277777778</v>
      </c>
      <c r="C432" t="s">
        <v>19</v>
      </c>
      <c r="D432" t="s">
        <v>20</v>
      </c>
      <c r="E432" t="s">
        <v>28</v>
      </c>
      <c r="F432" t="s">
        <v>45</v>
      </c>
      <c r="G432" s="114">
        <v>3859</v>
      </c>
      <c r="H432" t="s">
        <v>34</v>
      </c>
      <c r="I432" t="s">
        <v>62</v>
      </c>
      <c r="J432">
        <v>2.9</v>
      </c>
      <c r="K432" s="114">
        <v>0</v>
      </c>
      <c r="L432" s="114">
        <v>0</v>
      </c>
    </row>
    <row r="433" spans="1:12" x14ac:dyDescent="0.25">
      <c r="A433" t="s">
        <v>476</v>
      </c>
      <c r="B433" s="158">
        <v>45449.625694444447</v>
      </c>
      <c r="C433" t="s">
        <v>31</v>
      </c>
      <c r="D433" t="s">
        <v>32</v>
      </c>
      <c r="E433" t="s">
        <v>15</v>
      </c>
      <c r="F433" t="s">
        <v>45</v>
      </c>
      <c r="G433" s="114">
        <v>2291.58</v>
      </c>
      <c r="H433" t="s">
        <v>22</v>
      </c>
      <c r="J433">
        <v>2.5</v>
      </c>
      <c r="K433" s="114">
        <v>57.29</v>
      </c>
      <c r="L433" s="114">
        <v>2234.29</v>
      </c>
    </row>
    <row r="434" spans="1:12" x14ac:dyDescent="0.25">
      <c r="A434" t="s">
        <v>477</v>
      </c>
      <c r="B434" s="158">
        <v>45450.105555555558</v>
      </c>
      <c r="C434" t="s">
        <v>24</v>
      </c>
      <c r="D434" t="s">
        <v>25</v>
      </c>
      <c r="E434" t="s">
        <v>44</v>
      </c>
      <c r="F434" t="s">
        <v>45</v>
      </c>
      <c r="G434" s="114">
        <v>1640.48</v>
      </c>
      <c r="H434" t="s">
        <v>17</v>
      </c>
      <c r="J434">
        <v>2.1</v>
      </c>
      <c r="K434" s="114">
        <v>0</v>
      </c>
      <c r="L434" s="114">
        <v>0</v>
      </c>
    </row>
    <row r="435" spans="1:12" x14ac:dyDescent="0.25">
      <c r="A435" t="s">
        <v>478</v>
      </c>
      <c r="B435" s="158">
        <v>45450.217361111114</v>
      </c>
      <c r="C435" t="s">
        <v>37</v>
      </c>
      <c r="D435" t="s">
        <v>38</v>
      </c>
      <c r="E435" t="s">
        <v>15</v>
      </c>
      <c r="F435" t="s">
        <v>29</v>
      </c>
      <c r="G435" s="114">
        <v>1140.45</v>
      </c>
      <c r="H435" t="s">
        <v>22</v>
      </c>
      <c r="J435">
        <v>2.5</v>
      </c>
      <c r="K435" s="114">
        <v>28.51</v>
      </c>
      <c r="L435" s="114">
        <v>1111.94</v>
      </c>
    </row>
    <row r="436" spans="1:12" x14ac:dyDescent="0.25">
      <c r="A436" t="s">
        <v>479</v>
      </c>
      <c r="B436" s="158">
        <v>45450.935416666667</v>
      </c>
      <c r="C436" t="s">
        <v>24</v>
      </c>
      <c r="D436" t="s">
        <v>25</v>
      </c>
      <c r="E436" t="s">
        <v>28</v>
      </c>
      <c r="F436" t="s">
        <v>29</v>
      </c>
      <c r="G436" s="114">
        <v>440.2</v>
      </c>
      <c r="H436" t="s">
        <v>34</v>
      </c>
      <c r="I436" t="s">
        <v>78</v>
      </c>
      <c r="J436">
        <v>2.9</v>
      </c>
      <c r="K436" s="114">
        <v>0</v>
      </c>
      <c r="L436" s="114">
        <v>0</v>
      </c>
    </row>
    <row r="437" spans="1:12" x14ac:dyDescent="0.25">
      <c r="A437" t="s">
        <v>480</v>
      </c>
      <c r="B437" s="158">
        <v>45450.947916666664</v>
      </c>
      <c r="C437" t="s">
        <v>13</v>
      </c>
      <c r="D437" t="s">
        <v>14</v>
      </c>
      <c r="E437" t="s">
        <v>44</v>
      </c>
      <c r="F437" t="s">
        <v>16</v>
      </c>
      <c r="G437" s="114">
        <v>4978.47</v>
      </c>
      <c r="H437" t="s">
        <v>22</v>
      </c>
      <c r="J437">
        <v>2.1</v>
      </c>
      <c r="K437" s="114">
        <v>104.55</v>
      </c>
      <c r="L437" s="114">
        <v>4873.92</v>
      </c>
    </row>
    <row r="438" spans="1:12" x14ac:dyDescent="0.25">
      <c r="A438" t="s">
        <v>481</v>
      </c>
      <c r="B438" s="158">
        <v>45451.932638888888</v>
      </c>
      <c r="C438" t="s">
        <v>27</v>
      </c>
      <c r="D438" t="s">
        <v>25</v>
      </c>
      <c r="E438" t="s">
        <v>15</v>
      </c>
      <c r="F438" t="s">
        <v>45</v>
      </c>
      <c r="G438" s="114">
        <v>2620.37</v>
      </c>
      <c r="H438" t="s">
        <v>22</v>
      </c>
      <c r="J438">
        <v>2.5</v>
      </c>
      <c r="K438" s="114">
        <v>65.510000000000005</v>
      </c>
      <c r="L438" s="114">
        <v>2554.86</v>
      </c>
    </row>
    <row r="439" spans="1:12" x14ac:dyDescent="0.25">
      <c r="A439" t="s">
        <v>482</v>
      </c>
      <c r="B439" s="158">
        <v>45453.083333333336</v>
      </c>
      <c r="C439" t="s">
        <v>43</v>
      </c>
      <c r="D439" t="s">
        <v>25</v>
      </c>
      <c r="E439" t="s">
        <v>33</v>
      </c>
      <c r="F439" t="s">
        <v>45</v>
      </c>
      <c r="G439" s="114">
        <v>4980.5200000000004</v>
      </c>
      <c r="H439" t="s">
        <v>22</v>
      </c>
      <c r="J439">
        <v>1.9</v>
      </c>
      <c r="K439" s="114">
        <v>94.63</v>
      </c>
      <c r="L439" s="114">
        <v>4885.8900000000003</v>
      </c>
    </row>
    <row r="440" spans="1:12" x14ac:dyDescent="0.25">
      <c r="A440" t="s">
        <v>483</v>
      </c>
      <c r="B440" s="158">
        <v>45453.146527777775</v>
      </c>
      <c r="C440" t="s">
        <v>60</v>
      </c>
      <c r="D440" t="s">
        <v>25</v>
      </c>
      <c r="E440" t="s">
        <v>28</v>
      </c>
      <c r="F440" t="s">
        <v>16</v>
      </c>
      <c r="G440" s="114">
        <v>2067.5700000000002</v>
      </c>
      <c r="H440" t="s">
        <v>17</v>
      </c>
      <c r="J440">
        <v>2.9</v>
      </c>
      <c r="K440" s="114">
        <v>0</v>
      </c>
      <c r="L440" s="114">
        <v>0</v>
      </c>
    </row>
    <row r="441" spans="1:12" x14ac:dyDescent="0.25">
      <c r="A441" t="s">
        <v>484</v>
      </c>
      <c r="B441" s="158">
        <v>45453.157638888886</v>
      </c>
      <c r="C441" t="s">
        <v>13</v>
      </c>
      <c r="D441" t="s">
        <v>14</v>
      </c>
      <c r="E441" t="s">
        <v>44</v>
      </c>
      <c r="F441" t="s">
        <v>29</v>
      </c>
      <c r="G441" s="114">
        <v>1089.76</v>
      </c>
      <c r="H441" t="s">
        <v>34</v>
      </c>
      <c r="I441" t="s">
        <v>62</v>
      </c>
      <c r="J441">
        <v>2.1</v>
      </c>
      <c r="K441" s="114">
        <v>0</v>
      </c>
      <c r="L441" s="114">
        <v>0</v>
      </c>
    </row>
    <row r="442" spans="1:12" x14ac:dyDescent="0.25">
      <c r="A442" t="s">
        <v>485</v>
      </c>
      <c r="B442" s="158">
        <v>45453.722222222219</v>
      </c>
      <c r="C442" t="s">
        <v>37</v>
      </c>
      <c r="D442" t="s">
        <v>38</v>
      </c>
      <c r="E442" t="s">
        <v>15</v>
      </c>
      <c r="F442" t="s">
        <v>16</v>
      </c>
      <c r="G442" s="114">
        <v>4132.51</v>
      </c>
      <c r="H442" t="s">
        <v>22</v>
      </c>
      <c r="J442">
        <v>2.5</v>
      </c>
      <c r="K442" s="114">
        <v>103.31</v>
      </c>
      <c r="L442" s="114">
        <v>4029.2</v>
      </c>
    </row>
    <row r="443" spans="1:12" x14ac:dyDescent="0.25">
      <c r="A443" t="s">
        <v>486</v>
      </c>
      <c r="B443" s="158">
        <v>45453.910416666666</v>
      </c>
      <c r="C443" t="s">
        <v>47</v>
      </c>
      <c r="D443" t="s">
        <v>25</v>
      </c>
      <c r="E443" t="s">
        <v>39</v>
      </c>
      <c r="F443" t="s">
        <v>21</v>
      </c>
      <c r="G443" s="114">
        <v>488.21</v>
      </c>
      <c r="H443" t="s">
        <v>17</v>
      </c>
      <c r="J443">
        <v>3.2</v>
      </c>
      <c r="K443" s="114">
        <v>0</v>
      </c>
      <c r="L443" s="114">
        <v>0</v>
      </c>
    </row>
    <row r="444" spans="1:12" x14ac:dyDescent="0.25">
      <c r="A444" t="s">
        <v>487</v>
      </c>
      <c r="B444" s="158">
        <v>45453.916666666664</v>
      </c>
      <c r="C444" t="s">
        <v>60</v>
      </c>
      <c r="D444" t="s">
        <v>25</v>
      </c>
      <c r="E444" t="s">
        <v>44</v>
      </c>
      <c r="F444" t="s">
        <v>16</v>
      </c>
      <c r="G444" s="114">
        <v>2909.23</v>
      </c>
      <c r="H444" t="s">
        <v>22</v>
      </c>
      <c r="J444">
        <v>2.1</v>
      </c>
      <c r="K444" s="114">
        <v>61.09</v>
      </c>
      <c r="L444" s="114">
        <v>2848.14</v>
      </c>
    </row>
    <row r="445" spans="1:12" x14ac:dyDescent="0.25">
      <c r="A445" t="s">
        <v>488</v>
      </c>
      <c r="B445" s="158">
        <v>45454.107638888891</v>
      </c>
      <c r="C445" t="s">
        <v>13</v>
      </c>
      <c r="D445" t="s">
        <v>14</v>
      </c>
      <c r="E445" t="s">
        <v>28</v>
      </c>
      <c r="F445" t="s">
        <v>29</v>
      </c>
      <c r="G445" s="114">
        <v>1594.81</v>
      </c>
      <c r="H445" t="s">
        <v>22</v>
      </c>
      <c r="J445">
        <v>2.9</v>
      </c>
      <c r="K445" s="114">
        <v>46.25</v>
      </c>
      <c r="L445" s="114">
        <v>1548.56</v>
      </c>
    </row>
    <row r="446" spans="1:12" x14ac:dyDescent="0.25">
      <c r="A446" t="s">
        <v>489</v>
      </c>
      <c r="B446" s="158">
        <v>45454.595138888886</v>
      </c>
      <c r="C446" t="s">
        <v>24</v>
      </c>
      <c r="D446" t="s">
        <v>25</v>
      </c>
      <c r="E446" t="s">
        <v>28</v>
      </c>
      <c r="F446" t="s">
        <v>29</v>
      </c>
      <c r="G446" s="114">
        <v>689.2</v>
      </c>
      <c r="H446" t="s">
        <v>17</v>
      </c>
      <c r="J446">
        <v>2.9</v>
      </c>
      <c r="K446" s="114">
        <v>0</v>
      </c>
      <c r="L446" s="114">
        <v>0</v>
      </c>
    </row>
    <row r="447" spans="1:12" x14ac:dyDescent="0.25">
      <c r="A447" t="s">
        <v>490</v>
      </c>
      <c r="B447" s="158">
        <v>45454.755555555559</v>
      </c>
      <c r="C447" t="s">
        <v>43</v>
      </c>
      <c r="D447" t="s">
        <v>25</v>
      </c>
      <c r="E447" t="s">
        <v>39</v>
      </c>
      <c r="F447" t="s">
        <v>21</v>
      </c>
      <c r="G447" s="114">
        <v>930.64</v>
      </c>
      <c r="H447" t="s">
        <v>17</v>
      </c>
      <c r="J447">
        <v>3.2</v>
      </c>
      <c r="K447" s="114">
        <v>0</v>
      </c>
      <c r="L447" s="114">
        <v>0</v>
      </c>
    </row>
    <row r="448" spans="1:12" x14ac:dyDescent="0.25">
      <c r="A448" t="s">
        <v>491</v>
      </c>
      <c r="B448" s="158">
        <v>45455.55972222222</v>
      </c>
      <c r="C448" t="s">
        <v>47</v>
      </c>
      <c r="D448" t="s">
        <v>25</v>
      </c>
      <c r="E448" t="s">
        <v>15</v>
      </c>
      <c r="F448" t="s">
        <v>21</v>
      </c>
      <c r="G448" s="114">
        <v>768.27</v>
      </c>
      <c r="H448" t="s">
        <v>22</v>
      </c>
      <c r="J448">
        <v>2.5</v>
      </c>
      <c r="K448" s="114">
        <v>19.21</v>
      </c>
      <c r="L448" s="114">
        <v>749.06</v>
      </c>
    </row>
    <row r="449" spans="1:12" x14ac:dyDescent="0.25">
      <c r="A449" t="s">
        <v>492</v>
      </c>
      <c r="B449" s="158">
        <v>45455.604166666664</v>
      </c>
      <c r="C449" t="s">
        <v>27</v>
      </c>
      <c r="D449" t="s">
        <v>25</v>
      </c>
      <c r="E449" t="s">
        <v>39</v>
      </c>
      <c r="F449" t="s">
        <v>29</v>
      </c>
      <c r="G449" s="114">
        <v>3440.46</v>
      </c>
      <c r="H449" t="s">
        <v>22</v>
      </c>
      <c r="J449">
        <v>3.2</v>
      </c>
      <c r="K449" s="114">
        <v>110.09</v>
      </c>
      <c r="L449" s="114">
        <v>3330.37</v>
      </c>
    </row>
    <row r="450" spans="1:12" x14ac:dyDescent="0.25">
      <c r="A450" t="s">
        <v>493</v>
      </c>
      <c r="B450" s="158">
        <v>45455.73333333333</v>
      </c>
      <c r="C450" t="s">
        <v>27</v>
      </c>
      <c r="D450" t="s">
        <v>25</v>
      </c>
      <c r="E450" t="s">
        <v>39</v>
      </c>
      <c r="F450" t="s">
        <v>45</v>
      </c>
      <c r="G450" s="114">
        <v>3491.87</v>
      </c>
      <c r="H450" t="s">
        <v>22</v>
      </c>
      <c r="J450">
        <v>3.2</v>
      </c>
      <c r="K450" s="114">
        <v>111.74</v>
      </c>
      <c r="L450" s="114">
        <v>3380.13</v>
      </c>
    </row>
    <row r="451" spans="1:12" x14ac:dyDescent="0.25">
      <c r="A451" t="s">
        <v>494</v>
      </c>
      <c r="B451" s="158">
        <v>45455.93472222222</v>
      </c>
      <c r="C451" t="s">
        <v>58</v>
      </c>
      <c r="D451" t="s">
        <v>25</v>
      </c>
      <c r="E451" t="s">
        <v>44</v>
      </c>
      <c r="F451" t="s">
        <v>21</v>
      </c>
      <c r="G451" s="114">
        <v>1888.54</v>
      </c>
      <c r="H451" t="s">
        <v>17</v>
      </c>
      <c r="J451">
        <v>2.1</v>
      </c>
      <c r="K451" s="114">
        <v>0</v>
      </c>
      <c r="L451" s="114">
        <v>0</v>
      </c>
    </row>
    <row r="452" spans="1:12" x14ac:dyDescent="0.25">
      <c r="A452" t="s">
        <v>495</v>
      </c>
      <c r="B452" s="158">
        <v>45456.283333333333</v>
      </c>
      <c r="C452" t="s">
        <v>60</v>
      </c>
      <c r="D452" t="s">
        <v>25</v>
      </c>
      <c r="E452" t="s">
        <v>33</v>
      </c>
      <c r="F452" t="s">
        <v>29</v>
      </c>
      <c r="G452" s="114">
        <v>1684.16</v>
      </c>
      <c r="H452" t="s">
        <v>22</v>
      </c>
      <c r="J452">
        <v>1.9</v>
      </c>
      <c r="K452" s="114">
        <v>32</v>
      </c>
      <c r="L452" s="114">
        <v>1652.16</v>
      </c>
    </row>
    <row r="453" spans="1:12" x14ac:dyDescent="0.25">
      <c r="A453" t="s">
        <v>496</v>
      </c>
      <c r="B453" s="158">
        <v>45456.675000000003</v>
      </c>
      <c r="C453" t="s">
        <v>60</v>
      </c>
      <c r="D453" t="s">
        <v>25</v>
      </c>
      <c r="E453" t="s">
        <v>28</v>
      </c>
      <c r="F453" t="s">
        <v>29</v>
      </c>
      <c r="G453" s="114">
        <v>1139.07</v>
      </c>
      <c r="H453" t="s">
        <v>22</v>
      </c>
      <c r="J453">
        <v>2.9</v>
      </c>
      <c r="K453" s="114">
        <v>33.03</v>
      </c>
      <c r="L453" s="114">
        <v>1106.04</v>
      </c>
    </row>
    <row r="454" spans="1:12" x14ac:dyDescent="0.25">
      <c r="A454" t="s">
        <v>497</v>
      </c>
      <c r="B454" s="158">
        <v>45457.328472222223</v>
      </c>
      <c r="C454" t="s">
        <v>31</v>
      </c>
      <c r="D454" t="s">
        <v>32</v>
      </c>
      <c r="E454" t="s">
        <v>39</v>
      </c>
      <c r="F454" t="s">
        <v>16</v>
      </c>
      <c r="G454" s="114">
        <v>1226.8800000000001</v>
      </c>
      <c r="H454" t="s">
        <v>34</v>
      </c>
      <c r="I454" t="s">
        <v>100</v>
      </c>
      <c r="J454">
        <v>3.2</v>
      </c>
      <c r="K454" s="114">
        <v>0</v>
      </c>
      <c r="L454" s="114">
        <v>0</v>
      </c>
    </row>
    <row r="455" spans="1:12" x14ac:dyDescent="0.25">
      <c r="A455" t="s">
        <v>498</v>
      </c>
      <c r="B455" s="158">
        <v>45458.054166666669</v>
      </c>
      <c r="C455" t="s">
        <v>37</v>
      </c>
      <c r="D455" t="s">
        <v>38</v>
      </c>
      <c r="E455" t="s">
        <v>39</v>
      </c>
      <c r="F455" t="s">
        <v>16</v>
      </c>
      <c r="G455" s="114">
        <v>736.39</v>
      </c>
      <c r="H455" t="s">
        <v>17</v>
      </c>
      <c r="J455">
        <v>3.2</v>
      </c>
      <c r="K455" s="114">
        <v>0</v>
      </c>
      <c r="L455" s="114">
        <v>0</v>
      </c>
    </row>
    <row r="456" spans="1:12" x14ac:dyDescent="0.25">
      <c r="A456" t="s">
        <v>499</v>
      </c>
      <c r="B456" s="158">
        <v>45458.632638888892</v>
      </c>
      <c r="C456" t="s">
        <v>43</v>
      </c>
      <c r="D456" t="s">
        <v>25</v>
      </c>
      <c r="E456" t="s">
        <v>33</v>
      </c>
      <c r="F456" t="s">
        <v>41</v>
      </c>
      <c r="G456" s="114">
        <v>2980.2</v>
      </c>
      <c r="H456" t="s">
        <v>22</v>
      </c>
      <c r="J456">
        <v>1.9</v>
      </c>
      <c r="K456" s="114">
        <v>56.62</v>
      </c>
      <c r="L456" s="114">
        <v>2923.58</v>
      </c>
    </row>
    <row r="457" spans="1:12" x14ac:dyDescent="0.25">
      <c r="A457" t="s">
        <v>500</v>
      </c>
      <c r="B457" s="158">
        <v>45458.990277777775</v>
      </c>
      <c r="C457" t="s">
        <v>19</v>
      </c>
      <c r="D457" t="s">
        <v>20</v>
      </c>
      <c r="E457" t="s">
        <v>44</v>
      </c>
      <c r="F457" t="s">
        <v>29</v>
      </c>
      <c r="G457" s="114">
        <v>4317.76</v>
      </c>
      <c r="H457" t="s">
        <v>22</v>
      </c>
      <c r="J457">
        <v>2.1</v>
      </c>
      <c r="K457" s="114">
        <v>90.67</v>
      </c>
      <c r="L457" s="114">
        <v>4227.09</v>
      </c>
    </row>
    <row r="458" spans="1:12" x14ac:dyDescent="0.25">
      <c r="A458" t="s">
        <v>501</v>
      </c>
      <c r="B458" s="158">
        <v>45459.027777777781</v>
      </c>
      <c r="C458" t="s">
        <v>47</v>
      </c>
      <c r="D458" t="s">
        <v>25</v>
      </c>
      <c r="E458" t="s">
        <v>15</v>
      </c>
      <c r="F458" t="s">
        <v>16</v>
      </c>
      <c r="G458" s="114">
        <v>1148.4100000000001</v>
      </c>
      <c r="H458" t="s">
        <v>17</v>
      </c>
      <c r="J458">
        <v>2.5</v>
      </c>
      <c r="K458" s="114">
        <v>0</v>
      </c>
      <c r="L458" s="114">
        <v>0</v>
      </c>
    </row>
    <row r="459" spans="1:12" x14ac:dyDescent="0.25">
      <c r="A459" t="s">
        <v>502</v>
      </c>
      <c r="B459" s="158">
        <v>45459.567361111112</v>
      </c>
      <c r="C459" t="s">
        <v>24</v>
      </c>
      <c r="D459" t="s">
        <v>25</v>
      </c>
      <c r="E459" t="s">
        <v>33</v>
      </c>
      <c r="F459" t="s">
        <v>29</v>
      </c>
      <c r="G459" s="114">
        <v>4569.6400000000003</v>
      </c>
      <c r="H459" t="s">
        <v>22</v>
      </c>
      <c r="J459">
        <v>1.9</v>
      </c>
      <c r="K459" s="114">
        <v>86.82</v>
      </c>
      <c r="L459" s="114">
        <v>4482.82</v>
      </c>
    </row>
    <row r="460" spans="1:12" x14ac:dyDescent="0.25">
      <c r="A460" t="s">
        <v>503</v>
      </c>
      <c r="B460" s="158">
        <v>45459.692361111112</v>
      </c>
      <c r="C460" t="s">
        <v>24</v>
      </c>
      <c r="D460" t="s">
        <v>25</v>
      </c>
      <c r="E460" t="s">
        <v>39</v>
      </c>
      <c r="F460" t="s">
        <v>16</v>
      </c>
      <c r="G460" s="114">
        <v>498.96</v>
      </c>
      <c r="H460" t="s">
        <v>34</v>
      </c>
      <c r="I460" t="s">
        <v>55</v>
      </c>
      <c r="J460">
        <v>3.2</v>
      </c>
      <c r="K460" s="114">
        <v>0</v>
      </c>
      <c r="L460" s="114">
        <v>0</v>
      </c>
    </row>
    <row r="461" spans="1:12" x14ac:dyDescent="0.25">
      <c r="A461" t="s">
        <v>504</v>
      </c>
      <c r="B461" s="158">
        <v>45460.149305555555</v>
      </c>
      <c r="C461" t="s">
        <v>58</v>
      </c>
      <c r="D461" t="s">
        <v>25</v>
      </c>
      <c r="E461" t="s">
        <v>39</v>
      </c>
      <c r="F461" t="s">
        <v>21</v>
      </c>
      <c r="G461" s="114">
        <v>3621.43</v>
      </c>
      <c r="H461" t="s">
        <v>17</v>
      </c>
      <c r="J461">
        <v>3.2</v>
      </c>
      <c r="K461" s="114">
        <v>0</v>
      </c>
      <c r="L461" s="114">
        <v>0</v>
      </c>
    </row>
    <row r="462" spans="1:12" x14ac:dyDescent="0.25">
      <c r="A462" t="s">
        <v>505</v>
      </c>
      <c r="B462" s="158">
        <v>45461.291666666664</v>
      </c>
      <c r="C462" t="s">
        <v>60</v>
      </c>
      <c r="D462" t="s">
        <v>25</v>
      </c>
      <c r="E462" t="s">
        <v>28</v>
      </c>
      <c r="F462" t="s">
        <v>41</v>
      </c>
      <c r="G462" s="114">
        <v>4177.8100000000004</v>
      </c>
      <c r="H462" t="s">
        <v>34</v>
      </c>
      <c r="I462" t="s">
        <v>35</v>
      </c>
      <c r="J462">
        <v>2.9</v>
      </c>
      <c r="K462" s="114">
        <v>0</v>
      </c>
      <c r="L462" s="114">
        <v>0</v>
      </c>
    </row>
    <row r="463" spans="1:12" x14ac:dyDescent="0.25">
      <c r="A463" t="s">
        <v>506</v>
      </c>
      <c r="B463" s="158">
        <v>45461.488888888889</v>
      </c>
      <c r="C463" t="s">
        <v>43</v>
      </c>
      <c r="D463" t="s">
        <v>25</v>
      </c>
      <c r="E463" t="s">
        <v>39</v>
      </c>
      <c r="F463" t="s">
        <v>21</v>
      </c>
      <c r="G463" s="114">
        <v>1264.5</v>
      </c>
      <c r="H463" t="s">
        <v>22</v>
      </c>
      <c r="J463">
        <v>3.2</v>
      </c>
      <c r="K463" s="114">
        <v>40.46</v>
      </c>
      <c r="L463" s="114">
        <v>1224.04</v>
      </c>
    </row>
    <row r="464" spans="1:12" x14ac:dyDescent="0.25">
      <c r="A464" t="s">
        <v>507</v>
      </c>
      <c r="B464" s="158">
        <v>45462.109027777777</v>
      </c>
      <c r="C464" t="s">
        <v>27</v>
      </c>
      <c r="D464" t="s">
        <v>25</v>
      </c>
      <c r="E464" t="s">
        <v>39</v>
      </c>
      <c r="F464" t="s">
        <v>21</v>
      </c>
      <c r="G464" s="114">
        <v>4838.8100000000004</v>
      </c>
      <c r="H464" t="s">
        <v>34</v>
      </c>
      <c r="I464" t="s">
        <v>35</v>
      </c>
      <c r="J464">
        <v>3.2</v>
      </c>
      <c r="K464" s="114">
        <v>0</v>
      </c>
      <c r="L464" s="114">
        <v>0</v>
      </c>
    </row>
    <row r="465" spans="1:12" x14ac:dyDescent="0.25">
      <c r="A465" t="s">
        <v>508</v>
      </c>
      <c r="B465" s="158">
        <v>45462.642361111109</v>
      </c>
      <c r="C465" t="s">
        <v>27</v>
      </c>
      <c r="D465" t="s">
        <v>25</v>
      </c>
      <c r="E465" t="s">
        <v>28</v>
      </c>
      <c r="F465" t="s">
        <v>21</v>
      </c>
      <c r="G465" s="114">
        <v>3424.71</v>
      </c>
      <c r="H465" t="s">
        <v>22</v>
      </c>
      <c r="J465">
        <v>2.9</v>
      </c>
      <c r="K465" s="114">
        <v>99.32</v>
      </c>
      <c r="L465" s="114">
        <v>3325.39</v>
      </c>
    </row>
    <row r="466" spans="1:12" x14ac:dyDescent="0.25">
      <c r="A466" t="s">
        <v>509</v>
      </c>
      <c r="B466" s="158">
        <v>45463.395138888889</v>
      </c>
      <c r="C466" t="s">
        <v>13</v>
      </c>
      <c r="D466" t="s">
        <v>14</v>
      </c>
      <c r="E466" t="s">
        <v>33</v>
      </c>
      <c r="F466" t="s">
        <v>16</v>
      </c>
      <c r="G466" s="114">
        <v>4447.41</v>
      </c>
      <c r="H466" t="s">
        <v>22</v>
      </c>
      <c r="J466">
        <v>1.9</v>
      </c>
      <c r="K466" s="114">
        <v>84.5</v>
      </c>
      <c r="L466" s="114">
        <v>4362.91</v>
      </c>
    </row>
    <row r="467" spans="1:12" x14ac:dyDescent="0.25">
      <c r="A467" t="s">
        <v>510</v>
      </c>
      <c r="B467" s="158">
        <v>45465.145138888889</v>
      </c>
      <c r="C467" t="s">
        <v>31</v>
      </c>
      <c r="D467" t="s">
        <v>32</v>
      </c>
      <c r="E467" t="s">
        <v>44</v>
      </c>
      <c r="F467" t="s">
        <v>29</v>
      </c>
      <c r="G467" s="114">
        <v>4302.1000000000004</v>
      </c>
      <c r="H467" t="s">
        <v>34</v>
      </c>
      <c r="I467" t="s">
        <v>100</v>
      </c>
      <c r="J467">
        <v>2.1</v>
      </c>
      <c r="K467" s="114">
        <v>0</v>
      </c>
      <c r="L467" s="114">
        <v>0</v>
      </c>
    </row>
    <row r="468" spans="1:12" x14ac:dyDescent="0.25">
      <c r="A468" t="s">
        <v>511</v>
      </c>
      <c r="B468" s="158">
        <v>45465.73541666667</v>
      </c>
      <c r="C468" t="s">
        <v>60</v>
      </c>
      <c r="D468" t="s">
        <v>25</v>
      </c>
      <c r="E468" t="s">
        <v>44</v>
      </c>
      <c r="F468" t="s">
        <v>16</v>
      </c>
      <c r="G468" s="114">
        <v>4823.21</v>
      </c>
      <c r="H468" t="s">
        <v>22</v>
      </c>
      <c r="J468">
        <v>2.1</v>
      </c>
      <c r="K468" s="114">
        <v>101.29</v>
      </c>
      <c r="L468" s="114">
        <v>4721.92</v>
      </c>
    </row>
    <row r="469" spans="1:12" x14ac:dyDescent="0.25">
      <c r="A469" t="s">
        <v>512</v>
      </c>
      <c r="B469" s="158">
        <v>45466.224305555559</v>
      </c>
      <c r="C469" t="s">
        <v>47</v>
      </c>
      <c r="D469" t="s">
        <v>25</v>
      </c>
      <c r="E469" t="s">
        <v>39</v>
      </c>
      <c r="F469" t="s">
        <v>45</v>
      </c>
      <c r="G469" s="114">
        <v>2985.16</v>
      </c>
      <c r="H469" t="s">
        <v>22</v>
      </c>
      <c r="J469">
        <v>3.2</v>
      </c>
      <c r="K469" s="114">
        <v>95.53</v>
      </c>
      <c r="L469" s="114">
        <v>2889.63</v>
      </c>
    </row>
    <row r="470" spans="1:12" x14ac:dyDescent="0.25">
      <c r="A470" t="s">
        <v>513</v>
      </c>
      <c r="B470" s="158">
        <v>45466.495138888888</v>
      </c>
      <c r="C470" t="s">
        <v>47</v>
      </c>
      <c r="D470" t="s">
        <v>25</v>
      </c>
      <c r="E470" t="s">
        <v>33</v>
      </c>
      <c r="F470" t="s">
        <v>45</v>
      </c>
      <c r="G470" s="114">
        <v>1875.71</v>
      </c>
      <c r="H470" t="s">
        <v>22</v>
      </c>
      <c r="J470">
        <v>1.9</v>
      </c>
      <c r="K470" s="114">
        <v>35.64</v>
      </c>
      <c r="L470" s="114">
        <v>1840.07</v>
      </c>
    </row>
    <row r="471" spans="1:12" x14ac:dyDescent="0.25">
      <c r="A471" t="s">
        <v>514</v>
      </c>
      <c r="B471" s="158">
        <v>45466.79791666667</v>
      </c>
      <c r="C471" t="s">
        <v>37</v>
      </c>
      <c r="D471" t="s">
        <v>38</v>
      </c>
      <c r="E471" t="s">
        <v>39</v>
      </c>
      <c r="F471" t="s">
        <v>21</v>
      </c>
      <c r="G471" s="114">
        <v>4877.12</v>
      </c>
      <c r="H471" t="s">
        <v>22</v>
      </c>
      <c r="J471">
        <v>3.2</v>
      </c>
      <c r="K471" s="114">
        <v>156.07</v>
      </c>
      <c r="L471" s="114">
        <v>4721.05</v>
      </c>
    </row>
    <row r="472" spans="1:12" x14ac:dyDescent="0.25">
      <c r="A472" t="s">
        <v>515</v>
      </c>
      <c r="B472" s="158">
        <v>45467.861805555556</v>
      </c>
      <c r="C472" t="s">
        <v>37</v>
      </c>
      <c r="D472" t="s">
        <v>38</v>
      </c>
      <c r="E472" t="s">
        <v>15</v>
      </c>
      <c r="F472" t="s">
        <v>45</v>
      </c>
      <c r="G472" s="114">
        <v>3332.62</v>
      </c>
      <c r="H472" t="s">
        <v>17</v>
      </c>
      <c r="J472">
        <v>2.5</v>
      </c>
      <c r="K472" s="114">
        <v>0</v>
      </c>
      <c r="L472" s="114">
        <v>0</v>
      </c>
    </row>
    <row r="473" spans="1:12" x14ac:dyDescent="0.25">
      <c r="A473" t="s">
        <v>516</v>
      </c>
      <c r="B473" s="158">
        <v>45468.018055555556</v>
      </c>
      <c r="C473" t="s">
        <v>31</v>
      </c>
      <c r="D473" t="s">
        <v>32</v>
      </c>
      <c r="E473" t="s">
        <v>39</v>
      </c>
      <c r="F473" t="s">
        <v>45</v>
      </c>
      <c r="G473" s="114">
        <v>1002.8</v>
      </c>
      <c r="H473" t="s">
        <v>17</v>
      </c>
      <c r="J473">
        <v>3.2</v>
      </c>
      <c r="K473" s="114">
        <v>0</v>
      </c>
      <c r="L473" s="114">
        <v>0</v>
      </c>
    </row>
    <row r="474" spans="1:12" x14ac:dyDescent="0.25">
      <c r="A474" t="s">
        <v>517</v>
      </c>
      <c r="B474" s="158">
        <v>45468.109027777777</v>
      </c>
      <c r="C474" t="s">
        <v>60</v>
      </c>
      <c r="D474" t="s">
        <v>25</v>
      </c>
      <c r="E474" t="s">
        <v>33</v>
      </c>
      <c r="F474" t="s">
        <v>45</v>
      </c>
      <c r="G474" s="114">
        <v>2026.95</v>
      </c>
      <c r="H474" t="s">
        <v>22</v>
      </c>
      <c r="J474">
        <v>1.9</v>
      </c>
      <c r="K474" s="114">
        <v>38.51</v>
      </c>
      <c r="L474" s="114">
        <v>1988.44</v>
      </c>
    </row>
    <row r="475" spans="1:12" x14ac:dyDescent="0.25">
      <c r="A475" t="s">
        <v>518</v>
      </c>
      <c r="B475" s="158">
        <v>45468.323611111111</v>
      </c>
      <c r="C475" t="s">
        <v>31</v>
      </c>
      <c r="D475" t="s">
        <v>32</v>
      </c>
      <c r="E475" t="s">
        <v>33</v>
      </c>
      <c r="F475" t="s">
        <v>21</v>
      </c>
      <c r="G475" s="114">
        <v>675.71</v>
      </c>
      <c r="H475" t="s">
        <v>22</v>
      </c>
      <c r="J475">
        <v>1.9</v>
      </c>
      <c r="K475" s="114">
        <v>12.84</v>
      </c>
      <c r="L475" s="114">
        <v>662.87</v>
      </c>
    </row>
    <row r="476" spans="1:12" x14ac:dyDescent="0.25">
      <c r="A476" t="s">
        <v>519</v>
      </c>
      <c r="B476" s="158">
        <v>45468.395833333336</v>
      </c>
      <c r="C476" t="s">
        <v>13</v>
      </c>
      <c r="D476" t="s">
        <v>14</v>
      </c>
      <c r="E476" t="s">
        <v>28</v>
      </c>
      <c r="F476" t="s">
        <v>16</v>
      </c>
      <c r="G476" s="114">
        <v>4735.32</v>
      </c>
      <c r="H476" t="s">
        <v>34</v>
      </c>
      <c r="I476" t="s">
        <v>62</v>
      </c>
      <c r="J476">
        <v>2.9</v>
      </c>
      <c r="K476" s="114">
        <v>0</v>
      </c>
      <c r="L476" s="114">
        <v>0</v>
      </c>
    </row>
    <row r="477" spans="1:12" x14ac:dyDescent="0.25">
      <c r="A477" t="s">
        <v>520</v>
      </c>
      <c r="B477" s="158">
        <v>45469.904861111114</v>
      </c>
      <c r="C477" t="s">
        <v>58</v>
      </c>
      <c r="D477" t="s">
        <v>25</v>
      </c>
      <c r="E477" t="s">
        <v>44</v>
      </c>
      <c r="F477" t="s">
        <v>45</v>
      </c>
      <c r="G477" s="114">
        <v>4461.3900000000003</v>
      </c>
      <c r="H477" t="s">
        <v>17</v>
      </c>
      <c r="J477">
        <v>2.1</v>
      </c>
      <c r="K477" s="114">
        <v>0</v>
      </c>
      <c r="L477" s="114">
        <v>0</v>
      </c>
    </row>
    <row r="478" spans="1:12" x14ac:dyDescent="0.25">
      <c r="A478" t="s">
        <v>521</v>
      </c>
      <c r="B478" s="158">
        <v>45471.368055555555</v>
      </c>
      <c r="C478" t="s">
        <v>31</v>
      </c>
      <c r="D478" t="s">
        <v>32</v>
      </c>
      <c r="E478" t="s">
        <v>28</v>
      </c>
      <c r="F478" t="s">
        <v>41</v>
      </c>
      <c r="G478" s="114">
        <v>1935.83</v>
      </c>
      <c r="H478" t="s">
        <v>34</v>
      </c>
      <c r="I478" t="s">
        <v>35</v>
      </c>
      <c r="J478">
        <v>2.9</v>
      </c>
      <c r="K478" s="114">
        <v>0</v>
      </c>
      <c r="L478" s="114">
        <v>0</v>
      </c>
    </row>
    <row r="479" spans="1:12" x14ac:dyDescent="0.25">
      <c r="A479" t="s">
        <v>522</v>
      </c>
      <c r="B479" s="158">
        <v>45471.394444444442</v>
      </c>
      <c r="C479" t="s">
        <v>13</v>
      </c>
      <c r="D479" t="s">
        <v>14</v>
      </c>
      <c r="E479" t="s">
        <v>28</v>
      </c>
      <c r="F479" t="s">
        <v>29</v>
      </c>
      <c r="G479" s="114">
        <v>3641.99</v>
      </c>
      <c r="H479" t="s">
        <v>34</v>
      </c>
      <c r="I479" t="s">
        <v>55</v>
      </c>
      <c r="J479">
        <v>2.9</v>
      </c>
      <c r="K479" s="114">
        <v>0</v>
      </c>
      <c r="L479" s="114">
        <v>0</v>
      </c>
    </row>
    <row r="480" spans="1:12" x14ac:dyDescent="0.25">
      <c r="A480" t="s">
        <v>523</v>
      </c>
      <c r="B480" s="158">
        <v>45471.785416666666</v>
      </c>
      <c r="C480" t="s">
        <v>19</v>
      </c>
      <c r="D480" t="s">
        <v>20</v>
      </c>
      <c r="E480" t="s">
        <v>28</v>
      </c>
      <c r="F480" t="s">
        <v>16</v>
      </c>
      <c r="G480" s="114">
        <v>678.08</v>
      </c>
      <c r="H480" t="s">
        <v>34</v>
      </c>
      <c r="I480" t="s">
        <v>35</v>
      </c>
      <c r="J480">
        <v>2.9</v>
      </c>
      <c r="K480" s="114">
        <v>0</v>
      </c>
      <c r="L480" s="114">
        <v>0</v>
      </c>
    </row>
    <row r="481" spans="1:12" x14ac:dyDescent="0.25">
      <c r="A481" t="s">
        <v>524</v>
      </c>
      <c r="B481" s="158">
        <v>45471.827777777777</v>
      </c>
      <c r="C481" t="s">
        <v>43</v>
      </c>
      <c r="D481" t="s">
        <v>25</v>
      </c>
      <c r="E481" t="s">
        <v>33</v>
      </c>
      <c r="F481" t="s">
        <v>29</v>
      </c>
      <c r="G481" s="114">
        <v>2207.91</v>
      </c>
      <c r="H481" t="s">
        <v>22</v>
      </c>
      <c r="J481">
        <v>1.9</v>
      </c>
      <c r="K481" s="114">
        <v>41.95</v>
      </c>
      <c r="L481" s="114">
        <v>2165.96</v>
      </c>
    </row>
    <row r="482" spans="1:12" x14ac:dyDescent="0.25">
      <c r="A482" t="s">
        <v>525</v>
      </c>
      <c r="B482" s="158">
        <v>45472.387499999997</v>
      </c>
      <c r="C482" t="s">
        <v>27</v>
      </c>
      <c r="D482" t="s">
        <v>25</v>
      </c>
      <c r="E482" t="s">
        <v>28</v>
      </c>
      <c r="F482" t="s">
        <v>45</v>
      </c>
      <c r="G482" s="114">
        <v>3749.63</v>
      </c>
      <c r="H482" t="s">
        <v>17</v>
      </c>
      <c r="J482">
        <v>2.9</v>
      </c>
      <c r="K482" s="114">
        <v>0</v>
      </c>
      <c r="L482" s="114">
        <v>0</v>
      </c>
    </row>
    <row r="483" spans="1:12" x14ac:dyDescent="0.25">
      <c r="A483" t="s">
        <v>526</v>
      </c>
      <c r="B483" s="158">
        <v>45472.568055555559</v>
      </c>
      <c r="C483" t="s">
        <v>13</v>
      </c>
      <c r="D483" t="s">
        <v>14</v>
      </c>
      <c r="E483" t="s">
        <v>39</v>
      </c>
      <c r="F483" t="s">
        <v>16</v>
      </c>
      <c r="G483" s="114">
        <v>3479.1</v>
      </c>
      <c r="H483" t="s">
        <v>22</v>
      </c>
      <c r="J483">
        <v>3.2</v>
      </c>
      <c r="K483" s="114">
        <v>111.33</v>
      </c>
      <c r="L483" s="114">
        <v>3367.77</v>
      </c>
    </row>
    <row r="484" spans="1:12" x14ac:dyDescent="0.25">
      <c r="A484" t="s">
        <v>527</v>
      </c>
      <c r="B484" s="158">
        <v>45472.729166666664</v>
      </c>
      <c r="C484" t="s">
        <v>19</v>
      </c>
      <c r="D484" t="s">
        <v>20</v>
      </c>
      <c r="E484" t="s">
        <v>33</v>
      </c>
      <c r="F484" t="s">
        <v>16</v>
      </c>
      <c r="G484" s="114">
        <v>3374.47</v>
      </c>
      <c r="H484" t="s">
        <v>17</v>
      </c>
      <c r="J484">
        <v>1.9</v>
      </c>
      <c r="K484" s="114">
        <v>0</v>
      </c>
      <c r="L484" s="114">
        <v>0</v>
      </c>
    </row>
    <row r="485" spans="1:12" x14ac:dyDescent="0.25">
      <c r="A485" t="s">
        <v>528</v>
      </c>
      <c r="B485" s="158">
        <v>45472.892361111109</v>
      </c>
      <c r="C485" t="s">
        <v>58</v>
      </c>
      <c r="D485" t="s">
        <v>25</v>
      </c>
      <c r="E485" t="s">
        <v>33</v>
      </c>
      <c r="F485" t="s">
        <v>29</v>
      </c>
      <c r="G485" s="114">
        <v>2593.54</v>
      </c>
      <c r="H485" t="s">
        <v>22</v>
      </c>
      <c r="J485">
        <v>1.9</v>
      </c>
      <c r="K485" s="114">
        <v>49.28</v>
      </c>
      <c r="L485" s="114">
        <v>2544.2600000000002</v>
      </c>
    </row>
    <row r="486" spans="1:12" x14ac:dyDescent="0.25">
      <c r="A486" t="s">
        <v>529</v>
      </c>
      <c r="B486" s="158">
        <v>45473.089583333334</v>
      </c>
      <c r="C486" t="s">
        <v>47</v>
      </c>
      <c r="D486" t="s">
        <v>25</v>
      </c>
      <c r="E486" t="s">
        <v>28</v>
      </c>
      <c r="F486" t="s">
        <v>21</v>
      </c>
      <c r="G486" s="114">
        <v>4918.26</v>
      </c>
      <c r="H486" t="s">
        <v>17</v>
      </c>
      <c r="J486">
        <v>2.9</v>
      </c>
      <c r="K486" s="114">
        <v>0</v>
      </c>
      <c r="L486" s="114">
        <v>0</v>
      </c>
    </row>
  </sheetData>
  <pageMargins left="0.7" right="0.7" top="0.75" bottom="0.75" header="0.3" footer="0.3"/>
  <pageSetup paperSize="9" scale="36"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0959F-4372-4BF4-905C-7E7FBF9EABC6}">
  <sheetPr>
    <tabColor theme="7" tint="0.39997558519241921"/>
  </sheetPr>
  <dimension ref="A1:L516"/>
  <sheetViews>
    <sheetView view="pageBreakPreview" zoomScale="145" zoomScaleNormal="100" zoomScaleSheetLayoutView="145" workbookViewId="0">
      <pane ySplit="1" topLeftCell="A2" activePane="bottomLeft" state="frozen"/>
      <selection pane="bottomLeft" activeCell="O502" sqref="O502"/>
    </sheetView>
  </sheetViews>
  <sheetFormatPr defaultRowHeight="15" x14ac:dyDescent="0.25"/>
  <cols>
    <col min="1" max="1" width="15.85546875" bestFit="1" customWidth="1"/>
    <col min="2" max="2" width="16.28515625" bestFit="1" customWidth="1"/>
    <col min="3" max="3" width="7.140625" bestFit="1" customWidth="1"/>
    <col min="4" max="4" width="11.140625" bestFit="1" customWidth="1"/>
    <col min="5" max="5" width="14.5703125" bestFit="1" customWidth="1"/>
    <col min="6" max="6" width="18.85546875" bestFit="1" customWidth="1"/>
    <col min="7" max="7" width="10.42578125" bestFit="1" customWidth="1"/>
    <col min="8" max="8" width="8.7109375" bestFit="1" customWidth="1"/>
    <col min="9" max="9" width="17" bestFit="1" customWidth="1"/>
    <col min="10" max="10" width="8.5703125" bestFit="1" customWidth="1"/>
    <col min="11" max="12" width="14.1406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530</v>
      </c>
      <c r="B2" s="158">
        <v>45474.097222222219</v>
      </c>
      <c r="C2" t="s">
        <v>60</v>
      </c>
      <c r="D2" t="s">
        <v>25</v>
      </c>
      <c r="E2" t="s">
        <v>33</v>
      </c>
      <c r="F2" t="s">
        <v>29</v>
      </c>
      <c r="G2" s="114">
        <v>2921.32</v>
      </c>
      <c r="H2" t="s">
        <v>22</v>
      </c>
      <c r="J2">
        <v>1.9</v>
      </c>
      <c r="K2" s="114">
        <v>55.51</v>
      </c>
      <c r="L2" s="114">
        <v>2865.81</v>
      </c>
    </row>
    <row r="3" spans="1:12" x14ac:dyDescent="0.25">
      <c r="A3" t="s">
        <v>531</v>
      </c>
      <c r="B3" s="158">
        <v>45474.881944444445</v>
      </c>
      <c r="C3" t="s">
        <v>27</v>
      </c>
      <c r="D3" t="s">
        <v>25</v>
      </c>
      <c r="E3" t="s">
        <v>33</v>
      </c>
      <c r="F3" t="s">
        <v>41</v>
      </c>
      <c r="G3" s="114">
        <v>4036.01</v>
      </c>
      <c r="H3" t="s">
        <v>22</v>
      </c>
      <c r="J3">
        <v>1.9</v>
      </c>
      <c r="K3" s="114">
        <v>76.680000000000007</v>
      </c>
      <c r="L3" s="114">
        <v>3959.33</v>
      </c>
    </row>
    <row r="4" spans="1:12" x14ac:dyDescent="0.25">
      <c r="A4" t="s">
        <v>532</v>
      </c>
      <c r="B4" s="158">
        <v>45475.61041666667</v>
      </c>
      <c r="C4" t="s">
        <v>47</v>
      </c>
      <c r="D4" t="s">
        <v>25</v>
      </c>
      <c r="E4" t="s">
        <v>28</v>
      </c>
      <c r="F4" t="s">
        <v>21</v>
      </c>
      <c r="G4" s="114">
        <v>4076.67</v>
      </c>
      <c r="H4" t="s">
        <v>22</v>
      </c>
      <c r="J4">
        <v>2.9</v>
      </c>
      <c r="K4" s="114">
        <v>118.22</v>
      </c>
      <c r="L4" s="114">
        <v>3958.45</v>
      </c>
    </row>
    <row r="5" spans="1:12" x14ac:dyDescent="0.25">
      <c r="A5" t="s">
        <v>533</v>
      </c>
      <c r="B5" s="158">
        <v>45475.879166666666</v>
      </c>
      <c r="C5" t="s">
        <v>37</v>
      </c>
      <c r="D5" t="s">
        <v>38</v>
      </c>
      <c r="E5" t="s">
        <v>33</v>
      </c>
      <c r="F5" t="s">
        <v>29</v>
      </c>
      <c r="G5" s="114">
        <v>2453.2199999999998</v>
      </c>
      <c r="H5" t="s">
        <v>34</v>
      </c>
      <c r="I5" t="s">
        <v>55</v>
      </c>
      <c r="J5">
        <v>1.9</v>
      </c>
      <c r="K5" s="114">
        <v>0</v>
      </c>
      <c r="L5" s="114">
        <v>0</v>
      </c>
    </row>
    <row r="6" spans="1:12" x14ac:dyDescent="0.25">
      <c r="A6" t="s">
        <v>534</v>
      </c>
      <c r="B6" s="158">
        <v>45475.93472222222</v>
      </c>
      <c r="C6" t="s">
        <v>47</v>
      </c>
      <c r="D6" t="s">
        <v>25</v>
      </c>
      <c r="E6" t="s">
        <v>44</v>
      </c>
      <c r="F6" t="s">
        <v>41</v>
      </c>
      <c r="G6" s="114">
        <v>2745.21</v>
      </c>
      <c r="H6" t="s">
        <v>22</v>
      </c>
      <c r="J6">
        <v>2.1</v>
      </c>
      <c r="K6" s="114">
        <v>57.65</v>
      </c>
      <c r="L6" s="114">
        <v>2687.56</v>
      </c>
    </row>
    <row r="7" spans="1:12" x14ac:dyDescent="0.25">
      <c r="A7" t="s">
        <v>535</v>
      </c>
      <c r="B7" s="158">
        <v>45476.54791666667</v>
      </c>
      <c r="C7" t="s">
        <v>47</v>
      </c>
      <c r="D7" t="s">
        <v>25</v>
      </c>
      <c r="E7" t="s">
        <v>44</v>
      </c>
      <c r="F7" t="s">
        <v>29</v>
      </c>
      <c r="G7" s="114">
        <v>67.900000000000006</v>
      </c>
      <c r="H7" t="s">
        <v>22</v>
      </c>
      <c r="J7">
        <v>2.1</v>
      </c>
      <c r="K7" s="114">
        <v>1.43</v>
      </c>
      <c r="L7" s="114">
        <v>66.47</v>
      </c>
    </row>
    <row r="8" spans="1:12" x14ac:dyDescent="0.25">
      <c r="A8" t="s">
        <v>536</v>
      </c>
      <c r="B8" s="158">
        <v>45477.692361111112</v>
      </c>
      <c r="C8" t="s">
        <v>31</v>
      </c>
      <c r="D8" t="s">
        <v>32</v>
      </c>
      <c r="E8" t="s">
        <v>15</v>
      </c>
      <c r="F8" t="s">
        <v>45</v>
      </c>
      <c r="G8" s="114">
        <v>1115.53</v>
      </c>
      <c r="H8" t="s">
        <v>17</v>
      </c>
      <c r="J8">
        <v>2.5</v>
      </c>
      <c r="K8" s="114">
        <v>0</v>
      </c>
      <c r="L8" s="114">
        <v>0</v>
      </c>
    </row>
    <row r="9" spans="1:12" x14ac:dyDescent="0.25">
      <c r="A9" t="s">
        <v>537</v>
      </c>
      <c r="B9" s="158">
        <v>45477.822916666664</v>
      </c>
      <c r="C9" t="s">
        <v>31</v>
      </c>
      <c r="D9" t="s">
        <v>32</v>
      </c>
      <c r="E9" t="s">
        <v>44</v>
      </c>
      <c r="F9" t="s">
        <v>16</v>
      </c>
      <c r="G9" s="114">
        <v>4057.75</v>
      </c>
      <c r="H9" t="s">
        <v>22</v>
      </c>
      <c r="J9">
        <v>2.1</v>
      </c>
      <c r="K9" s="114">
        <v>85.21</v>
      </c>
      <c r="L9" s="114">
        <v>3972.54</v>
      </c>
    </row>
    <row r="10" spans="1:12" x14ac:dyDescent="0.25">
      <c r="A10" t="s">
        <v>538</v>
      </c>
      <c r="B10" s="158">
        <v>45478.077777777777</v>
      </c>
      <c r="C10" t="s">
        <v>24</v>
      </c>
      <c r="D10" t="s">
        <v>25</v>
      </c>
      <c r="E10" t="s">
        <v>15</v>
      </c>
      <c r="F10" t="s">
        <v>21</v>
      </c>
      <c r="G10" s="114">
        <v>2805.15</v>
      </c>
      <c r="H10" t="s">
        <v>17</v>
      </c>
      <c r="J10">
        <v>2.5</v>
      </c>
      <c r="K10" s="114">
        <v>0</v>
      </c>
      <c r="L10" s="114">
        <v>0</v>
      </c>
    </row>
    <row r="11" spans="1:12" x14ac:dyDescent="0.25">
      <c r="A11" t="s">
        <v>539</v>
      </c>
      <c r="B11" s="158">
        <v>45478.165972222225</v>
      </c>
      <c r="C11" t="s">
        <v>19</v>
      </c>
      <c r="D11" t="s">
        <v>20</v>
      </c>
      <c r="E11" t="s">
        <v>44</v>
      </c>
      <c r="F11" t="s">
        <v>45</v>
      </c>
      <c r="G11" s="114">
        <v>4986.3500000000004</v>
      </c>
      <c r="H11" t="s">
        <v>22</v>
      </c>
      <c r="J11">
        <v>2.1</v>
      </c>
      <c r="K11" s="114">
        <v>104.71</v>
      </c>
      <c r="L11" s="114">
        <v>4881.6400000000003</v>
      </c>
    </row>
    <row r="12" spans="1:12" x14ac:dyDescent="0.25">
      <c r="A12" t="s">
        <v>540</v>
      </c>
      <c r="B12" s="158">
        <v>45478.589583333334</v>
      </c>
      <c r="C12" t="s">
        <v>24</v>
      </c>
      <c r="D12" t="s">
        <v>25</v>
      </c>
      <c r="E12" t="s">
        <v>44</v>
      </c>
      <c r="F12" t="s">
        <v>21</v>
      </c>
      <c r="G12" s="114">
        <v>4222.17</v>
      </c>
      <c r="H12" t="s">
        <v>34</v>
      </c>
      <c r="I12" t="s">
        <v>62</v>
      </c>
      <c r="J12">
        <v>2.1</v>
      </c>
      <c r="K12" s="114">
        <v>0</v>
      </c>
      <c r="L12" s="114">
        <v>0</v>
      </c>
    </row>
    <row r="13" spans="1:12" x14ac:dyDescent="0.25">
      <c r="A13" t="s">
        <v>541</v>
      </c>
      <c r="B13" s="158">
        <v>45479.059027777781</v>
      </c>
      <c r="C13" t="s">
        <v>60</v>
      </c>
      <c r="D13" t="s">
        <v>25</v>
      </c>
      <c r="E13" t="s">
        <v>33</v>
      </c>
      <c r="F13" t="s">
        <v>45</v>
      </c>
      <c r="G13" s="114">
        <v>981.33</v>
      </c>
      <c r="H13" t="s">
        <v>17</v>
      </c>
      <c r="J13">
        <v>1.9</v>
      </c>
      <c r="K13" s="114">
        <v>0</v>
      </c>
      <c r="L13" s="114">
        <v>0</v>
      </c>
    </row>
    <row r="14" spans="1:12" x14ac:dyDescent="0.25">
      <c r="A14" t="s">
        <v>542</v>
      </c>
      <c r="B14" s="158">
        <v>45479.118055555555</v>
      </c>
      <c r="C14" t="s">
        <v>58</v>
      </c>
      <c r="D14" t="s">
        <v>25</v>
      </c>
      <c r="E14" t="s">
        <v>28</v>
      </c>
      <c r="F14" t="s">
        <v>21</v>
      </c>
      <c r="G14" s="114">
        <v>2687.5</v>
      </c>
      <c r="H14" t="s">
        <v>34</v>
      </c>
      <c r="I14" t="s">
        <v>62</v>
      </c>
      <c r="J14">
        <v>2.9</v>
      </c>
      <c r="K14" s="114">
        <v>0</v>
      </c>
      <c r="L14" s="114">
        <v>0</v>
      </c>
    </row>
    <row r="15" spans="1:12" x14ac:dyDescent="0.25">
      <c r="A15" t="s">
        <v>543</v>
      </c>
      <c r="B15" s="158">
        <v>45479.229861111111</v>
      </c>
      <c r="C15" t="s">
        <v>58</v>
      </c>
      <c r="D15" t="s">
        <v>25</v>
      </c>
      <c r="E15" t="s">
        <v>44</v>
      </c>
      <c r="F15" t="s">
        <v>16</v>
      </c>
      <c r="G15" s="114">
        <v>3506.56</v>
      </c>
      <c r="H15" t="s">
        <v>22</v>
      </c>
      <c r="J15">
        <v>2.1</v>
      </c>
      <c r="K15" s="114">
        <v>73.64</v>
      </c>
      <c r="L15" s="114">
        <v>3432.92</v>
      </c>
    </row>
    <row r="16" spans="1:12" x14ac:dyDescent="0.25">
      <c r="A16" t="s">
        <v>544</v>
      </c>
      <c r="B16" s="158">
        <v>45479.466666666667</v>
      </c>
      <c r="C16" t="s">
        <v>37</v>
      </c>
      <c r="D16" t="s">
        <v>38</v>
      </c>
      <c r="E16" t="s">
        <v>39</v>
      </c>
      <c r="F16" t="s">
        <v>45</v>
      </c>
      <c r="G16" s="114">
        <v>3280.5</v>
      </c>
      <c r="H16" t="s">
        <v>22</v>
      </c>
      <c r="J16">
        <v>3.2</v>
      </c>
      <c r="K16" s="114">
        <v>104.98</v>
      </c>
      <c r="L16" s="114">
        <v>3175.52</v>
      </c>
    </row>
    <row r="17" spans="1:12" x14ac:dyDescent="0.25">
      <c r="A17" t="s">
        <v>545</v>
      </c>
      <c r="B17" s="158">
        <v>45479.738194444442</v>
      </c>
      <c r="C17" t="s">
        <v>27</v>
      </c>
      <c r="D17" t="s">
        <v>25</v>
      </c>
      <c r="E17" t="s">
        <v>15</v>
      </c>
      <c r="F17" t="s">
        <v>41</v>
      </c>
      <c r="G17" s="114">
        <v>93.28</v>
      </c>
      <c r="H17" t="s">
        <v>22</v>
      </c>
      <c r="J17">
        <v>2.5</v>
      </c>
      <c r="K17" s="114">
        <v>2.33</v>
      </c>
      <c r="L17" s="114">
        <v>90.95</v>
      </c>
    </row>
    <row r="18" spans="1:12" x14ac:dyDescent="0.25">
      <c r="A18" t="s">
        <v>546</v>
      </c>
      <c r="B18" s="158">
        <v>45480.771527777775</v>
      </c>
      <c r="C18" t="s">
        <v>24</v>
      </c>
      <c r="D18" t="s">
        <v>25</v>
      </c>
      <c r="E18" t="s">
        <v>33</v>
      </c>
      <c r="F18" t="s">
        <v>29</v>
      </c>
      <c r="G18" s="114">
        <v>761.33</v>
      </c>
      <c r="H18" t="s">
        <v>34</v>
      </c>
      <c r="I18" t="s">
        <v>78</v>
      </c>
      <c r="J18">
        <v>1.9</v>
      </c>
      <c r="K18" s="114">
        <v>0</v>
      </c>
      <c r="L18" s="114">
        <v>0</v>
      </c>
    </row>
    <row r="19" spans="1:12" x14ac:dyDescent="0.25">
      <c r="A19" t="s">
        <v>547</v>
      </c>
      <c r="B19" s="158">
        <v>45480.9</v>
      </c>
      <c r="C19" t="s">
        <v>43</v>
      </c>
      <c r="D19" t="s">
        <v>25</v>
      </c>
      <c r="E19" t="s">
        <v>15</v>
      </c>
      <c r="F19" t="s">
        <v>21</v>
      </c>
      <c r="G19" s="114">
        <v>3892.84</v>
      </c>
      <c r="H19" t="s">
        <v>17</v>
      </c>
      <c r="J19">
        <v>2.5</v>
      </c>
      <c r="K19" s="114">
        <v>0</v>
      </c>
      <c r="L19" s="114">
        <v>0</v>
      </c>
    </row>
    <row r="20" spans="1:12" x14ac:dyDescent="0.25">
      <c r="A20" t="s">
        <v>548</v>
      </c>
      <c r="B20" s="158">
        <v>45481.106944444444</v>
      </c>
      <c r="C20" t="s">
        <v>24</v>
      </c>
      <c r="D20" t="s">
        <v>25</v>
      </c>
      <c r="E20" t="s">
        <v>28</v>
      </c>
      <c r="F20" t="s">
        <v>21</v>
      </c>
      <c r="G20" s="114">
        <v>1892.07</v>
      </c>
      <c r="H20" t="s">
        <v>17</v>
      </c>
      <c r="J20">
        <v>2.9</v>
      </c>
      <c r="K20" s="114">
        <v>0</v>
      </c>
      <c r="L20" s="114">
        <v>0</v>
      </c>
    </row>
    <row r="21" spans="1:12" x14ac:dyDescent="0.25">
      <c r="A21" t="s">
        <v>549</v>
      </c>
      <c r="B21" s="158">
        <v>45481.732638888891</v>
      </c>
      <c r="C21" t="s">
        <v>43</v>
      </c>
      <c r="D21" t="s">
        <v>25</v>
      </c>
      <c r="E21" t="s">
        <v>39</v>
      </c>
      <c r="F21" t="s">
        <v>21</v>
      </c>
      <c r="G21" s="114">
        <v>2892.48</v>
      </c>
      <c r="H21" t="s">
        <v>34</v>
      </c>
      <c r="I21" t="s">
        <v>35</v>
      </c>
      <c r="J21">
        <v>3.2</v>
      </c>
      <c r="K21" s="114">
        <v>0</v>
      </c>
      <c r="L21" s="114">
        <v>0</v>
      </c>
    </row>
    <row r="22" spans="1:12" x14ac:dyDescent="0.25">
      <c r="A22" t="s">
        <v>550</v>
      </c>
      <c r="B22" s="158">
        <v>45482.39166666667</v>
      </c>
      <c r="C22" t="s">
        <v>58</v>
      </c>
      <c r="D22" t="s">
        <v>25</v>
      </c>
      <c r="E22" t="s">
        <v>39</v>
      </c>
      <c r="F22" t="s">
        <v>45</v>
      </c>
      <c r="G22" s="114">
        <v>271.3</v>
      </c>
      <c r="H22" t="s">
        <v>22</v>
      </c>
      <c r="J22">
        <v>3.2</v>
      </c>
      <c r="K22" s="114">
        <v>8.68</v>
      </c>
      <c r="L22" s="114">
        <v>262.62</v>
      </c>
    </row>
    <row r="23" spans="1:12" x14ac:dyDescent="0.25">
      <c r="A23" t="s">
        <v>551</v>
      </c>
      <c r="B23" s="158">
        <v>45482.40902777778</v>
      </c>
      <c r="C23" t="s">
        <v>60</v>
      </c>
      <c r="D23" t="s">
        <v>25</v>
      </c>
      <c r="E23" t="s">
        <v>44</v>
      </c>
      <c r="F23" t="s">
        <v>21</v>
      </c>
      <c r="G23" s="114">
        <v>1429.07</v>
      </c>
      <c r="H23" t="s">
        <v>22</v>
      </c>
      <c r="J23">
        <v>2.1</v>
      </c>
      <c r="K23" s="114">
        <v>30.01</v>
      </c>
      <c r="L23" s="114">
        <v>1399.06</v>
      </c>
    </row>
    <row r="24" spans="1:12" x14ac:dyDescent="0.25">
      <c r="A24" t="s">
        <v>552</v>
      </c>
      <c r="B24" s="158">
        <v>45483.387499999997</v>
      </c>
      <c r="C24" t="s">
        <v>43</v>
      </c>
      <c r="D24" t="s">
        <v>25</v>
      </c>
      <c r="E24" t="s">
        <v>28</v>
      </c>
      <c r="F24" t="s">
        <v>29</v>
      </c>
      <c r="G24" s="114">
        <v>719.28</v>
      </c>
      <c r="H24" t="s">
        <v>17</v>
      </c>
      <c r="J24">
        <v>2.9</v>
      </c>
      <c r="K24" s="114">
        <v>0</v>
      </c>
      <c r="L24" s="114">
        <v>0</v>
      </c>
    </row>
    <row r="25" spans="1:12" x14ac:dyDescent="0.25">
      <c r="A25" t="s">
        <v>553</v>
      </c>
      <c r="B25" s="158">
        <v>45483.520138888889</v>
      </c>
      <c r="C25" t="s">
        <v>19</v>
      </c>
      <c r="D25" t="s">
        <v>20</v>
      </c>
      <c r="E25" t="s">
        <v>44</v>
      </c>
      <c r="F25" t="s">
        <v>29</v>
      </c>
      <c r="G25" s="114">
        <v>1506.87</v>
      </c>
      <c r="H25" t="s">
        <v>22</v>
      </c>
      <c r="J25">
        <v>2.1</v>
      </c>
      <c r="K25" s="114">
        <v>31.64</v>
      </c>
      <c r="L25" s="114">
        <v>1475.23</v>
      </c>
    </row>
    <row r="26" spans="1:12" x14ac:dyDescent="0.25">
      <c r="A26" t="s">
        <v>554</v>
      </c>
      <c r="B26" s="158">
        <v>45483.790972222225</v>
      </c>
      <c r="C26" t="s">
        <v>31</v>
      </c>
      <c r="D26" t="s">
        <v>32</v>
      </c>
      <c r="E26" t="s">
        <v>39</v>
      </c>
      <c r="F26" t="s">
        <v>29</v>
      </c>
      <c r="G26" s="114">
        <v>154.08000000000001</v>
      </c>
      <c r="H26" t="s">
        <v>34</v>
      </c>
      <c r="I26" t="s">
        <v>55</v>
      </c>
      <c r="J26">
        <v>3.2</v>
      </c>
      <c r="K26" s="114">
        <v>0</v>
      </c>
      <c r="L26" s="114">
        <v>0</v>
      </c>
    </row>
    <row r="27" spans="1:12" x14ac:dyDescent="0.25">
      <c r="A27" t="s">
        <v>555</v>
      </c>
      <c r="B27" s="158">
        <v>45484.424305555556</v>
      </c>
      <c r="C27" t="s">
        <v>43</v>
      </c>
      <c r="D27" t="s">
        <v>25</v>
      </c>
      <c r="E27" t="s">
        <v>33</v>
      </c>
      <c r="F27" t="s">
        <v>21</v>
      </c>
      <c r="G27" s="114">
        <v>2735.9</v>
      </c>
      <c r="H27" t="s">
        <v>22</v>
      </c>
      <c r="J27">
        <v>1.9</v>
      </c>
      <c r="K27" s="114">
        <v>51.98</v>
      </c>
      <c r="L27" s="114">
        <v>2683.92</v>
      </c>
    </row>
    <row r="28" spans="1:12" x14ac:dyDescent="0.25">
      <c r="A28" t="s">
        <v>556</v>
      </c>
      <c r="B28" s="158">
        <v>45484.85</v>
      </c>
      <c r="C28" t="s">
        <v>37</v>
      </c>
      <c r="D28" t="s">
        <v>38</v>
      </c>
      <c r="E28" t="s">
        <v>33</v>
      </c>
      <c r="F28" t="s">
        <v>41</v>
      </c>
      <c r="G28" s="114">
        <v>2588.15</v>
      </c>
      <c r="H28" t="s">
        <v>34</v>
      </c>
      <c r="I28" t="s">
        <v>35</v>
      </c>
      <c r="J28">
        <v>1.9</v>
      </c>
      <c r="K28" s="114">
        <v>0</v>
      </c>
      <c r="L28" s="114">
        <v>0</v>
      </c>
    </row>
    <row r="29" spans="1:12" x14ac:dyDescent="0.25">
      <c r="A29" t="s">
        <v>557</v>
      </c>
      <c r="B29" s="158">
        <v>45485.060416666667</v>
      </c>
      <c r="C29" t="s">
        <v>47</v>
      </c>
      <c r="D29" t="s">
        <v>25</v>
      </c>
      <c r="E29" t="s">
        <v>33</v>
      </c>
      <c r="F29" t="s">
        <v>21</v>
      </c>
      <c r="G29" s="114">
        <v>659.03</v>
      </c>
      <c r="H29" t="s">
        <v>17</v>
      </c>
      <c r="J29">
        <v>1.9</v>
      </c>
      <c r="K29" s="114">
        <v>0</v>
      </c>
      <c r="L29" s="114">
        <v>0</v>
      </c>
    </row>
    <row r="30" spans="1:12" x14ac:dyDescent="0.25">
      <c r="A30" t="s">
        <v>558</v>
      </c>
      <c r="B30" s="158">
        <v>45485.406944444447</v>
      </c>
      <c r="C30" t="s">
        <v>47</v>
      </c>
      <c r="D30" t="s">
        <v>25</v>
      </c>
      <c r="E30" t="s">
        <v>44</v>
      </c>
      <c r="F30" t="s">
        <v>29</v>
      </c>
      <c r="G30" s="114">
        <v>3646.87</v>
      </c>
      <c r="H30" t="s">
        <v>17</v>
      </c>
      <c r="J30">
        <v>2.1</v>
      </c>
      <c r="K30" s="114">
        <v>0</v>
      </c>
      <c r="L30" s="114">
        <v>0</v>
      </c>
    </row>
    <row r="31" spans="1:12" x14ac:dyDescent="0.25">
      <c r="A31" t="s">
        <v>559</v>
      </c>
      <c r="B31" s="158">
        <v>45486.116666666669</v>
      </c>
      <c r="C31" t="s">
        <v>58</v>
      </c>
      <c r="D31" t="s">
        <v>25</v>
      </c>
      <c r="E31" t="s">
        <v>33</v>
      </c>
      <c r="F31" t="s">
        <v>41</v>
      </c>
      <c r="G31" s="114">
        <v>1471.24</v>
      </c>
      <c r="H31" t="s">
        <v>22</v>
      </c>
      <c r="J31">
        <v>1.9</v>
      </c>
      <c r="K31" s="114">
        <v>27.95</v>
      </c>
      <c r="L31" s="114">
        <v>1443.29</v>
      </c>
    </row>
    <row r="32" spans="1:12" x14ac:dyDescent="0.25">
      <c r="A32" t="s">
        <v>560</v>
      </c>
      <c r="B32" s="158">
        <v>45486.697916666664</v>
      </c>
      <c r="C32" t="s">
        <v>31</v>
      </c>
      <c r="D32" t="s">
        <v>32</v>
      </c>
      <c r="E32" t="s">
        <v>39</v>
      </c>
      <c r="F32" t="s">
        <v>16</v>
      </c>
      <c r="G32" s="114">
        <v>4335.2</v>
      </c>
      <c r="H32" t="s">
        <v>17</v>
      </c>
      <c r="J32">
        <v>3.2</v>
      </c>
      <c r="K32" s="114">
        <v>0</v>
      </c>
      <c r="L32" s="114">
        <v>0</v>
      </c>
    </row>
    <row r="33" spans="1:12" x14ac:dyDescent="0.25">
      <c r="A33" t="s">
        <v>561</v>
      </c>
      <c r="B33" s="158">
        <v>45486.90625</v>
      </c>
      <c r="C33" t="s">
        <v>58</v>
      </c>
      <c r="D33" t="s">
        <v>25</v>
      </c>
      <c r="E33" t="s">
        <v>15</v>
      </c>
      <c r="F33" t="s">
        <v>21</v>
      </c>
      <c r="G33" s="114">
        <v>734.3</v>
      </c>
      <c r="H33" t="s">
        <v>34</v>
      </c>
      <c r="I33" t="s">
        <v>78</v>
      </c>
      <c r="J33">
        <v>2.5</v>
      </c>
      <c r="K33" s="114">
        <v>0</v>
      </c>
      <c r="L33" s="114">
        <v>0</v>
      </c>
    </row>
    <row r="34" spans="1:12" x14ac:dyDescent="0.25">
      <c r="A34" t="s">
        <v>562</v>
      </c>
      <c r="B34" s="158">
        <v>45487.51458333333</v>
      </c>
      <c r="C34" t="s">
        <v>60</v>
      </c>
      <c r="D34" t="s">
        <v>25</v>
      </c>
      <c r="E34" t="s">
        <v>39</v>
      </c>
      <c r="F34" t="s">
        <v>21</v>
      </c>
      <c r="G34" s="114">
        <v>897.87</v>
      </c>
      <c r="H34" t="s">
        <v>22</v>
      </c>
      <c r="J34">
        <v>3.2</v>
      </c>
      <c r="K34" s="114">
        <v>28.73</v>
      </c>
      <c r="L34" s="114">
        <v>869.14</v>
      </c>
    </row>
    <row r="35" spans="1:12" x14ac:dyDescent="0.25">
      <c r="A35" t="s">
        <v>563</v>
      </c>
      <c r="B35" s="158">
        <v>45487.56527777778</v>
      </c>
      <c r="C35" t="s">
        <v>24</v>
      </c>
      <c r="D35" t="s">
        <v>25</v>
      </c>
      <c r="E35" t="s">
        <v>44</v>
      </c>
      <c r="F35" t="s">
        <v>16</v>
      </c>
      <c r="G35" s="114">
        <v>703.95</v>
      </c>
      <c r="H35" t="s">
        <v>17</v>
      </c>
      <c r="J35">
        <v>2.1</v>
      </c>
      <c r="K35" s="114">
        <v>0</v>
      </c>
      <c r="L35" s="114">
        <v>0</v>
      </c>
    </row>
    <row r="36" spans="1:12" x14ac:dyDescent="0.25">
      <c r="A36" t="s">
        <v>564</v>
      </c>
      <c r="B36" s="158">
        <v>45487.621527777781</v>
      </c>
      <c r="C36" t="s">
        <v>58</v>
      </c>
      <c r="D36" t="s">
        <v>25</v>
      </c>
      <c r="E36" t="s">
        <v>15</v>
      </c>
      <c r="F36" t="s">
        <v>41</v>
      </c>
      <c r="G36" s="114">
        <v>3416.82</v>
      </c>
      <c r="H36" t="s">
        <v>17</v>
      </c>
      <c r="J36">
        <v>2.5</v>
      </c>
      <c r="K36" s="114">
        <v>0</v>
      </c>
      <c r="L36" s="114">
        <v>0</v>
      </c>
    </row>
    <row r="37" spans="1:12" x14ac:dyDescent="0.25">
      <c r="A37" t="s">
        <v>565</v>
      </c>
      <c r="B37" s="158">
        <v>45488.045138888891</v>
      </c>
      <c r="C37" t="s">
        <v>58</v>
      </c>
      <c r="D37" t="s">
        <v>25</v>
      </c>
      <c r="E37" t="s">
        <v>15</v>
      </c>
      <c r="F37" t="s">
        <v>29</v>
      </c>
      <c r="G37" s="114">
        <v>3526.34</v>
      </c>
      <c r="H37" t="s">
        <v>17</v>
      </c>
      <c r="J37">
        <v>2.5</v>
      </c>
      <c r="K37" s="114">
        <v>0</v>
      </c>
      <c r="L37" s="114">
        <v>0</v>
      </c>
    </row>
    <row r="38" spans="1:12" x14ac:dyDescent="0.25">
      <c r="A38" t="s">
        <v>566</v>
      </c>
      <c r="B38" s="158">
        <v>45489.17083333333</v>
      </c>
      <c r="C38" t="s">
        <v>60</v>
      </c>
      <c r="D38" t="s">
        <v>25</v>
      </c>
      <c r="E38" t="s">
        <v>44</v>
      </c>
      <c r="F38" t="s">
        <v>45</v>
      </c>
      <c r="G38" s="114">
        <v>4299.3599999999997</v>
      </c>
      <c r="H38" t="s">
        <v>17</v>
      </c>
      <c r="J38">
        <v>2.1</v>
      </c>
      <c r="K38" s="114">
        <v>0</v>
      </c>
      <c r="L38" s="114">
        <v>0</v>
      </c>
    </row>
    <row r="39" spans="1:12" x14ac:dyDescent="0.25">
      <c r="A39" t="s">
        <v>567</v>
      </c>
      <c r="B39" s="158">
        <v>45489.395138888889</v>
      </c>
      <c r="C39" t="s">
        <v>19</v>
      </c>
      <c r="D39" t="s">
        <v>20</v>
      </c>
      <c r="E39" t="s">
        <v>39</v>
      </c>
      <c r="F39" t="s">
        <v>16</v>
      </c>
      <c r="G39" s="114">
        <v>1137.1099999999999</v>
      </c>
      <c r="H39" t="s">
        <v>34</v>
      </c>
      <c r="I39" t="s">
        <v>62</v>
      </c>
      <c r="J39">
        <v>3.2</v>
      </c>
      <c r="K39" s="114">
        <v>0</v>
      </c>
      <c r="L39" s="114">
        <v>0</v>
      </c>
    </row>
    <row r="40" spans="1:12" x14ac:dyDescent="0.25">
      <c r="A40" t="s">
        <v>568</v>
      </c>
      <c r="B40" s="158">
        <v>45490.463888888888</v>
      </c>
      <c r="C40" t="s">
        <v>43</v>
      </c>
      <c r="D40" t="s">
        <v>25</v>
      </c>
      <c r="E40" t="s">
        <v>44</v>
      </c>
      <c r="F40" t="s">
        <v>21</v>
      </c>
      <c r="G40" s="114">
        <v>4878.0200000000004</v>
      </c>
      <c r="H40" t="s">
        <v>22</v>
      </c>
      <c r="J40">
        <v>2.1</v>
      </c>
      <c r="K40" s="114">
        <v>102.44</v>
      </c>
      <c r="L40" s="114">
        <v>4775.58</v>
      </c>
    </row>
    <row r="41" spans="1:12" x14ac:dyDescent="0.25">
      <c r="A41" t="s">
        <v>569</v>
      </c>
      <c r="B41" s="158">
        <v>45490.576388888891</v>
      </c>
      <c r="C41" t="s">
        <v>37</v>
      </c>
      <c r="D41" t="s">
        <v>38</v>
      </c>
      <c r="E41" t="s">
        <v>33</v>
      </c>
      <c r="F41" t="s">
        <v>41</v>
      </c>
      <c r="G41" s="114">
        <v>74.7</v>
      </c>
      <c r="H41" t="s">
        <v>22</v>
      </c>
      <c r="J41">
        <v>1.9</v>
      </c>
      <c r="K41" s="114">
        <v>1.42</v>
      </c>
      <c r="L41" s="114">
        <v>73.28</v>
      </c>
    </row>
    <row r="42" spans="1:12" x14ac:dyDescent="0.25">
      <c r="A42" t="s">
        <v>570</v>
      </c>
      <c r="B42" s="158">
        <v>45490.725694444445</v>
      </c>
      <c r="C42" t="s">
        <v>13</v>
      </c>
      <c r="D42" t="s">
        <v>14</v>
      </c>
      <c r="E42" t="s">
        <v>39</v>
      </c>
      <c r="F42" t="s">
        <v>21</v>
      </c>
      <c r="G42" s="114">
        <v>2603.2399999999998</v>
      </c>
      <c r="H42" t="s">
        <v>22</v>
      </c>
      <c r="J42">
        <v>3.2</v>
      </c>
      <c r="K42" s="114">
        <v>83.3</v>
      </c>
      <c r="L42" s="114">
        <v>2519.94</v>
      </c>
    </row>
    <row r="43" spans="1:12" x14ac:dyDescent="0.25">
      <c r="A43" t="s">
        <v>571</v>
      </c>
      <c r="B43" s="158">
        <v>45491.445833333331</v>
      </c>
      <c r="C43" t="s">
        <v>58</v>
      </c>
      <c r="D43" t="s">
        <v>25</v>
      </c>
      <c r="E43" t="s">
        <v>44</v>
      </c>
      <c r="F43" t="s">
        <v>16</v>
      </c>
      <c r="G43" s="114">
        <v>4598.51</v>
      </c>
      <c r="H43" t="s">
        <v>17</v>
      </c>
      <c r="J43">
        <v>2.1</v>
      </c>
      <c r="K43" s="114">
        <v>0</v>
      </c>
      <c r="L43" s="114">
        <v>0</v>
      </c>
    </row>
    <row r="44" spans="1:12" x14ac:dyDescent="0.25">
      <c r="A44" t="s">
        <v>572</v>
      </c>
      <c r="B44" s="158">
        <v>45491.626388888886</v>
      </c>
      <c r="C44" t="s">
        <v>58</v>
      </c>
      <c r="D44" t="s">
        <v>25</v>
      </c>
      <c r="E44" t="s">
        <v>39</v>
      </c>
      <c r="F44" t="s">
        <v>21</v>
      </c>
      <c r="G44" s="114">
        <v>3739.11</v>
      </c>
      <c r="H44" t="s">
        <v>22</v>
      </c>
      <c r="J44">
        <v>3.2</v>
      </c>
      <c r="K44" s="114">
        <v>119.65</v>
      </c>
      <c r="L44" s="114">
        <v>3619.46</v>
      </c>
    </row>
    <row r="45" spans="1:12" x14ac:dyDescent="0.25">
      <c r="A45" t="s">
        <v>573</v>
      </c>
      <c r="B45" s="158">
        <v>45491.990277777775</v>
      </c>
      <c r="C45" t="s">
        <v>27</v>
      </c>
      <c r="D45" t="s">
        <v>25</v>
      </c>
      <c r="E45" t="s">
        <v>33</v>
      </c>
      <c r="F45" t="s">
        <v>45</v>
      </c>
      <c r="G45" s="114">
        <v>1426.8</v>
      </c>
      <c r="H45" t="s">
        <v>22</v>
      </c>
      <c r="J45">
        <v>1.9</v>
      </c>
      <c r="K45" s="114">
        <v>27.11</v>
      </c>
      <c r="L45" s="114">
        <v>1399.69</v>
      </c>
    </row>
    <row r="46" spans="1:12" x14ac:dyDescent="0.25">
      <c r="A46" t="s">
        <v>574</v>
      </c>
      <c r="B46" s="158">
        <v>45492.331250000003</v>
      </c>
      <c r="C46" t="s">
        <v>19</v>
      </c>
      <c r="D46" t="s">
        <v>20</v>
      </c>
      <c r="E46" t="s">
        <v>39</v>
      </c>
      <c r="F46" t="s">
        <v>29</v>
      </c>
      <c r="G46" s="114">
        <v>2328.86</v>
      </c>
      <c r="H46" t="s">
        <v>17</v>
      </c>
      <c r="J46">
        <v>3.2</v>
      </c>
      <c r="K46" s="114">
        <v>0</v>
      </c>
      <c r="L46" s="114">
        <v>0</v>
      </c>
    </row>
    <row r="47" spans="1:12" x14ac:dyDescent="0.25">
      <c r="A47" t="s">
        <v>575</v>
      </c>
      <c r="B47" s="158">
        <v>45492.354861111111</v>
      </c>
      <c r="C47" t="s">
        <v>19</v>
      </c>
      <c r="D47" t="s">
        <v>20</v>
      </c>
      <c r="E47" t="s">
        <v>15</v>
      </c>
      <c r="F47" t="s">
        <v>45</v>
      </c>
      <c r="G47" s="114">
        <v>3385.67</v>
      </c>
      <c r="H47" t="s">
        <v>22</v>
      </c>
      <c r="J47">
        <v>2.5</v>
      </c>
      <c r="K47" s="114">
        <v>84.64</v>
      </c>
      <c r="L47" s="114">
        <v>3301.03</v>
      </c>
    </row>
    <row r="48" spans="1:12" x14ac:dyDescent="0.25">
      <c r="A48" t="s">
        <v>576</v>
      </c>
      <c r="B48" s="158">
        <v>45492.720833333333</v>
      </c>
      <c r="C48" t="s">
        <v>27</v>
      </c>
      <c r="D48" t="s">
        <v>25</v>
      </c>
      <c r="E48" t="s">
        <v>39</v>
      </c>
      <c r="F48" t="s">
        <v>21</v>
      </c>
      <c r="G48" s="114">
        <v>4787.38</v>
      </c>
      <c r="H48" t="s">
        <v>22</v>
      </c>
      <c r="J48">
        <v>3.2</v>
      </c>
      <c r="K48" s="114">
        <v>153.19999999999999</v>
      </c>
      <c r="L48" s="114">
        <v>4634.18</v>
      </c>
    </row>
    <row r="49" spans="1:12" x14ac:dyDescent="0.25">
      <c r="A49" t="s">
        <v>577</v>
      </c>
      <c r="B49" s="158">
        <v>45493.270138888889</v>
      </c>
      <c r="C49" t="s">
        <v>24</v>
      </c>
      <c r="D49" t="s">
        <v>25</v>
      </c>
      <c r="E49" t="s">
        <v>39</v>
      </c>
      <c r="F49" t="s">
        <v>41</v>
      </c>
      <c r="G49" s="114">
        <v>3788.18</v>
      </c>
      <c r="H49" t="s">
        <v>22</v>
      </c>
      <c r="J49">
        <v>3.2</v>
      </c>
      <c r="K49" s="114">
        <v>121.22</v>
      </c>
      <c r="L49" s="114">
        <v>3666.96</v>
      </c>
    </row>
    <row r="50" spans="1:12" x14ac:dyDescent="0.25">
      <c r="A50" t="s">
        <v>578</v>
      </c>
      <c r="B50" s="158">
        <v>45493.775000000001</v>
      </c>
      <c r="C50" t="s">
        <v>60</v>
      </c>
      <c r="D50" t="s">
        <v>25</v>
      </c>
      <c r="E50" t="s">
        <v>28</v>
      </c>
      <c r="F50" t="s">
        <v>16</v>
      </c>
      <c r="G50" s="114">
        <v>687.14</v>
      </c>
      <c r="H50" t="s">
        <v>34</v>
      </c>
      <c r="I50" t="s">
        <v>35</v>
      </c>
      <c r="J50">
        <v>2.9</v>
      </c>
      <c r="K50" s="114">
        <v>0</v>
      </c>
      <c r="L50" s="114">
        <v>0</v>
      </c>
    </row>
    <row r="51" spans="1:12" x14ac:dyDescent="0.25">
      <c r="A51" t="s">
        <v>579</v>
      </c>
      <c r="B51" s="158">
        <v>45494.606249999997</v>
      </c>
      <c r="C51" t="s">
        <v>31</v>
      </c>
      <c r="D51" t="s">
        <v>32</v>
      </c>
      <c r="E51" t="s">
        <v>28</v>
      </c>
      <c r="F51" t="s">
        <v>29</v>
      </c>
      <c r="G51" s="114">
        <v>1980.11</v>
      </c>
      <c r="H51" t="s">
        <v>17</v>
      </c>
      <c r="J51">
        <v>2.9</v>
      </c>
      <c r="K51" s="114">
        <v>0</v>
      </c>
      <c r="L51" s="114">
        <v>0</v>
      </c>
    </row>
    <row r="52" spans="1:12" x14ac:dyDescent="0.25">
      <c r="A52" t="s">
        <v>580</v>
      </c>
      <c r="B52" s="158">
        <v>45495.031944444447</v>
      </c>
      <c r="C52" t="s">
        <v>60</v>
      </c>
      <c r="D52" t="s">
        <v>25</v>
      </c>
      <c r="E52" t="s">
        <v>39</v>
      </c>
      <c r="F52" t="s">
        <v>45</v>
      </c>
      <c r="G52" s="114">
        <v>91.35</v>
      </c>
      <c r="H52" t="s">
        <v>22</v>
      </c>
      <c r="J52">
        <v>3.2</v>
      </c>
      <c r="K52" s="114">
        <v>2.92</v>
      </c>
      <c r="L52" s="114">
        <v>88.43</v>
      </c>
    </row>
    <row r="53" spans="1:12" x14ac:dyDescent="0.25">
      <c r="A53" t="s">
        <v>581</v>
      </c>
      <c r="B53" s="158">
        <v>45495.315972222219</v>
      </c>
      <c r="C53" t="s">
        <v>37</v>
      </c>
      <c r="D53" t="s">
        <v>38</v>
      </c>
      <c r="E53" t="s">
        <v>39</v>
      </c>
      <c r="F53" t="s">
        <v>16</v>
      </c>
      <c r="G53" s="114">
        <v>2336.59</v>
      </c>
      <c r="H53" t="s">
        <v>22</v>
      </c>
      <c r="J53">
        <v>3.2</v>
      </c>
      <c r="K53" s="114">
        <v>74.77</v>
      </c>
      <c r="L53" s="114">
        <v>2261.8200000000002</v>
      </c>
    </row>
    <row r="54" spans="1:12" x14ac:dyDescent="0.25">
      <c r="A54" t="s">
        <v>582</v>
      </c>
      <c r="B54" s="158">
        <v>45495.324999999997</v>
      </c>
      <c r="C54" t="s">
        <v>19</v>
      </c>
      <c r="D54" t="s">
        <v>20</v>
      </c>
      <c r="E54" t="s">
        <v>44</v>
      </c>
      <c r="F54" t="s">
        <v>41</v>
      </c>
      <c r="G54" s="114">
        <v>2633.42</v>
      </c>
      <c r="H54" t="s">
        <v>34</v>
      </c>
      <c r="I54" t="s">
        <v>55</v>
      </c>
      <c r="J54">
        <v>2.1</v>
      </c>
      <c r="K54" s="114">
        <v>0</v>
      </c>
      <c r="L54" s="114">
        <v>0</v>
      </c>
    </row>
    <row r="55" spans="1:12" x14ac:dyDescent="0.25">
      <c r="A55" t="s">
        <v>583</v>
      </c>
      <c r="B55" s="158">
        <v>45495.480555555558</v>
      </c>
      <c r="C55" t="s">
        <v>60</v>
      </c>
      <c r="D55" t="s">
        <v>25</v>
      </c>
      <c r="E55" t="s">
        <v>44</v>
      </c>
      <c r="F55" t="s">
        <v>45</v>
      </c>
      <c r="G55" s="114">
        <v>3423.97</v>
      </c>
      <c r="H55" t="s">
        <v>17</v>
      </c>
      <c r="J55">
        <v>2.1</v>
      </c>
      <c r="K55" s="114">
        <v>0</v>
      </c>
      <c r="L55" s="114">
        <v>0</v>
      </c>
    </row>
    <row r="56" spans="1:12" x14ac:dyDescent="0.25">
      <c r="A56" t="s">
        <v>584</v>
      </c>
      <c r="B56" s="158">
        <v>45495.632638888892</v>
      </c>
      <c r="C56" t="s">
        <v>47</v>
      </c>
      <c r="D56" t="s">
        <v>25</v>
      </c>
      <c r="E56" t="s">
        <v>28</v>
      </c>
      <c r="F56" t="s">
        <v>41</v>
      </c>
      <c r="G56" s="114">
        <v>1498.98</v>
      </c>
      <c r="H56" t="s">
        <v>17</v>
      </c>
      <c r="J56">
        <v>2.9</v>
      </c>
      <c r="K56" s="114">
        <v>0</v>
      </c>
      <c r="L56" s="114">
        <v>0</v>
      </c>
    </row>
    <row r="57" spans="1:12" x14ac:dyDescent="0.25">
      <c r="A57" t="s">
        <v>585</v>
      </c>
      <c r="B57" s="158">
        <v>45495.874305555553</v>
      </c>
      <c r="C57" t="s">
        <v>31</v>
      </c>
      <c r="D57" t="s">
        <v>32</v>
      </c>
      <c r="E57" t="s">
        <v>28</v>
      </c>
      <c r="F57" t="s">
        <v>29</v>
      </c>
      <c r="G57" s="114">
        <v>1868.61</v>
      </c>
      <c r="H57" t="s">
        <v>17</v>
      </c>
      <c r="J57">
        <v>2.9</v>
      </c>
      <c r="K57" s="114">
        <v>0</v>
      </c>
      <c r="L57" s="114">
        <v>0</v>
      </c>
    </row>
    <row r="58" spans="1:12" x14ac:dyDescent="0.25">
      <c r="A58" t="s">
        <v>586</v>
      </c>
      <c r="B58" s="158">
        <v>45497.12222222222</v>
      </c>
      <c r="C58" t="s">
        <v>43</v>
      </c>
      <c r="D58" t="s">
        <v>25</v>
      </c>
      <c r="E58" t="s">
        <v>39</v>
      </c>
      <c r="F58" t="s">
        <v>21</v>
      </c>
      <c r="G58" s="114">
        <v>1643.23</v>
      </c>
      <c r="H58" t="s">
        <v>17</v>
      </c>
      <c r="J58">
        <v>3.2</v>
      </c>
      <c r="K58" s="114">
        <v>0</v>
      </c>
      <c r="L58" s="114">
        <v>0</v>
      </c>
    </row>
    <row r="59" spans="1:12" x14ac:dyDescent="0.25">
      <c r="A59" t="s">
        <v>587</v>
      </c>
      <c r="B59" s="158">
        <v>45497.352777777778</v>
      </c>
      <c r="C59" t="s">
        <v>27</v>
      </c>
      <c r="D59" t="s">
        <v>25</v>
      </c>
      <c r="E59" t="s">
        <v>33</v>
      </c>
      <c r="F59" t="s">
        <v>29</v>
      </c>
      <c r="G59" s="114">
        <v>4896.57</v>
      </c>
      <c r="H59" t="s">
        <v>22</v>
      </c>
      <c r="J59">
        <v>1.9</v>
      </c>
      <c r="K59" s="114">
        <v>93.03</v>
      </c>
      <c r="L59" s="114">
        <v>4803.54</v>
      </c>
    </row>
    <row r="60" spans="1:12" x14ac:dyDescent="0.25">
      <c r="A60" t="s">
        <v>588</v>
      </c>
      <c r="B60" s="158">
        <v>45497.520138888889</v>
      </c>
      <c r="C60" t="s">
        <v>47</v>
      </c>
      <c r="D60" t="s">
        <v>25</v>
      </c>
      <c r="E60" t="s">
        <v>15</v>
      </c>
      <c r="F60" t="s">
        <v>16</v>
      </c>
      <c r="G60" s="114">
        <v>4001.5</v>
      </c>
      <c r="H60" t="s">
        <v>22</v>
      </c>
      <c r="J60">
        <v>2.5</v>
      </c>
      <c r="K60" s="114">
        <v>100.04</v>
      </c>
      <c r="L60" s="114">
        <v>3901.46</v>
      </c>
    </row>
    <row r="61" spans="1:12" x14ac:dyDescent="0.25">
      <c r="A61" t="s">
        <v>589</v>
      </c>
      <c r="B61" s="158">
        <v>45498.295138888891</v>
      </c>
      <c r="C61" t="s">
        <v>43</v>
      </c>
      <c r="D61" t="s">
        <v>25</v>
      </c>
      <c r="E61" t="s">
        <v>15</v>
      </c>
      <c r="F61" t="s">
        <v>45</v>
      </c>
      <c r="G61" s="114">
        <v>2246.0100000000002</v>
      </c>
      <c r="H61" t="s">
        <v>34</v>
      </c>
      <c r="I61" t="s">
        <v>55</v>
      </c>
      <c r="J61">
        <v>2.5</v>
      </c>
      <c r="K61" s="114">
        <v>0</v>
      </c>
      <c r="L61" s="114">
        <v>0</v>
      </c>
    </row>
    <row r="62" spans="1:12" x14ac:dyDescent="0.25">
      <c r="A62" t="s">
        <v>590</v>
      </c>
      <c r="B62" s="158">
        <v>45498.5625</v>
      </c>
      <c r="C62" t="s">
        <v>58</v>
      </c>
      <c r="D62" t="s">
        <v>25</v>
      </c>
      <c r="E62" t="s">
        <v>28</v>
      </c>
      <c r="F62" t="s">
        <v>41</v>
      </c>
      <c r="G62" s="114">
        <v>2673.58</v>
      </c>
      <c r="H62" t="s">
        <v>22</v>
      </c>
      <c r="J62">
        <v>2.9</v>
      </c>
      <c r="K62" s="114">
        <v>77.53</v>
      </c>
      <c r="L62" s="114">
        <v>2596.0500000000002</v>
      </c>
    </row>
    <row r="63" spans="1:12" x14ac:dyDescent="0.25">
      <c r="A63" t="s">
        <v>591</v>
      </c>
      <c r="B63" s="158">
        <v>45499.134027777778</v>
      </c>
      <c r="C63" t="s">
        <v>13</v>
      </c>
      <c r="D63" t="s">
        <v>14</v>
      </c>
      <c r="E63" t="s">
        <v>15</v>
      </c>
      <c r="F63" t="s">
        <v>45</v>
      </c>
      <c r="G63" s="114">
        <v>753.28</v>
      </c>
      <c r="H63" t="s">
        <v>17</v>
      </c>
      <c r="J63">
        <v>2.5</v>
      </c>
      <c r="K63" s="114">
        <v>0</v>
      </c>
      <c r="L63" s="114">
        <v>0</v>
      </c>
    </row>
    <row r="64" spans="1:12" x14ac:dyDescent="0.25">
      <c r="A64" t="s">
        <v>592</v>
      </c>
      <c r="B64" s="158">
        <v>45499.296527777777</v>
      </c>
      <c r="C64" t="s">
        <v>27</v>
      </c>
      <c r="D64" t="s">
        <v>25</v>
      </c>
      <c r="E64" t="s">
        <v>44</v>
      </c>
      <c r="F64" t="s">
        <v>41</v>
      </c>
      <c r="G64" s="114">
        <v>1235.48</v>
      </c>
      <c r="H64" t="s">
        <v>22</v>
      </c>
      <c r="J64">
        <v>2.1</v>
      </c>
      <c r="K64" s="114">
        <v>25.95</v>
      </c>
      <c r="L64" s="114">
        <v>1209.53</v>
      </c>
    </row>
    <row r="65" spans="1:12" x14ac:dyDescent="0.25">
      <c r="A65" t="s">
        <v>593</v>
      </c>
      <c r="B65" s="158">
        <v>45499.84097222222</v>
      </c>
      <c r="C65" t="s">
        <v>27</v>
      </c>
      <c r="D65" t="s">
        <v>25</v>
      </c>
      <c r="E65" t="s">
        <v>15</v>
      </c>
      <c r="F65" t="s">
        <v>16</v>
      </c>
      <c r="G65" s="114">
        <v>155.66999999999999</v>
      </c>
      <c r="H65" t="s">
        <v>17</v>
      </c>
      <c r="J65">
        <v>2.5</v>
      </c>
      <c r="K65" s="114">
        <v>0</v>
      </c>
      <c r="L65" s="114">
        <v>0</v>
      </c>
    </row>
    <row r="66" spans="1:12" x14ac:dyDescent="0.25">
      <c r="A66" t="s">
        <v>594</v>
      </c>
      <c r="B66" s="158">
        <v>45501.896527777775</v>
      </c>
      <c r="C66" t="s">
        <v>58</v>
      </c>
      <c r="D66" t="s">
        <v>25</v>
      </c>
      <c r="E66" t="s">
        <v>15</v>
      </c>
      <c r="F66" t="s">
        <v>16</v>
      </c>
      <c r="G66" s="114">
        <v>844.59</v>
      </c>
      <c r="H66" t="s">
        <v>17</v>
      </c>
      <c r="J66">
        <v>2.5</v>
      </c>
      <c r="K66" s="114">
        <v>0</v>
      </c>
      <c r="L66" s="114">
        <v>0</v>
      </c>
    </row>
    <row r="67" spans="1:12" x14ac:dyDescent="0.25">
      <c r="A67" t="s">
        <v>595</v>
      </c>
      <c r="B67" s="158">
        <v>45502.053472222222</v>
      </c>
      <c r="C67" t="s">
        <v>27</v>
      </c>
      <c r="D67" t="s">
        <v>25</v>
      </c>
      <c r="E67" t="s">
        <v>44</v>
      </c>
      <c r="F67" t="s">
        <v>29</v>
      </c>
      <c r="G67" s="114">
        <v>739.75</v>
      </c>
      <c r="H67" t="s">
        <v>22</v>
      </c>
      <c r="J67">
        <v>2.1</v>
      </c>
      <c r="K67" s="114">
        <v>15.53</v>
      </c>
      <c r="L67" s="114">
        <v>724.22</v>
      </c>
    </row>
    <row r="68" spans="1:12" x14ac:dyDescent="0.25">
      <c r="A68" t="s">
        <v>596</v>
      </c>
      <c r="B68" s="158">
        <v>45502.147916666669</v>
      </c>
      <c r="C68" t="s">
        <v>31</v>
      </c>
      <c r="D68" t="s">
        <v>32</v>
      </c>
      <c r="E68" t="s">
        <v>15</v>
      </c>
      <c r="F68" t="s">
        <v>21</v>
      </c>
      <c r="G68" s="114">
        <v>1104.8900000000001</v>
      </c>
      <c r="H68" t="s">
        <v>22</v>
      </c>
      <c r="J68">
        <v>2.5</v>
      </c>
      <c r="K68" s="114">
        <v>27.62</v>
      </c>
      <c r="L68" s="114">
        <v>1077.27</v>
      </c>
    </row>
    <row r="69" spans="1:12" x14ac:dyDescent="0.25">
      <c r="A69" t="s">
        <v>597</v>
      </c>
      <c r="B69" s="158">
        <v>45503.21597222222</v>
      </c>
      <c r="C69" t="s">
        <v>60</v>
      </c>
      <c r="D69" t="s">
        <v>25</v>
      </c>
      <c r="E69" t="s">
        <v>44</v>
      </c>
      <c r="F69" t="s">
        <v>29</v>
      </c>
      <c r="G69" s="114">
        <v>3313.49</v>
      </c>
      <c r="H69" t="s">
        <v>22</v>
      </c>
      <c r="J69">
        <v>2.1</v>
      </c>
      <c r="K69" s="114">
        <v>69.58</v>
      </c>
      <c r="L69" s="114">
        <v>3243.91</v>
      </c>
    </row>
    <row r="70" spans="1:12" x14ac:dyDescent="0.25">
      <c r="A70" t="s">
        <v>598</v>
      </c>
      <c r="B70" s="158">
        <v>45503.447916666664</v>
      </c>
      <c r="C70" t="s">
        <v>58</v>
      </c>
      <c r="D70" t="s">
        <v>25</v>
      </c>
      <c r="E70" t="s">
        <v>28</v>
      </c>
      <c r="F70" t="s">
        <v>29</v>
      </c>
      <c r="G70" s="114">
        <v>3495.43</v>
      </c>
      <c r="H70" t="s">
        <v>17</v>
      </c>
      <c r="J70">
        <v>2.9</v>
      </c>
      <c r="K70" s="114">
        <v>0</v>
      </c>
      <c r="L70" s="114">
        <v>0</v>
      </c>
    </row>
    <row r="71" spans="1:12" x14ac:dyDescent="0.25">
      <c r="A71" t="s">
        <v>599</v>
      </c>
      <c r="B71" s="158">
        <v>45503.663888888892</v>
      </c>
      <c r="C71" t="s">
        <v>58</v>
      </c>
      <c r="D71" t="s">
        <v>25</v>
      </c>
      <c r="E71" t="s">
        <v>39</v>
      </c>
      <c r="F71" t="s">
        <v>45</v>
      </c>
      <c r="G71" s="114">
        <v>1882.98</v>
      </c>
      <c r="H71" t="s">
        <v>34</v>
      </c>
      <c r="I71" t="s">
        <v>100</v>
      </c>
      <c r="J71">
        <v>3.2</v>
      </c>
      <c r="K71" s="114">
        <v>0</v>
      </c>
      <c r="L71" s="114">
        <v>0</v>
      </c>
    </row>
    <row r="72" spans="1:12" x14ac:dyDescent="0.25">
      <c r="A72" t="s">
        <v>600</v>
      </c>
      <c r="B72" s="158">
        <v>45504.059027777781</v>
      </c>
      <c r="C72" t="s">
        <v>13</v>
      </c>
      <c r="D72" t="s">
        <v>14</v>
      </c>
      <c r="E72" t="s">
        <v>39</v>
      </c>
      <c r="F72" t="s">
        <v>29</v>
      </c>
      <c r="G72" s="114">
        <v>1936.97</v>
      </c>
      <c r="H72" t="s">
        <v>22</v>
      </c>
      <c r="J72">
        <v>3.2</v>
      </c>
      <c r="K72" s="114">
        <v>61.98</v>
      </c>
      <c r="L72" s="114">
        <v>1874.99</v>
      </c>
    </row>
    <row r="73" spans="1:12" x14ac:dyDescent="0.25">
      <c r="A73" t="s">
        <v>601</v>
      </c>
      <c r="B73" s="158">
        <v>45504.940972222219</v>
      </c>
      <c r="C73" t="s">
        <v>43</v>
      </c>
      <c r="D73" t="s">
        <v>25</v>
      </c>
      <c r="E73" t="s">
        <v>33</v>
      </c>
      <c r="F73" t="s">
        <v>29</v>
      </c>
      <c r="G73" s="114">
        <v>3811.68</v>
      </c>
      <c r="H73" t="s">
        <v>17</v>
      </c>
      <c r="J73">
        <v>1.9</v>
      </c>
      <c r="K73" s="114">
        <v>0</v>
      </c>
      <c r="L73" s="114">
        <v>0</v>
      </c>
    </row>
    <row r="74" spans="1:12" x14ac:dyDescent="0.25">
      <c r="A74" t="s">
        <v>602</v>
      </c>
      <c r="B74" s="158">
        <v>45505.09375</v>
      </c>
      <c r="C74" t="s">
        <v>43</v>
      </c>
      <c r="D74" t="s">
        <v>25</v>
      </c>
      <c r="E74" t="s">
        <v>28</v>
      </c>
      <c r="F74" t="s">
        <v>21</v>
      </c>
      <c r="G74" s="114">
        <v>139.55000000000001</v>
      </c>
      <c r="H74" t="s">
        <v>22</v>
      </c>
      <c r="J74">
        <v>2.9</v>
      </c>
      <c r="K74" s="114">
        <v>4.05</v>
      </c>
      <c r="L74" s="114">
        <v>135.5</v>
      </c>
    </row>
    <row r="75" spans="1:12" x14ac:dyDescent="0.25">
      <c r="A75" t="s">
        <v>603</v>
      </c>
      <c r="B75" s="158">
        <v>45505.316666666666</v>
      </c>
      <c r="C75" t="s">
        <v>27</v>
      </c>
      <c r="D75" t="s">
        <v>25</v>
      </c>
      <c r="E75" t="s">
        <v>15</v>
      </c>
      <c r="F75" t="s">
        <v>21</v>
      </c>
      <c r="G75" s="114">
        <v>4549.58</v>
      </c>
      <c r="H75" t="s">
        <v>22</v>
      </c>
      <c r="J75">
        <v>2.5</v>
      </c>
      <c r="K75" s="114">
        <v>113.74</v>
      </c>
      <c r="L75" s="114">
        <v>4435.84</v>
      </c>
    </row>
    <row r="76" spans="1:12" x14ac:dyDescent="0.25">
      <c r="A76" t="s">
        <v>604</v>
      </c>
      <c r="B76" s="158">
        <v>45505.623611111114</v>
      </c>
      <c r="C76" t="s">
        <v>31</v>
      </c>
      <c r="D76" t="s">
        <v>32</v>
      </c>
      <c r="E76" t="s">
        <v>28</v>
      </c>
      <c r="F76" t="s">
        <v>29</v>
      </c>
      <c r="G76" s="114">
        <v>4617.8100000000004</v>
      </c>
      <c r="H76" t="s">
        <v>34</v>
      </c>
      <c r="I76" t="s">
        <v>62</v>
      </c>
      <c r="J76">
        <v>2.9</v>
      </c>
      <c r="K76" s="114">
        <v>0</v>
      </c>
      <c r="L76" s="114">
        <v>0</v>
      </c>
    </row>
    <row r="77" spans="1:12" x14ac:dyDescent="0.25">
      <c r="A77" t="s">
        <v>605</v>
      </c>
      <c r="B77" s="158">
        <v>45506.024305555555</v>
      </c>
      <c r="C77" t="s">
        <v>24</v>
      </c>
      <c r="D77" t="s">
        <v>25</v>
      </c>
      <c r="E77" t="s">
        <v>44</v>
      </c>
      <c r="F77" t="s">
        <v>41</v>
      </c>
      <c r="G77" s="114">
        <v>4933.1499999999996</v>
      </c>
      <c r="H77" t="s">
        <v>22</v>
      </c>
      <c r="J77">
        <v>2.1</v>
      </c>
      <c r="K77" s="114">
        <v>103.6</v>
      </c>
      <c r="L77" s="114">
        <v>4829.55</v>
      </c>
    </row>
    <row r="78" spans="1:12" x14ac:dyDescent="0.25">
      <c r="A78" t="s">
        <v>606</v>
      </c>
      <c r="B78" s="158">
        <v>45506.226388888892</v>
      </c>
      <c r="C78" t="s">
        <v>27</v>
      </c>
      <c r="D78" t="s">
        <v>25</v>
      </c>
      <c r="E78" t="s">
        <v>28</v>
      </c>
      <c r="F78" t="s">
        <v>21</v>
      </c>
      <c r="G78" s="114">
        <v>4880.88</v>
      </c>
      <c r="H78" t="s">
        <v>22</v>
      </c>
      <c r="J78">
        <v>2.9</v>
      </c>
      <c r="K78" s="114">
        <v>141.55000000000001</v>
      </c>
      <c r="L78" s="114">
        <v>4739.33</v>
      </c>
    </row>
    <row r="79" spans="1:12" x14ac:dyDescent="0.25">
      <c r="A79" t="s">
        <v>607</v>
      </c>
      <c r="B79" s="158">
        <v>45506.241666666669</v>
      </c>
      <c r="C79" t="s">
        <v>37</v>
      </c>
      <c r="D79" t="s">
        <v>38</v>
      </c>
      <c r="E79" t="s">
        <v>44</v>
      </c>
      <c r="F79" t="s">
        <v>21</v>
      </c>
      <c r="G79" s="114">
        <v>3022.14</v>
      </c>
      <c r="H79" t="s">
        <v>17</v>
      </c>
      <c r="J79">
        <v>2.1</v>
      </c>
      <c r="K79" s="114">
        <v>0</v>
      </c>
      <c r="L79" s="114">
        <v>0</v>
      </c>
    </row>
    <row r="80" spans="1:12" x14ac:dyDescent="0.25">
      <c r="A80" t="s">
        <v>608</v>
      </c>
      <c r="B80" s="158">
        <v>45506.27847222222</v>
      </c>
      <c r="C80" t="s">
        <v>13</v>
      </c>
      <c r="D80" t="s">
        <v>14</v>
      </c>
      <c r="E80" t="s">
        <v>44</v>
      </c>
      <c r="F80" t="s">
        <v>45</v>
      </c>
      <c r="G80" s="114">
        <v>3976.28</v>
      </c>
      <c r="H80" t="s">
        <v>34</v>
      </c>
      <c r="I80" t="s">
        <v>62</v>
      </c>
      <c r="J80">
        <v>2.1</v>
      </c>
      <c r="K80" s="114">
        <v>0</v>
      </c>
      <c r="L80" s="114">
        <v>0</v>
      </c>
    </row>
    <row r="81" spans="1:12" x14ac:dyDescent="0.25">
      <c r="A81" t="s">
        <v>609</v>
      </c>
      <c r="B81" s="158">
        <v>45506.51666666667</v>
      </c>
      <c r="C81" t="s">
        <v>60</v>
      </c>
      <c r="D81" t="s">
        <v>25</v>
      </c>
      <c r="E81" t="s">
        <v>33</v>
      </c>
      <c r="F81" t="s">
        <v>45</v>
      </c>
      <c r="G81" s="114">
        <v>4081.91</v>
      </c>
      <c r="H81" t="s">
        <v>22</v>
      </c>
      <c r="J81">
        <v>1.9</v>
      </c>
      <c r="K81" s="114">
        <v>77.56</v>
      </c>
      <c r="L81" s="114">
        <v>4004.35</v>
      </c>
    </row>
    <row r="82" spans="1:12" x14ac:dyDescent="0.25">
      <c r="A82" t="s">
        <v>610</v>
      </c>
      <c r="B82" s="158">
        <v>45506.538888888892</v>
      </c>
      <c r="C82" t="s">
        <v>13</v>
      </c>
      <c r="D82" t="s">
        <v>14</v>
      </c>
      <c r="E82" t="s">
        <v>39</v>
      </c>
      <c r="F82" t="s">
        <v>21</v>
      </c>
      <c r="G82" s="114">
        <v>4547.0600000000004</v>
      </c>
      <c r="H82" t="s">
        <v>22</v>
      </c>
      <c r="J82">
        <v>3.2</v>
      </c>
      <c r="K82" s="114">
        <v>145.51</v>
      </c>
      <c r="L82" s="114">
        <v>4401.55</v>
      </c>
    </row>
    <row r="83" spans="1:12" x14ac:dyDescent="0.25">
      <c r="A83" t="s">
        <v>611</v>
      </c>
      <c r="B83" s="158">
        <v>45506.797222222223</v>
      </c>
      <c r="C83" t="s">
        <v>19</v>
      </c>
      <c r="D83" t="s">
        <v>20</v>
      </c>
      <c r="E83" t="s">
        <v>15</v>
      </c>
      <c r="F83" t="s">
        <v>16</v>
      </c>
      <c r="G83" s="114">
        <v>936.91</v>
      </c>
      <c r="H83" t="s">
        <v>17</v>
      </c>
      <c r="J83">
        <v>2.5</v>
      </c>
      <c r="K83" s="114">
        <v>0</v>
      </c>
      <c r="L83" s="114">
        <v>0</v>
      </c>
    </row>
    <row r="84" spans="1:12" x14ac:dyDescent="0.25">
      <c r="A84" t="s">
        <v>612</v>
      </c>
      <c r="B84" s="158">
        <v>45507.370138888888</v>
      </c>
      <c r="C84" t="s">
        <v>31</v>
      </c>
      <c r="D84" t="s">
        <v>32</v>
      </c>
      <c r="E84" t="s">
        <v>15</v>
      </c>
      <c r="F84" t="s">
        <v>41</v>
      </c>
      <c r="G84" s="114">
        <v>3747.63</v>
      </c>
      <c r="H84" t="s">
        <v>22</v>
      </c>
      <c r="J84">
        <v>2.5</v>
      </c>
      <c r="K84" s="114">
        <v>93.69</v>
      </c>
      <c r="L84" s="114">
        <v>3653.94</v>
      </c>
    </row>
    <row r="85" spans="1:12" x14ac:dyDescent="0.25">
      <c r="A85" t="s">
        <v>613</v>
      </c>
      <c r="B85" s="158">
        <v>45507.496527777781</v>
      </c>
      <c r="C85" t="s">
        <v>60</v>
      </c>
      <c r="D85" t="s">
        <v>25</v>
      </c>
      <c r="E85" t="s">
        <v>33</v>
      </c>
      <c r="F85" t="s">
        <v>16</v>
      </c>
      <c r="G85" s="114">
        <v>1155.1400000000001</v>
      </c>
      <c r="H85" t="s">
        <v>34</v>
      </c>
      <c r="I85" t="s">
        <v>55</v>
      </c>
      <c r="J85">
        <v>1.9</v>
      </c>
      <c r="K85" s="114">
        <v>0</v>
      </c>
      <c r="L85" s="114">
        <v>0</v>
      </c>
    </row>
    <row r="86" spans="1:12" x14ac:dyDescent="0.25">
      <c r="A86" t="s">
        <v>614</v>
      </c>
      <c r="B86" s="158">
        <v>45508.022916666669</v>
      </c>
      <c r="C86" t="s">
        <v>31</v>
      </c>
      <c r="D86" t="s">
        <v>32</v>
      </c>
      <c r="E86" t="s">
        <v>28</v>
      </c>
      <c r="F86" t="s">
        <v>16</v>
      </c>
      <c r="G86" s="114">
        <v>735.18</v>
      </c>
      <c r="H86" t="s">
        <v>22</v>
      </c>
      <c r="J86">
        <v>2.9</v>
      </c>
      <c r="K86" s="114">
        <v>21.32</v>
      </c>
      <c r="L86" s="114">
        <v>713.86</v>
      </c>
    </row>
    <row r="87" spans="1:12" x14ac:dyDescent="0.25">
      <c r="A87" t="s">
        <v>615</v>
      </c>
      <c r="B87" s="158">
        <v>45508.537499999999</v>
      </c>
      <c r="C87" t="s">
        <v>37</v>
      </c>
      <c r="D87" t="s">
        <v>38</v>
      </c>
      <c r="E87" t="s">
        <v>15</v>
      </c>
      <c r="F87" t="s">
        <v>21</v>
      </c>
      <c r="G87" s="114">
        <v>1098.8599999999999</v>
      </c>
      <c r="H87" t="s">
        <v>22</v>
      </c>
      <c r="J87">
        <v>2.5</v>
      </c>
      <c r="K87" s="114">
        <v>27.47</v>
      </c>
      <c r="L87" s="114">
        <v>1071.3900000000001</v>
      </c>
    </row>
    <row r="88" spans="1:12" x14ac:dyDescent="0.25">
      <c r="A88" t="s">
        <v>616</v>
      </c>
      <c r="B88" s="158">
        <v>45508.561805555553</v>
      </c>
      <c r="C88" t="s">
        <v>60</v>
      </c>
      <c r="D88" t="s">
        <v>25</v>
      </c>
      <c r="E88" t="s">
        <v>28</v>
      </c>
      <c r="F88" t="s">
        <v>41</v>
      </c>
      <c r="G88" s="114">
        <v>2019.08</v>
      </c>
      <c r="H88" t="s">
        <v>22</v>
      </c>
      <c r="J88">
        <v>2.9</v>
      </c>
      <c r="K88" s="114">
        <v>58.55</v>
      </c>
      <c r="L88" s="114">
        <v>1960.53</v>
      </c>
    </row>
    <row r="89" spans="1:12" x14ac:dyDescent="0.25">
      <c r="A89" t="s">
        <v>617</v>
      </c>
      <c r="B89" s="158">
        <v>45508.934027777781</v>
      </c>
      <c r="C89" t="s">
        <v>31</v>
      </c>
      <c r="D89" t="s">
        <v>32</v>
      </c>
      <c r="E89" t="s">
        <v>33</v>
      </c>
      <c r="F89" t="s">
        <v>45</v>
      </c>
      <c r="G89" s="114">
        <v>3084.07</v>
      </c>
      <c r="H89" t="s">
        <v>22</v>
      </c>
      <c r="J89">
        <v>1.9</v>
      </c>
      <c r="K89" s="114">
        <v>58.6</v>
      </c>
      <c r="L89" s="114">
        <v>3025.47</v>
      </c>
    </row>
    <row r="90" spans="1:12" x14ac:dyDescent="0.25">
      <c r="A90" t="s">
        <v>618</v>
      </c>
      <c r="B90" s="158">
        <v>45509.148611111108</v>
      </c>
      <c r="C90" t="s">
        <v>24</v>
      </c>
      <c r="D90" t="s">
        <v>25</v>
      </c>
      <c r="E90" t="s">
        <v>44</v>
      </c>
      <c r="F90" t="s">
        <v>21</v>
      </c>
      <c r="G90" s="114">
        <v>4134.8900000000003</v>
      </c>
      <c r="H90" t="s">
        <v>22</v>
      </c>
      <c r="J90">
        <v>2.1</v>
      </c>
      <c r="K90" s="114">
        <v>86.83</v>
      </c>
      <c r="L90" s="114">
        <v>4048.06</v>
      </c>
    </row>
    <row r="91" spans="1:12" x14ac:dyDescent="0.25">
      <c r="A91" t="s">
        <v>619</v>
      </c>
      <c r="B91" s="158">
        <v>45510.095833333333</v>
      </c>
      <c r="C91" t="s">
        <v>19</v>
      </c>
      <c r="D91" t="s">
        <v>20</v>
      </c>
      <c r="E91" t="s">
        <v>15</v>
      </c>
      <c r="F91" t="s">
        <v>29</v>
      </c>
      <c r="G91" s="114">
        <v>493.96</v>
      </c>
      <c r="H91" t="s">
        <v>22</v>
      </c>
      <c r="J91">
        <v>2.5</v>
      </c>
      <c r="K91" s="114">
        <v>12.35</v>
      </c>
      <c r="L91" s="114">
        <v>481.61</v>
      </c>
    </row>
    <row r="92" spans="1:12" x14ac:dyDescent="0.25">
      <c r="A92" t="s">
        <v>620</v>
      </c>
      <c r="B92" s="158">
        <v>45510.53402777778</v>
      </c>
      <c r="C92" t="s">
        <v>60</v>
      </c>
      <c r="D92" t="s">
        <v>25</v>
      </c>
      <c r="E92" t="s">
        <v>33</v>
      </c>
      <c r="F92" t="s">
        <v>16</v>
      </c>
      <c r="G92" s="114">
        <v>3603.8</v>
      </c>
      <c r="H92" t="s">
        <v>34</v>
      </c>
      <c r="I92" t="s">
        <v>100</v>
      </c>
      <c r="J92">
        <v>1.9</v>
      </c>
      <c r="K92" s="114">
        <v>0</v>
      </c>
      <c r="L92" s="114">
        <v>0</v>
      </c>
    </row>
    <row r="93" spans="1:12" x14ac:dyDescent="0.25">
      <c r="A93" t="s">
        <v>621</v>
      </c>
      <c r="B93" s="158">
        <v>45510.82916666667</v>
      </c>
      <c r="C93" t="s">
        <v>37</v>
      </c>
      <c r="D93" t="s">
        <v>38</v>
      </c>
      <c r="E93" t="s">
        <v>39</v>
      </c>
      <c r="F93" t="s">
        <v>45</v>
      </c>
      <c r="G93" s="114">
        <v>2879.96</v>
      </c>
      <c r="H93" t="s">
        <v>17</v>
      </c>
      <c r="J93">
        <v>3.2</v>
      </c>
      <c r="K93" s="114">
        <v>0</v>
      </c>
      <c r="L93" s="114">
        <v>0</v>
      </c>
    </row>
    <row r="94" spans="1:12" x14ac:dyDescent="0.25">
      <c r="A94" t="s">
        <v>622</v>
      </c>
      <c r="B94" s="158">
        <v>45511.287499999999</v>
      </c>
      <c r="C94" t="s">
        <v>31</v>
      </c>
      <c r="D94" t="s">
        <v>32</v>
      </c>
      <c r="E94" t="s">
        <v>15</v>
      </c>
      <c r="F94" t="s">
        <v>21</v>
      </c>
      <c r="G94" s="114">
        <v>904.69</v>
      </c>
      <c r="H94" t="s">
        <v>34</v>
      </c>
      <c r="I94" t="s">
        <v>78</v>
      </c>
      <c r="J94">
        <v>2.5</v>
      </c>
      <c r="K94" s="114">
        <v>0</v>
      </c>
      <c r="L94" s="114">
        <v>0</v>
      </c>
    </row>
    <row r="95" spans="1:12" x14ac:dyDescent="0.25">
      <c r="A95" t="s">
        <v>623</v>
      </c>
      <c r="B95" s="158">
        <v>45511.742361111108</v>
      </c>
      <c r="C95" t="s">
        <v>19</v>
      </c>
      <c r="D95" t="s">
        <v>20</v>
      </c>
      <c r="E95" t="s">
        <v>33</v>
      </c>
      <c r="F95" t="s">
        <v>45</v>
      </c>
      <c r="G95" s="114">
        <v>141.01</v>
      </c>
      <c r="H95" t="s">
        <v>22</v>
      </c>
      <c r="J95">
        <v>1.9</v>
      </c>
      <c r="K95" s="114">
        <v>2.68</v>
      </c>
      <c r="L95" s="114">
        <v>138.33000000000001</v>
      </c>
    </row>
    <row r="96" spans="1:12" x14ac:dyDescent="0.25">
      <c r="A96" t="s">
        <v>624</v>
      </c>
      <c r="B96" s="158">
        <v>45511.836805555555</v>
      </c>
      <c r="C96" t="s">
        <v>31</v>
      </c>
      <c r="D96" t="s">
        <v>32</v>
      </c>
      <c r="E96" t="s">
        <v>28</v>
      </c>
      <c r="F96" t="s">
        <v>29</v>
      </c>
      <c r="G96" s="114">
        <v>2389.27</v>
      </c>
      <c r="H96" t="s">
        <v>22</v>
      </c>
      <c r="J96">
        <v>2.9</v>
      </c>
      <c r="K96" s="114">
        <v>69.290000000000006</v>
      </c>
      <c r="L96" s="114">
        <v>2319.98</v>
      </c>
    </row>
    <row r="97" spans="1:12" x14ac:dyDescent="0.25">
      <c r="A97" t="s">
        <v>625</v>
      </c>
      <c r="B97" s="158">
        <v>45512.179861111108</v>
      </c>
      <c r="C97" t="s">
        <v>58</v>
      </c>
      <c r="D97" t="s">
        <v>25</v>
      </c>
      <c r="E97" t="s">
        <v>15</v>
      </c>
      <c r="F97" t="s">
        <v>41</v>
      </c>
      <c r="G97" s="114">
        <v>2848.59</v>
      </c>
      <c r="H97" t="s">
        <v>34</v>
      </c>
      <c r="I97" t="s">
        <v>100</v>
      </c>
      <c r="J97">
        <v>2.5</v>
      </c>
      <c r="K97" s="114">
        <v>0</v>
      </c>
      <c r="L97" s="114">
        <v>0</v>
      </c>
    </row>
    <row r="98" spans="1:12" x14ac:dyDescent="0.25">
      <c r="A98" t="s">
        <v>626</v>
      </c>
      <c r="B98" s="158">
        <v>45512.62222222222</v>
      </c>
      <c r="C98" t="s">
        <v>24</v>
      </c>
      <c r="D98" t="s">
        <v>25</v>
      </c>
      <c r="E98" t="s">
        <v>15</v>
      </c>
      <c r="F98" t="s">
        <v>21</v>
      </c>
      <c r="G98" s="114">
        <v>4138.82</v>
      </c>
      <c r="H98" t="s">
        <v>34</v>
      </c>
      <c r="I98" t="s">
        <v>55</v>
      </c>
      <c r="J98">
        <v>2.5</v>
      </c>
      <c r="K98" s="114">
        <v>0</v>
      </c>
      <c r="L98" s="114">
        <v>0</v>
      </c>
    </row>
    <row r="99" spans="1:12" x14ac:dyDescent="0.25">
      <c r="A99" t="s">
        <v>627</v>
      </c>
      <c r="B99" s="158">
        <v>45512.840277777781</v>
      </c>
      <c r="C99" t="s">
        <v>19</v>
      </c>
      <c r="D99" t="s">
        <v>20</v>
      </c>
      <c r="E99" t="s">
        <v>15</v>
      </c>
      <c r="F99" t="s">
        <v>29</v>
      </c>
      <c r="G99" s="114">
        <v>277.24</v>
      </c>
      <c r="H99" t="s">
        <v>22</v>
      </c>
      <c r="J99">
        <v>2.5</v>
      </c>
      <c r="K99" s="114">
        <v>6.93</v>
      </c>
      <c r="L99" s="114">
        <v>270.31</v>
      </c>
    </row>
    <row r="100" spans="1:12" x14ac:dyDescent="0.25">
      <c r="A100" t="s">
        <v>628</v>
      </c>
      <c r="B100" s="158">
        <v>45513.238194444442</v>
      </c>
      <c r="C100" t="s">
        <v>19</v>
      </c>
      <c r="D100" t="s">
        <v>20</v>
      </c>
      <c r="E100" t="s">
        <v>15</v>
      </c>
      <c r="F100" t="s">
        <v>41</v>
      </c>
      <c r="G100" s="114">
        <v>3863.12</v>
      </c>
      <c r="H100" t="s">
        <v>22</v>
      </c>
      <c r="J100">
        <v>2.5</v>
      </c>
      <c r="K100" s="114">
        <v>96.58</v>
      </c>
      <c r="L100" s="114">
        <v>3766.54</v>
      </c>
    </row>
    <row r="101" spans="1:12" x14ac:dyDescent="0.25">
      <c r="A101" t="s">
        <v>629</v>
      </c>
      <c r="B101" s="158">
        <v>45513.417361111111</v>
      </c>
      <c r="C101" t="s">
        <v>58</v>
      </c>
      <c r="D101" t="s">
        <v>25</v>
      </c>
      <c r="E101" t="s">
        <v>28</v>
      </c>
      <c r="F101" t="s">
        <v>45</v>
      </c>
      <c r="G101" s="114">
        <v>39.44</v>
      </c>
      <c r="H101" t="s">
        <v>17</v>
      </c>
      <c r="J101">
        <v>2.9</v>
      </c>
      <c r="K101" s="114">
        <v>0</v>
      </c>
      <c r="L101" s="114">
        <v>0</v>
      </c>
    </row>
    <row r="102" spans="1:12" x14ac:dyDescent="0.25">
      <c r="A102" t="s">
        <v>630</v>
      </c>
      <c r="B102" s="158">
        <v>45513.486111111109</v>
      </c>
      <c r="C102" t="s">
        <v>43</v>
      </c>
      <c r="D102" t="s">
        <v>25</v>
      </c>
      <c r="E102" t="s">
        <v>44</v>
      </c>
      <c r="F102" t="s">
        <v>16</v>
      </c>
      <c r="G102" s="114">
        <v>888.92</v>
      </c>
      <c r="H102" t="s">
        <v>17</v>
      </c>
      <c r="J102">
        <v>2.1</v>
      </c>
      <c r="K102" s="114">
        <v>0</v>
      </c>
      <c r="L102" s="114">
        <v>0</v>
      </c>
    </row>
    <row r="103" spans="1:12" x14ac:dyDescent="0.25">
      <c r="A103" t="s">
        <v>631</v>
      </c>
      <c r="B103" s="158">
        <v>45513.831944444442</v>
      </c>
      <c r="C103" t="s">
        <v>47</v>
      </c>
      <c r="D103" t="s">
        <v>25</v>
      </c>
      <c r="E103" t="s">
        <v>39</v>
      </c>
      <c r="F103" t="s">
        <v>21</v>
      </c>
      <c r="G103" s="114">
        <v>1342.77</v>
      </c>
      <c r="H103" t="s">
        <v>22</v>
      </c>
      <c r="J103">
        <v>3.2</v>
      </c>
      <c r="K103" s="114">
        <v>42.97</v>
      </c>
      <c r="L103" s="114">
        <v>1299.8</v>
      </c>
    </row>
    <row r="104" spans="1:12" x14ac:dyDescent="0.25">
      <c r="A104" t="s">
        <v>632</v>
      </c>
      <c r="B104" s="158">
        <v>45514.784722222219</v>
      </c>
      <c r="C104" t="s">
        <v>37</v>
      </c>
      <c r="D104" t="s">
        <v>38</v>
      </c>
      <c r="E104" t="s">
        <v>33</v>
      </c>
      <c r="F104" t="s">
        <v>29</v>
      </c>
      <c r="G104" s="114">
        <v>873.7</v>
      </c>
      <c r="H104" t="s">
        <v>22</v>
      </c>
      <c r="J104">
        <v>1.9</v>
      </c>
      <c r="K104" s="114">
        <v>16.600000000000001</v>
      </c>
      <c r="L104" s="114">
        <v>857.1</v>
      </c>
    </row>
    <row r="105" spans="1:12" x14ac:dyDescent="0.25">
      <c r="A105" t="s">
        <v>633</v>
      </c>
      <c r="B105" s="158">
        <v>45514.852083333331</v>
      </c>
      <c r="C105" t="s">
        <v>31</v>
      </c>
      <c r="D105" t="s">
        <v>32</v>
      </c>
      <c r="E105" t="s">
        <v>28</v>
      </c>
      <c r="F105" t="s">
        <v>45</v>
      </c>
      <c r="G105" s="114">
        <v>1715.31</v>
      </c>
      <c r="H105" t="s">
        <v>34</v>
      </c>
      <c r="I105" t="s">
        <v>35</v>
      </c>
      <c r="J105">
        <v>2.9</v>
      </c>
      <c r="K105" s="114">
        <v>0</v>
      </c>
      <c r="L105" s="114">
        <v>0</v>
      </c>
    </row>
    <row r="106" spans="1:12" x14ac:dyDescent="0.25">
      <c r="A106" t="s">
        <v>634</v>
      </c>
      <c r="B106" s="158">
        <v>45514.880555555559</v>
      </c>
      <c r="C106" t="s">
        <v>24</v>
      </c>
      <c r="D106" t="s">
        <v>25</v>
      </c>
      <c r="E106" t="s">
        <v>39</v>
      </c>
      <c r="F106" t="s">
        <v>21</v>
      </c>
      <c r="G106" s="114">
        <v>4256.0600000000004</v>
      </c>
      <c r="H106" t="s">
        <v>34</v>
      </c>
      <c r="I106" t="s">
        <v>62</v>
      </c>
      <c r="J106">
        <v>3.2</v>
      </c>
      <c r="K106" s="114">
        <v>0</v>
      </c>
      <c r="L106" s="114">
        <v>0</v>
      </c>
    </row>
    <row r="107" spans="1:12" x14ac:dyDescent="0.25">
      <c r="A107" t="s">
        <v>635</v>
      </c>
      <c r="B107" s="158">
        <v>45515.537499999999</v>
      </c>
      <c r="C107" t="s">
        <v>31</v>
      </c>
      <c r="D107" t="s">
        <v>32</v>
      </c>
      <c r="E107" t="s">
        <v>33</v>
      </c>
      <c r="F107" t="s">
        <v>29</v>
      </c>
      <c r="G107" s="114">
        <v>26.5</v>
      </c>
      <c r="H107" t="s">
        <v>34</v>
      </c>
      <c r="I107" t="s">
        <v>78</v>
      </c>
      <c r="J107">
        <v>1.9</v>
      </c>
      <c r="K107" s="114">
        <v>0</v>
      </c>
      <c r="L107" s="114">
        <v>0</v>
      </c>
    </row>
    <row r="108" spans="1:12" x14ac:dyDescent="0.25">
      <c r="A108" t="s">
        <v>636</v>
      </c>
      <c r="B108" s="158">
        <v>45515.870833333334</v>
      </c>
      <c r="C108" t="s">
        <v>13</v>
      </c>
      <c r="D108" t="s">
        <v>14</v>
      </c>
      <c r="E108" t="s">
        <v>44</v>
      </c>
      <c r="F108" t="s">
        <v>41</v>
      </c>
      <c r="G108" s="114">
        <v>1511.58</v>
      </c>
      <c r="H108" t="s">
        <v>34</v>
      </c>
      <c r="I108" t="s">
        <v>35</v>
      </c>
      <c r="J108">
        <v>2.1</v>
      </c>
      <c r="K108" s="114">
        <v>0</v>
      </c>
      <c r="L108" s="114">
        <v>0</v>
      </c>
    </row>
    <row r="109" spans="1:12" x14ac:dyDescent="0.25">
      <c r="A109" t="s">
        <v>637</v>
      </c>
      <c r="B109" s="158">
        <v>45516.938194444447</v>
      </c>
      <c r="C109" t="s">
        <v>31</v>
      </c>
      <c r="D109" t="s">
        <v>32</v>
      </c>
      <c r="E109" t="s">
        <v>28</v>
      </c>
      <c r="F109" t="s">
        <v>45</v>
      </c>
      <c r="G109" s="114">
        <v>3998.58</v>
      </c>
      <c r="H109" t="s">
        <v>22</v>
      </c>
      <c r="J109">
        <v>2.9</v>
      </c>
      <c r="K109" s="114">
        <v>115.96</v>
      </c>
      <c r="L109" s="114">
        <v>3882.62</v>
      </c>
    </row>
    <row r="110" spans="1:12" x14ac:dyDescent="0.25">
      <c r="A110" t="s">
        <v>638</v>
      </c>
      <c r="B110" s="158">
        <v>45517.114583333336</v>
      </c>
      <c r="C110" t="s">
        <v>47</v>
      </c>
      <c r="D110" t="s">
        <v>25</v>
      </c>
      <c r="E110" t="s">
        <v>44</v>
      </c>
      <c r="F110" t="s">
        <v>21</v>
      </c>
      <c r="G110" s="114">
        <v>1685.88</v>
      </c>
      <c r="H110" t="s">
        <v>17</v>
      </c>
      <c r="J110">
        <v>2.1</v>
      </c>
      <c r="K110" s="114">
        <v>0</v>
      </c>
      <c r="L110" s="114">
        <v>0</v>
      </c>
    </row>
    <row r="111" spans="1:12" x14ac:dyDescent="0.25">
      <c r="A111" t="s">
        <v>639</v>
      </c>
      <c r="B111" s="158">
        <v>45517.218055555553</v>
      </c>
      <c r="C111" t="s">
        <v>31</v>
      </c>
      <c r="D111" t="s">
        <v>32</v>
      </c>
      <c r="E111" t="s">
        <v>33</v>
      </c>
      <c r="F111" t="s">
        <v>21</v>
      </c>
      <c r="G111" s="114">
        <v>1065.47</v>
      </c>
      <c r="H111" t="s">
        <v>22</v>
      </c>
      <c r="J111">
        <v>1.9</v>
      </c>
      <c r="K111" s="114">
        <v>20.239999999999998</v>
      </c>
      <c r="L111" s="114">
        <v>1045.23</v>
      </c>
    </row>
    <row r="112" spans="1:12" x14ac:dyDescent="0.25">
      <c r="A112" t="s">
        <v>640</v>
      </c>
      <c r="B112" s="158">
        <v>45517.424305555556</v>
      </c>
      <c r="C112" t="s">
        <v>60</v>
      </c>
      <c r="D112" t="s">
        <v>25</v>
      </c>
      <c r="E112" t="s">
        <v>39</v>
      </c>
      <c r="F112" t="s">
        <v>16</v>
      </c>
      <c r="G112" s="114">
        <v>579.29</v>
      </c>
      <c r="H112" t="s">
        <v>22</v>
      </c>
      <c r="J112">
        <v>3.2</v>
      </c>
      <c r="K112" s="114">
        <v>18.54</v>
      </c>
      <c r="L112" s="114">
        <v>560.75</v>
      </c>
    </row>
    <row r="113" spans="1:12" x14ac:dyDescent="0.25">
      <c r="A113" t="s">
        <v>641</v>
      </c>
      <c r="B113" s="158">
        <v>45517.490277777775</v>
      </c>
      <c r="C113" t="s">
        <v>24</v>
      </c>
      <c r="D113" t="s">
        <v>25</v>
      </c>
      <c r="E113" t="s">
        <v>44</v>
      </c>
      <c r="F113" t="s">
        <v>16</v>
      </c>
      <c r="G113" s="114">
        <v>3084.22</v>
      </c>
      <c r="H113" t="s">
        <v>34</v>
      </c>
      <c r="I113" t="s">
        <v>35</v>
      </c>
      <c r="J113">
        <v>2.1</v>
      </c>
      <c r="K113" s="114">
        <v>0</v>
      </c>
      <c r="L113" s="114">
        <v>0</v>
      </c>
    </row>
    <row r="114" spans="1:12" x14ac:dyDescent="0.25">
      <c r="A114" t="s">
        <v>642</v>
      </c>
      <c r="B114" s="158">
        <v>45518.381944444445</v>
      </c>
      <c r="C114" t="s">
        <v>58</v>
      </c>
      <c r="D114" t="s">
        <v>25</v>
      </c>
      <c r="E114" t="s">
        <v>15</v>
      </c>
      <c r="F114" t="s">
        <v>29</v>
      </c>
      <c r="G114" s="114">
        <v>4179.2</v>
      </c>
      <c r="H114" t="s">
        <v>17</v>
      </c>
      <c r="J114">
        <v>2.5</v>
      </c>
      <c r="K114" s="114">
        <v>0</v>
      </c>
      <c r="L114" s="114">
        <v>0</v>
      </c>
    </row>
    <row r="115" spans="1:12" x14ac:dyDescent="0.25">
      <c r="A115" t="s">
        <v>643</v>
      </c>
      <c r="B115" s="158">
        <v>45518.390972222223</v>
      </c>
      <c r="C115" t="s">
        <v>58</v>
      </c>
      <c r="D115" t="s">
        <v>25</v>
      </c>
      <c r="E115" t="s">
        <v>39</v>
      </c>
      <c r="F115" t="s">
        <v>29</v>
      </c>
      <c r="G115" s="114">
        <v>1524.83</v>
      </c>
      <c r="H115" t="s">
        <v>22</v>
      </c>
      <c r="J115">
        <v>3.2</v>
      </c>
      <c r="K115" s="114">
        <v>48.79</v>
      </c>
      <c r="L115" s="114">
        <v>1476.04</v>
      </c>
    </row>
    <row r="116" spans="1:12" x14ac:dyDescent="0.25">
      <c r="A116" t="s">
        <v>644</v>
      </c>
      <c r="B116" s="158">
        <v>45518.553472222222</v>
      </c>
      <c r="C116" t="s">
        <v>24</v>
      </c>
      <c r="D116" t="s">
        <v>25</v>
      </c>
      <c r="E116" t="s">
        <v>33</v>
      </c>
      <c r="F116" t="s">
        <v>41</v>
      </c>
      <c r="G116" s="114">
        <v>1732.41</v>
      </c>
      <c r="H116" t="s">
        <v>22</v>
      </c>
      <c r="J116">
        <v>1.9</v>
      </c>
      <c r="K116" s="114">
        <v>32.92</v>
      </c>
      <c r="L116" s="114">
        <v>1699.49</v>
      </c>
    </row>
    <row r="117" spans="1:12" x14ac:dyDescent="0.25">
      <c r="A117" t="s">
        <v>645</v>
      </c>
      <c r="B117" s="158">
        <v>45518.827777777777</v>
      </c>
      <c r="C117" t="s">
        <v>13</v>
      </c>
      <c r="D117" t="s">
        <v>14</v>
      </c>
      <c r="E117" t="s">
        <v>15</v>
      </c>
      <c r="F117" t="s">
        <v>45</v>
      </c>
      <c r="G117" s="114">
        <v>2235.11</v>
      </c>
      <c r="H117" t="s">
        <v>22</v>
      </c>
      <c r="J117">
        <v>2.5</v>
      </c>
      <c r="K117" s="114">
        <v>55.88</v>
      </c>
      <c r="L117" s="114">
        <v>2179.23</v>
      </c>
    </row>
    <row r="118" spans="1:12" x14ac:dyDescent="0.25">
      <c r="A118" t="s">
        <v>646</v>
      </c>
      <c r="B118" s="158">
        <v>45520.039583333331</v>
      </c>
      <c r="C118" t="s">
        <v>43</v>
      </c>
      <c r="D118" t="s">
        <v>25</v>
      </c>
      <c r="E118" t="s">
        <v>44</v>
      </c>
      <c r="F118" t="s">
        <v>41</v>
      </c>
      <c r="G118" s="114">
        <v>4665.1400000000003</v>
      </c>
      <c r="H118" t="s">
        <v>34</v>
      </c>
      <c r="I118" t="s">
        <v>62</v>
      </c>
      <c r="J118">
        <v>2.1</v>
      </c>
      <c r="K118" s="114">
        <v>0</v>
      </c>
      <c r="L118" s="114">
        <v>0</v>
      </c>
    </row>
    <row r="119" spans="1:12" x14ac:dyDescent="0.25">
      <c r="A119" t="s">
        <v>647</v>
      </c>
      <c r="B119" s="158">
        <v>45520.073611111111</v>
      </c>
      <c r="C119" t="s">
        <v>37</v>
      </c>
      <c r="D119" t="s">
        <v>38</v>
      </c>
      <c r="E119" t="s">
        <v>33</v>
      </c>
      <c r="F119" t="s">
        <v>16</v>
      </c>
      <c r="G119" s="114">
        <v>1380.03</v>
      </c>
      <c r="H119" t="s">
        <v>22</v>
      </c>
      <c r="J119">
        <v>1.9</v>
      </c>
      <c r="K119" s="114">
        <v>26.22</v>
      </c>
      <c r="L119" s="114">
        <v>1353.81</v>
      </c>
    </row>
    <row r="120" spans="1:12" x14ac:dyDescent="0.25">
      <c r="A120" t="s">
        <v>648</v>
      </c>
      <c r="B120" s="158">
        <v>45520.21597222222</v>
      </c>
      <c r="C120" t="s">
        <v>19</v>
      </c>
      <c r="D120" t="s">
        <v>20</v>
      </c>
      <c r="E120" t="s">
        <v>33</v>
      </c>
      <c r="F120" t="s">
        <v>29</v>
      </c>
      <c r="G120" s="114">
        <v>3682.24</v>
      </c>
      <c r="H120" t="s">
        <v>34</v>
      </c>
      <c r="I120" t="s">
        <v>62</v>
      </c>
      <c r="J120">
        <v>1.9</v>
      </c>
      <c r="K120" s="114">
        <v>0</v>
      </c>
      <c r="L120" s="114">
        <v>0</v>
      </c>
    </row>
    <row r="121" spans="1:12" x14ac:dyDescent="0.25">
      <c r="A121" t="s">
        <v>649</v>
      </c>
      <c r="B121" s="158">
        <v>45520.475694444445</v>
      </c>
      <c r="C121" t="s">
        <v>43</v>
      </c>
      <c r="D121" t="s">
        <v>25</v>
      </c>
      <c r="E121" t="s">
        <v>33</v>
      </c>
      <c r="F121" t="s">
        <v>45</v>
      </c>
      <c r="G121" s="114">
        <v>762.22</v>
      </c>
      <c r="H121" t="s">
        <v>22</v>
      </c>
      <c r="J121">
        <v>1.9</v>
      </c>
      <c r="K121" s="114">
        <v>14.48</v>
      </c>
      <c r="L121" s="114">
        <v>747.74</v>
      </c>
    </row>
    <row r="122" spans="1:12" x14ac:dyDescent="0.25">
      <c r="A122" t="s">
        <v>650</v>
      </c>
      <c r="B122" s="158">
        <v>45521.8125</v>
      </c>
      <c r="C122" t="s">
        <v>19</v>
      </c>
      <c r="D122" t="s">
        <v>20</v>
      </c>
      <c r="E122" t="s">
        <v>15</v>
      </c>
      <c r="F122" t="s">
        <v>45</v>
      </c>
      <c r="G122" s="114">
        <v>2538</v>
      </c>
      <c r="H122" t="s">
        <v>34</v>
      </c>
      <c r="I122" t="s">
        <v>100</v>
      </c>
      <c r="J122">
        <v>2.5</v>
      </c>
      <c r="K122" s="114">
        <v>0</v>
      </c>
      <c r="L122" s="114">
        <v>0</v>
      </c>
    </row>
    <row r="123" spans="1:12" x14ac:dyDescent="0.25">
      <c r="A123" t="s">
        <v>651</v>
      </c>
      <c r="B123" s="158">
        <v>45522.366666666669</v>
      </c>
      <c r="C123" t="s">
        <v>24</v>
      </c>
      <c r="D123" t="s">
        <v>25</v>
      </c>
      <c r="E123" t="s">
        <v>39</v>
      </c>
      <c r="F123" t="s">
        <v>45</v>
      </c>
      <c r="G123" s="114">
        <v>2428.14</v>
      </c>
      <c r="H123" t="s">
        <v>22</v>
      </c>
      <c r="J123">
        <v>3.2</v>
      </c>
      <c r="K123" s="114">
        <v>77.7</v>
      </c>
      <c r="L123" s="114">
        <v>2350.44</v>
      </c>
    </row>
    <row r="124" spans="1:12" x14ac:dyDescent="0.25">
      <c r="A124" t="s">
        <v>652</v>
      </c>
      <c r="B124" s="158">
        <v>45522.515277777777</v>
      </c>
      <c r="C124" t="s">
        <v>24</v>
      </c>
      <c r="D124" t="s">
        <v>25</v>
      </c>
      <c r="E124" t="s">
        <v>44</v>
      </c>
      <c r="F124" t="s">
        <v>16</v>
      </c>
      <c r="G124" s="114">
        <v>3026.82</v>
      </c>
      <c r="H124" t="s">
        <v>17</v>
      </c>
      <c r="J124">
        <v>2.1</v>
      </c>
      <c r="K124" s="114">
        <v>0</v>
      </c>
      <c r="L124" s="114">
        <v>0</v>
      </c>
    </row>
    <row r="125" spans="1:12" x14ac:dyDescent="0.25">
      <c r="A125" t="s">
        <v>653</v>
      </c>
      <c r="B125" s="158">
        <v>45522.59652777778</v>
      </c>
      <c r="C125" t="s">
        <v>19</v>
      </c>
      <c r="D125" t="s">
        <v>20</v>
      </c>
      <c r="E125" t="s">
        <v>15</v>
      </c>
      <c r="F125" t="s">
        <v>21</v>
      </c>
      <c r="G125" s="114">
        <v>2847.46</v>
      </c>
      <c r="H125" t="s">
        <v>22</v>
      </c>
      <c r="J125">
        <v>2.5</v>
      </c>
      <c r="K125" s="114">
        <v>71.19</v>
      </c>
      <c r="L125" s="114">
        <v>2776.27</v>
      </c>
    </row>
    <row r="126" spans="1:12" x14ac:dyDescent="0.25">
      <c r="A126" t="s">
        <v>654</v>
      </c>
      <c r="B126" s="158">
        <v>45522.612500000003</v>
      </c>
      <c r="C126" t="s">
        <v>19</v>
      </c>
      <c r="D126" t="s">
        <v>20</v>
      </c>
      <c r="E126" t="s">
        <v>33</v>
      </c>
      <c r="F126" t="s">
        <v>29</v>
      </c>
      <c r="G126" s="114">
        <v>4819.6400000000003</v>
      </c>
      <c r="H126" t="s">
        <v>22</v>
      </c>
      <c r="J126">
        <v>1.9</v>
      </c>
      <c r="K126" s="114">
        <v>91.57</v>
      </c>
      <c r="L126" s="114">
        <v>4728.07</v>
      </c>
    </row>
    <row r="127" spans="1:12" x14ac:dyDescent="0.25">
      <c r="A127" t="s">
        <v>655</v>
      </c>
      <c r="B127" s="158">
        <v>45522.67291666667</v>
      </c>
      <c r="C127" t="s">
        <v>58</v>
      </c>
      <c r="D127" t="s">
        <v>25</v>
      </c>
      <c r="E127" t="s">
        <v>28</v>
      </c>
      <c r="F127" t="s">
        <v>29</v>
      </c>
      <c r="G127" s="114">
        <v>4085.35</v>
      </c>
      <c r="H127" t="s">
        <v>22</v>
      </c>
      <c r="J127">
        <v>2.9</v>
      </c>
      <c r="K127" s="114">
        <v>118.48</v>
      </c>
      <c r="L127" s="114">
        <v>3966.87</v>
      </c>
    </row>
    <row r="128" spans="1:12" x14ac:dyDescent="0.25">
      <c r="A128" t="s">
        <v>656</v>
      </c>
      <c r="B128" s="158">
        <v>45522.768750000003</v>
      </c>
      <c r="C128" t="s">
        <v>58</v>
      </c>
      <c r="D128" t="s">
        <v>25</v>
      </c>
      <c r="E128" t="s">
        <v>28</v>
      </c>
      <c r="F128" t="s">
        <v>29</v>
      </c>
      <c r="G128" s="114">
        <v>1036.8599999999999</v>
      </c>
      <c r="H128" t="s">
        <v>22</v>
      </c>
      <c r="J128">
        <v>2.9</v>
      </c>
      <c r="K128" s="114">
        <v>30.07</v>
      </c>
      <c r="L128" s="114">
        <v>1006.79</v>
      </c>
    </row>
    <row r="129" spans="1:12" x14ac:dyDescent="0.25">
      <c r="A129" t="s">
        <v>657</v>
      </c>
      <c r="B129" s="158">
        <v>45523.635416666664</v>
      </c>
      <c r="C129" t="s">
        <v>31</v>
      </c>
      <c r="D129" t="s">
        <v>32</v>
      </c>
      <c r="E129" t="s">
        <v>33</v>
      </c>
      <c r="F129" t="s">
        <v>41</v>
      </c>
      <c r="G129" s="114">
        <v>3468.87</v>
      </c>
      <c r="H129" t="s">
        <v>34</v>
      </c>
      <c r="I129" t="s">
        <v>35</v>
      </c>
      <c r="J129">
        <v>1.9</v>
      </c>
      <c r="K129" s="114">
        <v>0</v>
      </c>
      <c r="L129" s="114">
        <v>0</v>
      </c>
    </row>
    <row r="130" spans="1:12" x14ac:dyDescent="0.25">
      <c r="A130" t="s">
        <v>658</v>
      </c>
      <c r="B130" s="158">
        <v>45524.031944444447</v>
      </c>
      <c r="C130" t="s">
        <v>47</v>
      </c>
      <c r="D130" t="s">
        <v>25</v>
      </c>
      <c r="E130" t="s">
        <v>33</v>
      </c>
      <c r="F130" t="s">
        <v>29</v>
      </c>
      <c r="G130" s="114">
        <v>2543.33</v>
      </c>
      <c r="H130" t="s">
        <v>22</v>
      </c>
      <c r="J130">
        <v>1.9</v>
      </c>
      <c r="K130" s="114">
        <v>48.32</v>
      </c>
      <c r="L130" s="114">
        <v>2495.0100000000002</v>
      </c>
    </row>
    <row r="131" spans="1:12" x14ac:dyDescent="0.25">
      <c r="A131" t="s">
        <v>659</v>
      </c>
      <c r="B131" s="158">
        <v>45524.113888888889</v>
      </c>
      <c r="C131" t="s">
        <v>60</v>
      </c>
      <c r="D131" t="s">
        <v>25</v>
      </c>
      <c r="E131" t="s">
        <v>44</v>
      </c>
      <c r="F131" t="s">
        <v>16</v>
      </c>
      <c r="G131" s="114">
        <v>2083.9499999999998</v>
      </c>
      <c r="H131" t="s">
        <v>34</v>
      </c>
      <c r="I131" t="s">
        <v>35</v>
      </c>
      <c r="J131">
        <v>2.1</v>
      </c>
      <c r="K131" s="114">
        <v>0</v>
      </c>
      <c r="L131" s="114">
        <v>0</v>
      </c>
    </row>
    <row r="132" spans="1:12" x14ac:dyDescent="0.25">
      <c r="A132" t="s">
        <v>660</v>
      </c>
      <c r="B132" s="158">
        <v>45524.427083333336</v>
      </c>
      <c r="C132" t="s">
        <v>19</v>
      </c>
      <c r="D132" t="s">
        <v>20</v>
      </c>
      <c r="E132" t="s">
        <v>33</v>
      </c>
      <c r="F132" t="s">
        <v>45</v>
      </c>
      <c r="G132" s="114">
        <v>4224.03</v>
      </c>
      <c r="H132" t="s">
        <v>22</v>
      </c>
      <c r="J132">
        <v>1.9</v>
      </c>
      <c r="K132" s="114">
        <v>80.260000000000005</v>
      </c>
      <c r="L132" s="114">
        <v>4143.7700000000004</v>
      </c>
    </row>
    <row r="133" spans="1:12" x14ac:dyDescent="0.25">
      <c r="A133" t="s">
        <v>661</v>
      </c>
      <c r="B133" s="158">
        <v>45524.625694444447</v>
      </c>
      <c r="C133" t="s">
        <v>31</v>
      </c>
      <c r="D133" t="s">
        <v>32</v>
      </c>
      <c r="E133" t="s">
        <v>15</v>
      </c>
      <c r="F133" t="s">
        <v>41</v>
      </c>
      <c r="G133" s="114">
        <v>1763.69</v>
      </c>
      <c r="H133" t="s">
        <v>34</v>
      </c>
      <c r="I133" t="s">
        <v>35</v>
      </c>
      <c r="J133">
        <v>2.5</v>
      </c>
      <c r="K133" s="114">
        <v>0</v>
      </c>
      <c r="L133" s="114">
        <v>0</v>
      </c>
    </row>
    <row r="134" spans="1:12" x14ac:dyDescent="0.25">
      <c r="A134" t="s">
        <v>662</v>
      </c>
      <c r="B134" s="158">
        <v>45524.693055555559</v>
      </c>
      <c r="C134" t="s">
        <v>58</v>
      </c>
      <c r="D134" t="s">
        <v>25</v>
      </c>
      <c r="E134" t="s">
        <v>28</v>
      </c>
      <c r="F134" t="s">
        <v>41</v>
      </c>
      <c r="G134" s="114">
        <v>4265.4399999999996</v>
      </c>
      <c r="H134" t="s">
        <v>17</v>
      </c>
      <c r="J134">
        <v>2.9</v>
      </c>
      <c r="K134" s="114">
        <v>0</v>
      </c>
      <c r="L134" s="114">
        <v>0</v>
      </c>
    </row>
    <row r="135" spans="1:12" x14ac:dyDescent="0.25">
      <c r="A135" t="s">
        <v>663</v>
      </c>
      <c r="B135" s="158">
        <v>45524.818055555559</v>
      </c>
      <c r="C135" t="s">
        <v>60</v>
      </c>
      <c r="D135" t="s">
        <v>25</v>
      </c>
      <c r="E135" t="s">
        <v>39</v>
      </c>
      <c r="F135" t="s">
        <v>29</v>
      </c>
      <c r="G135" s="114">
        <v>606.02</v>
      </c>
      <c r="H135" t="s">
        <v>22</v>
      </c>
      <c r="J135">
        <v>3.2</v>
      </c>
      <c r="K135" s="114">
        <v>19.39</v>
      </c>
      <c r="L135" s="114">
        <v>586.63</v>
      </c>
    </row>
    <row r="136" spans="1:12" x14ac:dyDescent="0.25">
      <c r="A136" t="s">
        <v>664</v>
      </c>
      <c r="B136" s="158">
        <v>45524.845138888886</v>
      </c>
      <c r="C136" t="s">
        <v>19</v>
      </c>
      <c r="D136" t="s">
        <v>20</v>
      </c>
      <c r="E136" t="s">
        <v>28</v>
      </c>
      <c r="F136" t="s">
        <v>21</v>
      </c>
      <c r="G136" s="114">
        <v>4849.1499999999996</v>
      </c>
      <c r="H136" t="s">
        <v>17</v>
      </c>
      <c r="J136">
        <v>2.9</v>
      </c>
      <c r="K136" s="114">
        <v>0</v>
      </c>
      <c r="L136" s="114">
        <v>0</v>
      </c>
    </row>
    <row r="137" spans="1:12" x14ac:dyDescent="0.25">
      <c r="A137" t="s">
        <v>665</v>
      </c>
      <c r="B137" s="158">
        <v>45524.896527777775</v>
      </c>
      <c r="C137" t="s">
        <v>31</v>
      </c>
      <c r="D137" t="s">
        <v>32</v>
      </c>
      <c r="E137" t="s">
        <v>44</v>
      </c>
      <c r="F137" t="s">
        <v>29</v>
      </c>
      <c r="G137" s="114">
        <v>960.82</v>
      </c>
      <c r="H137" t="s">
        <v>22</v>
      </c>
      <c r="J137">
        <v>2.1</v>
      </c>
      <c r="K137" s="114">
        <v>20.18</v>
      </c>
      <c r="L137" s="114">
        <v>940.64</v>
      </c>
    </row>
    <row r="138" spans="1:12" x14ac:dyDescent="0.25">
      <c r="A138" t="s">
        <v>666</v>
      </c>
      <c r="B138" s="158">
        <v>45525.018750000003</v>
      </c>
      <c r="C138" t="s">
        <v>24</v>
      </c>
      <c r="D138" t="s">
        <v>25</v>
      </c>
      <c r="E138" t="s">
        <v>44</v>
      </c>
      <c r="F138" t="s">
        <v>21</v>
      </c>
      <c r="G138" s="114">
        <v>803.3</v>
      </c>
      <c r="H138" t="s">
        <v>22</v>
      </c>
      <c r="J138">
        <v>2.1</v>
      </c>
      <c r="K138" s="114">
        <v>16.87</v>
      </c>
      <c r="L138" s="114">
        <v>786.43</v>
      </c>
    </row>
    <row r="139" spans="1:12" x14ac:dyDescent="0.25">
      <c r="A139" t="s">
        <v>667</v>
      </c>
      <c r="B139" s="158">
        <v>45525.580555555556</v>
      </c>
      <c r="C139" t="s">
        <v>19</v>
      </c>
      <c r="D139" t="s">
        <v>20</v>
      </c>
      <c r="E139" t="s">
        <v>44</v>
      </c>
      <c r="F139" t="s">
        <v>16</v>
      </c>
      <c r="G139" s="114">
        <v>2476.94</v>
      </c>
      <c r="H139" t="s">
        <v>22</v>
      </c>
      <c r="J139">
        <v>2.1</v>
      </c>
      <c r="K139" s="114">
        <v>52.02</v>
      </c>
      <c r="L139" s="114">
        <v>2424.92</v>
      </c>
    </row>
    <row r="140" spans="1:12" x14ac:dyDescent="0.25">
      <c r="A140" t="s">
        <v>668</v>
      </c>
      <c r="B140" s="158">
        <v>45525.798611111109</v>
      </c>
      <c r="C140" t="s">
        <v>19</v>
      </c>
      <c r="D140" t="s">
        <v>20</v>
      </c>
      <c r="E140" t="s">
        <v>28</v>
      </c>
      <c r="F140" t="s">
        <v>41</v>
      </c>
      <c r="G140" s="114">
        <v>579.76</v>
      </c>
      <c r="H140" t="s">
        <v>17</v>
      </c>
      <c r="J140">
        <v>2.9</v>
      </c>
      <c r="K140" s="114">
        <v>0</v>
      </c>
      <c r="L140" s="114">
        <v>0</v>
      </c>
    </row>
    <row r="141" spans="1:12" x14ac:dyDescent="0.25">
      <c r="A141" t="s">
        <v>669</v>
      </c>
      <c r="B141" s="158">
        <v>45525.984027777777</v>
      </c>
      <c r="C141" t="s">
        <v>37</v>
      </c>
      <c r="D141" t="s">
        <v>38</v>
      </c>
      <c r="E141" t="s">
        <v>28</v>
      </c>
      <c r="F141" t="s">
        <v>41</v>
      </c>
      <c r="G141" s="114">
        <v>3844.87</v>
      </c>
      <c r="H141" t="s">
        <v>22</v>
      </c>
      <c r="J141">
        <v>2.9</v>
      </c>
      <c r="K141" s="114">
        <v>111.5</v>
      </c>
      <c r="L141" s="114">
        <v>3733.37</v>
      </c>
    </row>
    <row r="142" spans="1:12" x14ac:dyDescent="0.25">
      <c r="A142" t="s">
        <v>670</v>
      </c>
      <c r="B142" s="158">
        <v>45526.086805555555</v>
      </c>
      <c r="C142" t="s">
        <v>58</v>
      </c>
      <c r="D142" t="s">
        <v>25</v>
      </c>
      <c r="E142" t="s">
        <v>44</v>
      </c>
      <c r="F142" t="s">
        <v>21</v>
      </c>
      <c r="G142" s="114">
        <v>4791.7</v>
      </c>
      <c r="H142" t="s">
        <v>22</v>
      </c>
      <c r="J142">
        <v>2.1</v>
      </c>
      <c r="K142" s="114">
        <v>100.63</v>
      </c>
      <c r="L142" s="114">
        <v>4691.07</v>
      </c>
    </row>
    <row r="143" spans="1:12" x14ac:dyDescent="0.25">
      <c r="A143" t="s">
        <v>671</v>
      </c>
      <c r="B143" s="158">
        <v>45526.129166666666</v>
      </c>
      <c r="C143" t="s">
        <v>19</v>
      </c>
      <c r="D143" t="s">
        <v>20</v>
      </c>
      <c r="E143" t="s">
        <v>33</v>
      </c>
      <c r="F143" t="s">
        <v>41</v>
      </c>
      <c r="G143" s="114">
        <v>4119.82</v>
      </c>
      <c r="H143" t="s">
        <v>22</v>
      </c>
      <c r="J143">
        <v>1.9</v>
      </c>
      <c r="K143" s="114">
        <v>78.28</v>
      </c>
      <c r="L143" s="114">
        <v>4041.54</v>
      </c>
    </row>
    <row r="144" spans="1:12" x14ac:dyDescent="0.25">
      <c r="A144" t="s">
        <v>672</v>
      </c>
      <c r="B144" s="158">
        <v>45526.400000000001</v>
      </c>
      <c r="C144" t="s">
        <v>27</v>
      </c>
      <c r="D144" t="s">
        <v>25</v>
      </c>
      <c r="E144" t="s">
        <v>39</v>
      </c>
      <c r="F144" t="s">
        <v>29</v>
      </c>
      <c r="G144" s="114">
        <v>3948.45</v>
      </c>
      <c r="H144" t="s">
        <v>22</v>
      </c>
      <c r="J144">
        <v>3.2</v>
      </c>
      <c r="K144" s="114">
        <v>126.35</v>
      </c>
      <c r="L144" s="114">
        <v>3822.1</v>
      </c>
    </row>
    <row r="145" spans="1:12" x14ac:dyDescent="0.25">
      <c r="A145" t="s">
        <v>673</v>
      </c>
      <c r="B145" s="158">
        <v>45526.629861111112</v>
      </c>
      <c r="C145" t="s">
        <v>27</v>
      </c>
      <c r="D145" t="s">
        <v>25</v>
      </c>
      <c r="E145" t="s">
        <v>28</v>
      </c>
      <c r="F145" t="s">
        <v>21</v>
      </c>
      <c r="G145" s="114">
        <v>476.95</v>
      </c>
      <c r="H145" t="s">
        <v>22</v>
      </c>
      <c r="J145">
        <v>2.9</v>
      </c>
      <c r="K145" s="114">
        <v>13.83</v>
      </c>
      <c r="L145" s="114">
        <v>463.12</v>
      </c>
    </row>
    <row r="146" spans="1:12" x14ac:dyDescent="0.25">
      <c r="A146" t="s">
        <v>674</v>
      </c>
      <c r="B146" s="158">
        <v>45526.662499999999</v>
      </c>
      <c r="C146" t="s">
        <v>43</v>
      </c>
      <c r="D146" t="s">
        <v>25</v>
      </c>
      <c r="E146" t="s">
        <v>33</v>
      </c>
      <c r="F146" t="s">
        <v>41</v>
      </c>
      <c r="G146" s="114">
        <v>3043.84</v>
      </c>
      <c r="H146" t="s">
        <v>34</v>
      </c>
      <c r="I146" t="s">
        <v>35</v>
      </c>
      <c r="J146">
        <v>1.9</v>
      </c>
      <c r="K146" s="114">
        <v>0</v>
      </c>
      <c r="L146" s="114">
        <v>0</v>
      </c>
    </row>
    <row r="147" spans="1:12" x14ac:dyDescent="0.25">
      <c r="A147" t="s">
        <v>675</v>
      </c>
      <c r="B147" s="158">
        <v>45526.799305555556</v>
      </c>
      <c r="C147" t="s">
        <v>47</v>
      </c>
      <c r="D147" t="s">
        <v>25</v>
      </c>
      <c r="E147" t="s">
        <v>33</v>
      </c>
      <c r="F147" t="s">
        <v>45</v>
      </c>
      <c r="G147" s="114">
        <v>432.91</v>
      </c>
      <c r="H147" t="s">
        <v>22</v>
      </c>
      <c r="J147">
        <v>1.9</v>
      </c>
      <c r="K147" s="114">
        <v>8.23</v>
      </c>
      <c r="L147" s="114">
        <v>424.68</v>
      </c>
    </row>
    <row r="148" spans="1:12" x14ac:dyDescent="0.25">
      <c r="A148" t="s">
        <v>676</v>
      </c>
      <c r="B148" s="158">
        <v>45526.895138888889</v>
      </c>
      <c r="C148" t="s">
        <v>19</v>
      </c>
      <c r="D148" t="s">
        <v>20</v>
      </c>
      <c r="E148" t="s">
        <v>28</v>
      </c>
      <c r="F148" t="s">
        <v>16</v>
      </c>
      <c r="G148" s="114">
        <v>590.17999999999995</v>
      </c>
      <c r="H148" t="s">
        <v>22</v>
      </c>
      <c r="J148">
        <v>2.9</v>
      </c>
      <c r="K148" s="114">
        <v>17.12</v>
      </c>
      <c r="L148" s="114">
        <v>573.05999999999995</v>
      </c>
    </row>
    <row r="149" spans="1:12" x14ac:dyDescent="0.25">
      <c r="A149" t="s">
        <v>677</v>
      </c>
      <c r="B149" s="158">
        <v>45527.043055555558</v>
      </c>
      <c r="C149" t="s">
        <v>27</v>
      </c>
      <c r="D149" t="s">
        <v>25</v>
      </c>
      <c r="E149" t="s">
        <v>33</v>
      </c>
      <c r="F149" t="s">
        <v>21</v>
      </c>
      <c r="G149" s="114">
        <v>4424.6499999999996</v>
      </c>
      <c r="H149" t="s">
        <v>22</v>
      </c>
      <c r="J149">
        <v>1.9</v>
      </c>
      <c r="K149" s="114">
        <v>84.07</v>
      </c>
      <c r="L149" s="114">
        <v>4340.58</v>
      </c>
    </row>
    <row r="150" spans="1:12" x14ac:dyDescent="0.25">
      <c r="A150" t="s">
        <v>678</v>
      </c>
      <c r="B150" s="158">
        <v>45527.464583333334</v>
      </c>
      <c r="C150" t="s">
        <v>47</v>
      </c>
      <c r="D150" t="s">
        <v>25</v>
      </c>
      <c r="E150" t="s">
        <v>44</v>
      </c>
      <c r="F150" t="s">
        <v>41</v>
      </c>
      <c r="G150" s="114">
        <v>170.76</v>
      </c>
      <c r="H150" t="s">
        <v>34</v>
      </c>
      <c r="I150" t="s">
        <v>100</v>
      </c>
      <c r="J150">
        <v>2.1</v>
      </c>
      <c r="K150" s="114">
        <v>0</v>
      </c>
      <c r="L150" s="114">
        <v>0</v>
      </c>
    </row>
    <row r="151" spans="1:12" x14ac:dyDescent="0.25">
      <c r="A151" t="s">
        <v>679</v>
      </c>
      <c r="B151" s="158">
        <v>45528.160416666666</v>
      </c>
      <c r="C151" t="s">
        <v>27</v>
      </c>
      <c r="D151" t="s">
        <v>25</v>
      </c>
      <c r="E151" t="s">
        <v>28</v>
      </c>
      <c r="F151" t="s">
        <v>41</v>
      </c>
      <c r="G151" s="114">
        <v>317.73</v>
      </c>
      <c r="H151" t="s">
        <v>22</v>
      </c>
      <c r="J151">
        <v>2.9</v>
      </c>
      <c r="K151" s="114">
        <v>9.2100000000000009</v>
      </c>
      <c r="L151" s="114">
        <v>308.52</v>
      </c>
    </row>
    <row r="152" spans="1:12" x14ac:dyDescent="0.25">
      <c r="A152" t="s">
        <v>680</v>
      </c>
      <c r="B152" s="158">
        <v>45528.511805555558</v>
      </c>
      <c r="C152" t="s">
        <v>13</v>
      </c>
      <c r="D152" t="s">
        <v>14</v>
      </c>
      <c r="E152" t="s">
        <v>44</v>
      </c>
      <c r="F152" t="s">
        <v>21</v>
      </c>
      <c r="G152" s="114">
        <v>4215.83</v>
      </c>
      <c r="H152" t="s">
        <v>22</v>
      </c>
      <c r="J152">
        <v>2.1</v>
      </c>
      <c r="K152" s="114">
        <v>88.53</v>
      </c>
      <c r="L152" s="114">
        <v>4127.3</v>
      </c>
    </row>
    <row r="153" spans="1:12" x14ac:dyDescent="0.25">
      <c r="A153" t="s">
        <v>681</v>
      </c>
      <c r="B153" s="158">
        <v>45528.584722222222</v>
      </c>
      <c r="C153" t="s">
        <v>60</v>
      </c>
      <c r="D153" t="s">
        <v>25</v>
      </c>
      <c r="E153" t="s">
        <v>39</v>
      </c>
      <c r="F153" t="s">
        <v>21</v>
      </c>
      <c r="G153" s="114">
        <v>392.89</v>
      </c>
      <c r="H153" t="s">
        <v>22</v>
      </c>
      <c r="J153">
        <v>3.2</v>
      </c>
      <c r="K153" s="114">
        <v>12.57</v>
      </c>
      <c r="L153" s="114">
        <v>380.32</v>
      </c>
    </row>
    <row r="154" spans="1:12" x14ac:dyDescent="0.25">
      <c r="A154" t="s">
        <v>682</v>
      </c>
      <c r="B154" s="158">
        <v>45528.774305555555</v>
      </c>
      <c r="C154" t="s">
        <v>60</v>
      </c>
      <c r="D154" t="s">
        <v>25</v>
      </c>
      <c r="E154" t="s">
        <v>15</v>
      </c>
      <c r="F154" t="s">
        <v>45</v>
      </c>
      <c r="G154" s="114">
        <v>3262.67</v>
      </c>
      <c r="H154" t="s">
        <v>22</v>
      </c>
      <c r="J154">
        <v>2.5</v>
      </c>
      <c r="K154" s="114">
        <v>81.569999999999993</v>
      </c>
      <c r="L154" s="114">
        <v>3181.1</v>
      </c>
    </row>
    <row r="155" spans="1:12" x14ac:dyDescent="0.25">
      <c r="A155" t="s">
        <v>683</v>
      </c>
      <c r="B155" s="158">
        <v>45528.925694444442</v>
      </c>
      <c r="C155" t="s">
        <v>43</v>
      </c>
      <c r="D155" t="s">
        <v>25</v>
      </c>
      <c r="E155" t="s">
        <v>39</v>
      </c>
      <c r="F155" t="s">
        <v>41</v>
      </c>
      <c r="G155" s="114">
        <v>4096.6400000000003</v>
      </c>
      <c r="H155" t="s">
        <v>34</v>
      </c>
      <c r="I155" t="s">
        <v>55</v>
      </c>
      <c r="J155">
        <v>3.2</v>
      </c>
      <c r="K155" s="114">
        <v>0</v>
      </c>
      <c r="L155" s="114">
        <v>0</v>
      </c>
    </row>
    <row r="156" spans="1:12" x14ac:dyDescent="0.25">
      <c r="A156" t="s">
        <v>684</v>
      </c>
      <c r="B156" s="158">
        <v>45529.04583333333</v>
      </c>
      <c r="C156" t="s">
        <v>27</v>
      </c>
      <c r="D156" t="s">
        <v>25</v>
      </c>
      <c r="E156" t="s">
        <v>28</v>
      </c>
      <c r="F156" t="s">
        <v>21</v>
      </c>
      <c r="G156" s="114">
        <v>1807.47</v>
      </c>
      <c r="H156" t="s">
        <v>22</v>
      </c>
      <c r="J156">
        <v>2.9</v>
      </c>
      <c r="K156" s="114">
        <v>52.42</v>
      </c>
      <c r="L156" s="114">
        <v>1755.05</v>
      </c>
    </row>
    <row r="157" spans="1:12" x14ac:dyDescent="0.25">
      <c r="A157" t="s">
        <v>685</v>
      </c>
      <c r="B157" s="158">
        <v>45530.381944444445</v>
      </c>
      <c r="C157" t="s">
        <v>58</v>
      </c>
      <c r="D157" t="s">
        <v>25</v>
      </c>
      <c r="E157" t="s">
        <v>33</v>
      </c>
      <c r="F157" t="s">
        <v>21</v>
      </c>
      <c r="G157" s="114">
        <v>3454.55</v>
      </c>
      <c r="H157" t="s">
        <v>22</v>
      </c>
      <c r="J157">
        <v>1.9</v>
      </c>
      <c r="K157" s="114">
        <v>65.64</v>
      </c>
      <c r="L157" s="114">
        <v>3388.91</v>
      </c>
    </row>
    <row r="158" spans="1:12" x14ac:dyDescent="0.25">
      <c r="A158" t="s">
        <v>686</v>
      </c>
      <c r="B158" s="158">
        <v>45531.371527777781</v>
      </c>
      <c r="C158" t="s">
        <v>19</v>
      </c>
      <c r="D158" t="s">
        <v>20</v>
      </c>
      <c r="E158" t="s">
        <v>33</v>
      </c>
      <c r="F158" t="s">
        <v>29</v>
      </c>
      <c r="G158" s="114">
        <v>353.69</v>
      </c>
      <c r="H158" t="s">
        <v>22</v>
      </c>
      <c r="J158">
        <v>1.9</v>
      </c>
      <c r="K158" s="114">
        <v>6.72</v>
      </c>
      <c r="L158" s="114">
        <v>346.97</v>
      </c>
    </row>
    <row r="159" spans="1:12" x14ac:dyDescent="0.25">
      <c r="A159" t="s">
        <v>687</v>
      </c>
      <c r="B159" s="158">
        <v>45532.165277777778</v>
      </c>
      <c r="C159" t="s">
        <v>47</v>
      </c>
      <c r="D159" t="s">
        <v>25</v>
      </c>
      <c r="E159" t="s">
        <v>28</v>
      </c>
      <c r="F159" t="s">
        <v>41</v>
      </c>
      <c r="G159" s="114">
        <v>1515.21</v>
      </c>
      <c r="H159" t="s">
        <v>22</v>
      </c>
      <c r="J159">
        <v>2.9</v>
      </c>
      <c r="K159" s="114">
        <v>43.94</v>
      </c>
      <c r="L159" s="114">
        <v>1471.27</v>
      </c>
    </row>
    <row r="160" spans="1:12" x14ac:dyDescent="0.25">
      <c r="A160" t="s">
        <v>688</v>
      </c>
      <c r="B160" s="158">
        <v>45532.94027777778</v>
      </c>
      <c r="C160" t="s">
        <v>13</v>
      </c>
      <c r="D160" t="s">
        <v>14</v>
      </c>
      <c r="E160" t="s">
        <v>39</v>
      </c>
      <c r="F160" t="s">
        <v>16</v>
      </c>
      <c r="G160" s="114">
        <v>3108.55</v>
      </c>
      <c r="H160" t="s">
        <v>22</v>
      </c>
      <c r="J160">
        <v>3.2</v>
      </c>
      <c r="K160" s="114">
        <v>99.47</v>
      </c>
      <c r="L160" s="114">
        <v>3009.08</v>
      </c>
    </row>
    <row r="161" spans="1:12" x14ac:dyDescent="0.25">
      <c r="A161" t="s">
        <v>689</v>
      </c>
      <c r="B161" s="158">
        <v>45533.038194444445</v>
      </c>
      <c r="C161" t="s">
        <v>43</v>
      </c>
      <c r="D161" t="s">
        <v>25</v>
      </c>
      <c r="E161" t="s">
        <v>33</v>
      </c>
      <c r="F161" t="s">
        <v>29</v>
      </c>
      <c r="G161" s="114">
        <v>1014.68</v>
      </c>
      <c r="H161" t="s">
        <v>17</v>
      </c>
      <c r="J161">
        <v>1.9</v>
      </c>
      <c r="K161" s="114">
        <v>0</v>
      </c>
      <c r="L161" s="114">
        <v>0</v>
      </c>
    </row>
    <row r="162" spans="1:12" x14ac:dyDescent="0.25">
      <c r="A162" t="s">
        <v>690</v>
      </c>
      <c r="B162" s="158">
        <v>45533.054166666669</v>
      </c>
      <c r="C162" t="s">
        <v>58</v>
      </c>
      <c r="D162" t="s">
        <v>25</v>
      </c>
      <c r="E162" t="s">
        <v>44</v>
      </c>
      <c r="F162" t="s">
        <v>29</v>
      </c>
      <c r="G162" s="114">
        <v>3831.48</v>
      </c>
      <c r="H162" t="s">
        <v>34</v>
      </c>
      <c r="I162" t="s">
        <v>62</v>
      </c>
      <c r="J162">
        <v>2.1</v>
      </c>
      <c r="K162" s="114">
        <v>0</v>
      </c>
      <c r="L162" s="114">
        <v>0</v>
      </c>
    </row>
    <row r="163" spans="1:12" x14ac:dyDescent="0.25">
      <c r="A163" t="s">
        <v>691</v>
      </c>
      <c r="B163" s="158">
        <v>45533.154861111114</v>
      </c>
      <c r="C163" t="s">
        <v>27</v>
      </c>
      <c r="D163" t="s">
        <v>25</v>
      </c>
      <c r="E163" t="s">
        <v>28</v>
      </c>
      <c r="F163" t="s">
        <v>45</v>
      </c>
      <c r="G163" s="114">
        <v>4889.7700000000004</v>
      </c>
      <c r="H163" t="s">
        <v>22</v>
      </c>
      <c r="J163">
        <v>2.9</v>
      </c>
      <c r="K163" s="114">
        <v>141.80000000000001</v>
      </c>
      <c r="L163" s="114">
        <v>4747.97</v>
      </c>
    </row>
    <row r="164" spans="1:12" x14ac:dyDescent="0.25">
      <c r="A164" t="s">
        <v>692</v>
      </c>
      <c r="B164" s="158">
        <v>45533.272222222222</v>
      </c>
      <c r="C164" t="s">
        <v>31</v>
      </c>
      <c r="D164" t="s">
        <v>32</v>
      </c>
      <c r="E164" t="s">
        <v>15</v>
      </c>
      <c r="F164" t="s">
        <v>45</v>
      </c>
      <c r="G164" s="114">
        <v>1498.8</v>
      </c>
      <c r="H164" t="s">
        <v>22</v>
      </c>
      <c r="J164">
        <v>2.5</v>
      </c>
      <c r="K164" s="114">
        <v>37.47</v>
      </c>
      <c r="L164" s="114">
        <v>1461.33</v>
      </c>
    </row>
    <row r="165" spans="1:12" x14ac:dyDescent="0.25">
      <c r="A165" t="s">
        <v>693</v>
      </c>
      <c r="B165" s="158">
        <v>45533.681944444441</v>
      </c>
      <c r="C165" t="s">
        <v>19</v>
      </c>
      <c r="D165" t="s">
        <v>20</v>
      </c>
      <c r="E165" t="s">
        <v>44</v>
      </c>
      <c r="F165" t="s">
        <v>29</v>
      </c>
      <c r="G165" s="114">
        <v>509.67</v>
      </c>
      <c r="H165" t="s">
        <v>22</v>
      </c>
      <c r="J165">
        <v>2.1</v>
      </c>
      <c r="K165" s="114">
        <v>10.7</v>
      </c>
      <c r="L165" s="114">
        <v>498.97</v>
      </c>
    </row>
    <row r="166" spans="1:12" x14ac:dyDescent="0.25">
      <c r="A166" t="s">
        <v>694</v>
      </c>
      <c r="B166" s="158">
        <v>45533.865972222222</v>
      </c>
      <c r="C166" t="s">
        <v>31</v>
      </c>
      <c r="D166" t="s">
        <v>32</v>
      </c>
      <c r="E166" t="s">
        <v>33</v>
      </c>
      <c r="F166" t="s">
        <v>45</v>
      </c>
      <c r="G166" s="114">
        <v>1569.37</v>
      </c>
      <c r="H166" t="s">
        <v>22</v>
      </c>
      <c r="J166">
        <v>1.9</v>
      </c>
      <c r="K166" s="114">
        <v>29.82</v>
      </c>
      <c r="L166" s="114">
        <v>1539.55</v>
      </c>
    </row>
    <row r="167" spans="1:12" x14ac:dyDescent="0.25">
      <c r="A167" t="s">
        <v>695</v>
      </c>
      <c r="B167" s="158">
        <v>45534.146527777775</v>
      </c>
      <c r="C167" t="s">
        <v>19</v>
      </c>
      <c r="D167" t="s">
        <v>20</v>
      </c>
      <c r="E167" t="s">
        <v>39</v>
      </c>
      <c r="F167" t="s">
        <v>16</v>
      </c>
      <c r="G167" s="114">
        <v>3490.6</v>
      </c>
      <c r="H167" t="s">
        <v>22</v>
      </c>
      <c r="J167">
        <v>3.2</v>
      </c>
      <c r="K167" s="114">
        <v>111.7</v>
      </c>
      <c r="L167" s="114">
        <v>3378.9</v>
      </c>
    </row>
    <row r="168" spans="1:12" x14ac:dyDescent="0.25">
      <c r="A168" t="s">
        <v>696</v>
      </c>
      <c r="B168" s="158">
        <v>45534.542361111111</v>
      </c>
      <c r="C168" t="s">
        <v>31</v>
      </c>
      <c r="D168" t="s">
        <v>32</v>
      </c>
      <c r="E168" t="s">
        <v>44</v>
      </c>
      <c r="F168" t="s">
        <v>29</v>
      </c>
      <c r="G168" s="114">
        <v>3696.52</v>
      </c>
      <c r="H168" t="s">
        <v>34</v>
      </c>
      <c r="I168" t="s">
        <v>55</v>
      </c>
      <c r="J168">
        <v>2.1</v>
      </c>
      <c r="K168" s="114">
        <v>0</v>
      </c>
      <c r="L168" s="114">
        <v>0</v>
      </c>
    </row>
    <row r="169" spans="1:12" x14ac:dyDescent="0.25">
      <c r="A169" t="s">
        <v>697</v>
      </c>
      <c r="B169" s="158">
        <v>45534.92291666667</v>
      </c>
      <c r="C169" t="s">
        <v>24</v>
      </c>
      <c r="D169" t="s">
        <v>25</v>
      </c>
      <c r="E169" t="s">
        <v>28</v>
      </c>
      <c r="F169" t="s">
        <v>21</v>
      </c>
      <c r="G169" s="114">
        <v>2110.15</v>
      </c>
      <c r="H169" t="s">
        <v>22</v>
      </c>
      <c r="J169">
        <v>2.9</v>
      </c>
      <c r="K169" s="114">
        <v>61.19</v>
      </c>
      <c r="L169" s="114">
        <v>2048.96</v>
      </c>
    </row>
    <row r="170" spans="1:12" x14ac:dyDescent="0.25">
      <c r="A170" t="s">
        <v>698</v>
      </c>
      <c r="B170" s="158">
        <v>45535.901388888888</v>
      </c>
      <c r="C170" t="s">
        <v>58</v>
      </c>
      <c r="D170" t="s">
        <v>25</v>
      </c>
      <c r="E170" t="s">
        <v>15</v>
      </c>
      <c r="F170" t="s">
        <v>45</v>
      </c>
      <c r="G170" s="114">
        <v>1401.66</v>
      </c>
      <c r="H170" t="s">
        <v>34</v>
      </c>
      <c r="I170" t="s">
        <v>78</v>
      </c>
      <c r="J170">
        <v>2.5</v>
      </c>
      <c r="K170" s="114">
        <v>0</v>
      </c>
      <c r="L170" s="114">
        <v>0</v>
      </c>
    </row>
    <row r="171" spans="1:12" x14ac:dyDescent="0.25">
      <c r="A171" t="s">
        <v>699</v>
      </c>
      <c r="B171" s="158">
        <v>45536.093055555553</v>
      </c>
      <c r="C171" t="s">
        <v>58</v>
      </c>
      <c r="D171" t="s">
        <v>25</v>
      </c>
      <c r="E171" t="s">
        <v>28</v>
      </c>
      <c r="F171" t="s">
        <v>41</v>
      </c>
      <c r="G171" s="114">
        <v>524.98</v>
      </c>
      <c r="H171" t="s">
        <v>22</v>
      </c>
      <c r="J171">
        <v>2.9</v>
      </c>
      <c r="K171" s="114">
        <v>15.22</v>
      </c>
      <c r="L171" s="114">
        <v>509.76</v>
      </c>
    </row>
    <row r="172" spans="1:12" x14ac:dyDescent="0.25">
      <c r="A172" t="s">
        <v>700</v>
      </c>
      <c r="B172" s="158">
        <v>45537.602777777778</v>
      </c>
      <c r="C172" t="s">
        <v>37</v>
      </c>
      <c r="D172" t="s">
        <v>38</v>
      </c>
      <c r="E172" t="s">
        <v>39</v>
      </c>
      <c r="F172" t="s">
        <v>16</v>
      </c>
      <c r="G172" s="114">
        <v>2762.84</v>
      </c>
      <c r="H172" t="s">
        <v>22</v>
      </c>
      <c r="J172">
        <v>3.2</v>
      </c>
      <c r="K172" s="114">
        <v>88.41</v>
      </c>
      <c r="L172" s="114">
        <v>2674.43</v>
      </c>
    </row>
    <row r="173" spans="1:12" x14ac:dyDescent="0.25">
      <c r="A173" t="s">
        <v>701</v>
      </c>
      <c r="B173" s="158">
        <v>45537.743055555555</v>
      </c>
      <c r="C173" t="s">
        <v>43</v>
      </c>
      <c r="D173" t="s">
        <v>25</v>
      </c>
      <c r="E173" t="s">
        <v>39</v>
      </c>
      <c r="F173" t="s">
        <v>45</v>
      </c>
      <c r="G173" s="114">
        <v>2516.94</v>
      </c>
      <c r="H173" t="s">
        <v>34</v>
      </c>
      <c r="I173" t="s">
        <v>62</v>
      </c>
      <c r="J173">
        <v>3.2</v>
      </c>
      <c r="K173" s="114">
        <v>0</v>
      </c>
      <c r="L173" s="114">
        <v>0</v>
      </c>
    </row>
    <row r="174" spans="1:12" x14ac:dyDescent="0.25">
      <c r="A174" t="s">
        <v>702</v>
      </c>
      <c r="B174" s="158">
        <v>45539.135416666664</v>
      </c>
      <c r="C174" t="s">
        <v>58</v>
      </c>
      <c r="D174" t="s">
        <v>25</v>
      </c>
      <c r="E174" t="s">
        <v>33</v>
      </c>
      <c r="F174" t="s">
        <v>21</v>
      </c>
      <c r="G174" s="114">
        <v>2878.31</v>
      </c>
      <c r="H174" t="s">
        <v>22</v>
      </c>
      <c r="J174">
        <v>1.9</v>
      </c>
      <c r="K174" s="114">
        <v>54.69</v>
      </c>
      <c r="L174" s="114">
        <v>2823.62</v>
      </c>
    </row>
    <row r="175" spans="1:12" x14ac:dyDescent="0.25">
      <c r="A175" t="s">
        <v>703</v>
      </c>
      <c r="B175" s="158">
        <v>45539.635416666664</v>
      </c>
      <c r="C175" t="s">
        <v>43</v>
      </c>
      <c r="D175" t="s">
        <v>25</v>
      </c>
      <c r="E175" t="s">
        <v>33</v>
      </c>
      <c r="F175" t="s">
        <v>29</v>
      </c>
      <c r="G175" s="114">
        <v>1924.09</v>
      </c>
      <c r="H175" t="s">
        <v>17</v>
      </c>
      <c r="J175">
        <v>1.9</v>
      </c>
      <c r="K175" s="114">
        <v>0</v>
      </c>
      <c r="L175" s="114">
        <v>0</v>
      </c>
    </row>
    <row r="176" spans="1:12" x14ac:dyDescent="0.25">
      <c r="A176" t="s">
        <v>704</v>
      </c>
      <c r="B176" s="158">
        <v>45540.727083333331</v>
      </c>
      <c r="C176" t="s">
        <v>58</v>
      </c>
      <c r="D176" t="s">
        <v>25</v>
      </c>
      <c r="E176" t="s">
        <v>28</v>
      </c>
      <c r="F176" t="s">
        <v>29</v>
      </c>
      <c r="G176" s="114">
        <v>805.2</v>
      </c>
      <c r="H176" t="s">
        <v>22</v>
      </c>
      <c r="J176">
        <v>2.9</v>
      </c>
      <c r="K176" s="114">
        <v>23.35</v>
      </c>
      <c r="L176" s="114">
        <v>781.85</v>
      </c>
    </row>
    <row r="177" spans="1:12" x14ac:dyDescent="0.25">
      <c r="A177" t="s">
        <v>705</v>
      </c>
      <c r="B177" s="158">
        <v>45541.442361111112</v>
      </c>
      <c r="C177" t="s">
        <v>60</v>
      </c>
      <c r="D177" t="s">
        <v>25</v>
      </c>
      <c r="E177" t="s">
        <v>28</v>
      </c>
      <c r="F177" t="s">
        <v>16</v>
      </c>
      <c r="G177" s="114">
        <v>3177.85</v>
      </c>
      <c r="H177" t="s">
        <v>22</v>
      </c>
      <c r="J177">
        <v>2.9</v>
      </c>
      <c r="K177" s="114">
        <v>92.16</v>
      </c>
      <c r="L177" s="114">
        <v>3085.69</v>
      </c>
    </row>
    <row r="178" spans="1:12" x14ac:dyDescent="0.25">
      <c r="A178" t="s">
        <v>706</v>
      </c>
      <c r="B178" s="158">
        <v>45541.444444444445</v>
      </c>
      <c r="C178" t="s">
        <v>27</v>
      </c>
      <c r="D178" t="s">
        <v>25</v>
      </c>
      <c r="E178" t="s">
        <v>39</v>
      </c>
      <c r="F178" t="s">
        <v>41</v>
      </c>
      <c r="G178" s="114">
        <v>33.520000000000003</v>
      </c>
      <c r="H178" t="s">
        <v>22</v>
      </c>
      <c r="J178">
        <v>3.2</v>
      </c>
      <c r="K178" s="114">
        <v>1.07</v>
      </c>
      <c r="L178" s="114">
        <v>32.450000000000003</v>
      </c>
    </row>
    <row r="179" spans="1:12" x14ac:dyDescent="0.25">
      <c r="A179" t="s">
        <v>707</v>
      </c>
      <c r="B179" s="158">
        <v>45541.893750000003</v>
      </c>
      <c r="C179" t="s">
        <v>27</v>
      </c>
      <c r="D179" t="s">
        <v>25</v>
      </c>
      <c r="E179" t="s">
        <v>28</v>
      </c>
      <c r="F179" t="s">
        <v>29</v>
      </c>
      <c r="G179" s="114">
        <v>3214.79</v>
      </c>
      <c r="H179" t="s">
        <v>34</v>
      </c>
      <c r="I179" t="s">
        <v>55</v>
      </c>
      <c r="J179">
        <v>2.9</v>
      </c>
      <c r="K179" s="114">
        <v>0</v>
      </c>
      <c r="L179" s="114">
        <v>0</v>
      </c>
    </row>
    <row r="180" spans="1:12" x14ac:dyDescent="0.25">
      <c r="A180" t="s">
        <v>708</v>
      </c>
      <c r="B180" s="158">
        <v>45542.491666666669</v>
      </c>
      <c r="C180" t="s">
        <v>24</v>
      </c>
      <c r="D180" t="s">
        <v>25</v>
      </c>
      <c r="E180" t="s">
        <v>44</v>
      </c>
      <c r="F180" t="s">
        <v>16</v>
      </c>
      <c r="G180" s="114">
        <v>105.43</v>
      </c>
      <c r="H180" t="s">
        <v>22</v>
      </c>
      <c r="J180">
        <v>2.1</v>
      </c>
      <c r="K180" s="114">
        <v>2.21</v>
      </c>
      <c r="L180" s="114">
        <v>103.22</v>
      </c>
    </row>
    <row r="181" spans="1:12" x14ac:dyDescent="0.25">
      <c r="A181" t="s">
        <v>709</v>
      </c>
      <c r="B181" s="158">
        <v>45542.986805555556</v>
      </c>
      <c r="C181" t="s">
        <v>43</v>
      </c>
      <c r="D181" t="s">
        <v>25</v>
      </c>
      <c r="E181" t="s">
        <v>15</v>
      </c>
      <c r="F181" t="s">
        <v>29</v>
      </c>
      <c r="G181" s="114">
        <v>3666.53</v>
      </c>
      <c r="H181" t="s">
        <v>22</v>
      </c>
      <c r="J181">
        <v>2.5</v>
      </c>
      <c r="K181" s="114">
        <v>91.66</v>
      </c>
      <c r="L181" s="114">
        <v>3574.87</v>
      </c>
    </row>
    <row r="182" spans="1:12" x14ac:dyDescent="0.25">
      <c r="A182" t="s">
        <v>710</v>
      </c>
      <c r="B182" s="158">
        <v>45543.10833333333</v>
      </c>
      <c r="C182" t="s">
        <v>60</v>
      </c>
      <c r="D182" t="s">
        <v>25</v>
      </c>
      <c r="E182" t="s">
        <v>44</v>
      </c>
      <c r="F182" t="s">
        <v>29</v>
      </c>
      <c r="G182" s="114">
        <v>4057.6</v>
      </c>
      <c r="H182" t="s">
        <v>22</v>
      </c>
      <c r="J182">
        <v>2.1</v>
      </c>
      <c r="K182" s="114">
        <v>85.21</v>
      </c>
      <c r="L182" s="114">
        <v>3972.39</v>
      </c>
    </row>
    <row r="183" spans="1:12" x14ac:dyDescent="0.25">
      <c r="A183" t="s">
        <v>711</v>
      </c>
      <c r="B183" s="158">
        <v>45543.427083333336</v>
      </c>
      <c r="C183" t="s">
        <v>37</v>
      </c>
      <c r="D183" t="s">
        <v>38</v>
      </c>
      <c r="E183" t="s">
        <v>39</v>
      </c>
      <c r="F183" t="s">
        <v>41</v>
      </c>
      <c r="G183" s="114">
        <v>2539.58</v>
      </c>
      <c r="H183" t="s">
        <v>17</v>
      </c>
      <c r="J183">
        <v>3.2</v>
      </c>
      <c r="K183" s="114">
        <v>0</v>
      </c>
      <c r="L183" s="114">
        <v>0</v>
      </c>
    </row>
    <row r="184" spans="1:12" x14ac:dyDescent="0.25">
      <c r="A184" t="s">
        <v>712</v>
      </c>
      <c r="B184" s="158">
        <v>45543.443055555559</v>
      </c>
      <c r="C184" t="s">
        <v>19</v>
      </c>
      <c r="D184" t="s">
        <v>20</v>
      </c>
      <c r="E184" t="s">
        <v>33</v>
      </c>
      <c r="F184" t="s">
        <v>41</v>
      </c>
      <c r="G184" s="114">
        <v>4543.1499999999996</v>
      </c>
      <c r="H184" t="s">
        <v>22</v>
      </c>
      <c r="J184">
        <v>1.9</v>
      </c>
      <c r="K184" s="114">
        <v>86.32</v>
      </c>
      <c r="L184" s="114">
        <v>4456.83</v>
      </c>
    </row>
    <row r="185" spans="1:12" x14ac:dyDescent="0.25">
      <c r="A185" t="s">
        <v>713</v>
      </c>
      <c r="B185" s="158">
        <v>45543.724305555559</v>
      </c>
      <c r="C185" t="s">
        <v>31</v>
      </c>
      <c r="D185" t="s">
        <v>32</v>
      </c>
      <c r="E185" t="s">
        <v>39</v>
      </c>
      <c r="F185" t="s">
        <v>45</v>
      </c>
      <c r="G185" s="114">
        <v>2124.67</v>
      </c>
      <c r="H185" t="s">
        <v>22</v>
      </c>
      <c r="J185">
        <v>3.2</v>
      </c>
      <c r="K185" s="114">
        <v>67.989999999999995</v>
      </c>
      <c r="L185" s="114">
        <v>2056.6799999999998</v>
      </c>
    </row>
    <row r="186" spans="1:12" x14ac:dyDescent="0.25">
      <c r="A186" t="s">
        <v>714</v>
      </c>
      <c r="B186" s="158">
        <v>45544.385416666664</v>
      </c>
      <c r="C186" t="s">
        <v>24</v>
      </c>
      <c r="D186" t="s">
        <v>25</v>
      </c>
      <c r="E186" t="s">
        <v>33</v>
      </c>
      <c r="F186" t="s">
        <v>41</v>
      </c>
      <c r="G186" s="114">
        <v>4996.3100000000004</v>
      </c>
      <c r="H186" t="s">
        <v>22</v>
      </c>
      <c r="J186">
        <v>1.9</v>
      </c>
      <c r="K186" s="114">
        <v>94.93</v>
      </c>
      <c r="L186" s="114">
        <v>4901.38</v>
      </c>
    </row>
    <row r="187" spans="1:12" x14ac:dyDescent="0.25">
      <c r="A187" t="s">
        <v>715</v>
      </c>
      <c r="B187" s="158">
        <v>45544.740972222222</v>
      </c>
      <c r="C187" t="s">
        <v>43</v>
      </c>
      <c r="D187" t="s">
        <v>25</v>
      </c>
      <c r="E187" t="s">
        <v>44</v>
      </c>
      <c r="F187" t="s">
        <v>41</v>
      </c>
      <c r="G187" s="114">
        <v>3958.19</v>
      </c>
      <c r="H187" t="s">
        <v>22</v>
      </c>
      <c r="J187">
        <v>2.1</v>
      </c>
      <c r="K187" s="114">
        <v>83.12</v>
      </c>
      <c r="L187" s="114">
        <v>3875.07</v>
      </c>
    </row>
    <row r="188" spans="1:12" x14ac:dyDescent="0.25">
      <c r="A188" t="s">
        <v>716</v>
      </c>
      <c r="B188" s="158">
        <v>45545.489583333336</v>
      </c>
      <c r="C188" t="s">
        <v>47</v>
      </c>
      <c r="D188" t="s">
        <v>25</v>
      </c>
      <c r="E188" t="s">
        <v>33</v>
      </c>
      <c r="F188" t="s">
        <v>41</v>
      </c>
      <c r="G188" s="114">
        <v>420.42</v>
      </c>
      <c r="H188" t="s">
        <v>34</v>
      </c>
      <c r="I188" t="s">
        <v>78</v>
      </c>
      <c r="J188">
        <v>1.9</v>
      </c>
      <c r="K188" s="114">
        <v>0</v>
      </c>
      <c r="L188" s="114">
        <v>0</v>
      </c>
    </row>
    <row r="189" spans="1:12" x14ac:dyDescent="0.25">
      <c r="A189" t="s">
        <v>717</v>
      </c>
      <c r="B189" s="158">
        <v>45545.505555555559</v>
      </c>
      <c r="C189" t="s">
        <v>58</v>
      </c>
      <c r="D189" t="s">
        <v>25</v>
      </c>
      <c r="E189" t="s">
        <v>44</v>
      </c>
      <c r="F189" t="s">
        <v>45</v>
      </c>
      <c r="G189" s="114">
        <v>1085.68</v>
      </c>
      <c r="H189" t="s">
        <v>22</v>
      </c>
      <c r="J189">
        <v>2.1</v>
      </c>
      <c r="K189" s="114">
        <v>22.8</v>
      </c>
      <c r="L189" s="114">
        <v>1062.8800000000001</v>
      </c>
    </row>
    <row r="190" spans="1:12" x14ac:dyDescent="0.25">
      <c r="A190" t="s">
        <v>718</v>
      </c>
      <c r="B190" s="158">
        <v>45545.575694444444</v>
      </c>
      <c r="C190" t="s">
        <v>58</v>
      </c>
      <c r="D190" t="s">
        <v>25</v>
      </c>
      <c r="E190" t="s">
        <v>44</v>
      </c>
      <c r="F190" t="s">
        <v>16</v>
      </c>
      <c r="G190" s="114">
        <v>3632.74</v>
      </c>
      <c r="H190" t="s">
        <v>22</v>
      </c>
      <c r="J190">
        <v>2.1</v>
      </c>
      <c r="K190" s="114">
        <v>76.290000000000006</v>
      </c>
      <c r="L190" s="114">
        <v>3556.45</v>
      </c>
    </row>
    <row r="191" spans="1:12" x14ac:dyDescent="0.25">
      <c r="A191" t="s">
        <v>719</v>
      </c>
      <c r="B191" s="158">
        <v>45545.730555555558</v>
      </c>
      <c r="C191" t="s">
        <v>31</v>
      </c>
      <c r="D191" t="s">
        <v>32</v>
      </c>
      <c r="E191" t="s">
        <v>33</v>
      </c>
      <c r="F191" t="s">
        <v>41</v>
      </c>
      <c r="G191" s="114">
        <v>1346.77</v>
      </c>
      <c r="H191" t="s">
        <v>17</v>
      </c>
      <c r="J191">
        <v>1.9</v>
      </c>
      <c r="K191" s="114">
        <v>0</v>
      </c>
      <c r="L191" s="114">
        <v>0</v>
      </c>
    </row>
    <row r="192" spans="1:12" x14ac:dyDescent="0.25">
      <c r="A192" t="s">
        <v>720</v>
      </c>
      <c r="B192" s="158">
        <v>45545.862500000003</v>
      </c>
      <c r="C192" t="s">
        <v>60</v>
      </c>
      <c r="D192" t="s">
        <v>25</v>
      </c>
      <c r="E192" t="s">
        <v>28</v>
      </c>
      <c r="F192" t="s">
        <v>29</v>
      </c>
      <c r="G192" s="114">
        <v>4087</v>
      </c>
      <c r="H192" t="s">
        <v>17</v>
      </c>
      <c r="J192">
        <v>2.9</v>
      </c>
      <c r="K192" s="114">
        <v>0</v>
      </c>
      <c r="L192" s="114">
        <v>0</v>
      </c>
    </row>
    <row r="193" spans="1:12" x14ac:dyDescent="0.25">
      <c r="A193" t="s">
        <v>721</v>
      </c>
      <c r="B193" s="158">
        <v>45546.181250000001</v>
      </c>
      <c r="C193" t="s">
        <v>31</v>
      </c>
      <c r="D193" t="s">
        <v>32</v>
      </c>
      <c r="E193" t="s">
        <v>44</v>
      </c>
      <c r="F193" t="s">
        <v>21</v>
      </c>
      <c r="G193" s="114">
        <v>4912.07</v>
      </c>
      <c r="H193" t="s">
        <v>22</v>
      </c>
      <c r="J193">
        <v>2.1</v>
      </c>
      <c r="K193" s="114">
        <v>103.15</v>
      </c>
      <c r="L193" s="114">
        <v>4808.92</v>
      </c>
    </row>
    <row r="194" spans="1:12" x14ac:dyDescent="0.25">
      <c r="A194" t="s">
        <v>722</v>
      </c>
      <c r="B194" s="158">
        <v>45546.605555555558</v>
      </c>
      <c r="C194" t="s">
        <v>37</v>
      </c>
      <c r="D194" t="s">
        <v>38</v>
      </c>
      <c r="E194" t="s">
        <v>28</v>
      </c>
      <c r="F194" t="s">
        <v>16</v>
      </c>
      <c r="G194" s="114">
        <v>4298.21</v>
      </c>
      <c r="H194" t="s">
        <v>22</v>
      </c>
      <c r="J194">
        <v>2.9</v>
      </c>
      <c r="K194" s="114">
        <v>124.65</v>
      </c>
      <c r="L194" s="114">
        <v>4173.5600000000004</v>
      </c>
    </row>
    <row r="195" spans="1:12" x14ac:dyDescent="0.25">
      <c r="A195" t="s">
        <v>723</v>
      </c>
      <c r="B195" s="158">
        <v>45546.70208333333</v>
      </c>
      <c r="C195" t="s">
        <v>37</v>
      </c>
      <c r="D195" t="s">
        <v>38</v>
      </c>
      <c r="E195" t="s">
        <v>44</v>
      </c>
      <c r="F195" t="s">
        <v>45</v>
      </c>
      <c r="G195" s="114">
        <v>1504.61</v>
      </c>
      <c r="H195" t="s">
        <v>34</v>
      </c>
      <c r="I195" t="s">
        <v>35</v>
      </c>
      <c r="J195">
        <v>2.1</v>
      </c>
      <c r="K195" s="114">
        <v>0</v>
      </c>
      <c r="L195" s="114">
        <v>0</v>
      </c>
    </row>
    <row r="196" spans="1:12" x14ac:dyDescent="0.25">
      <c r="A196" t="s">
        <v>724</v>
      </c>
      <c r="B196" s="158">
        <v>45546.870833333334</v>
      </c>
      <c r="C196" t="s">
        <v>31</v>
      </c>
      <c r="D196" t="s">
        <v>32</v>
      </c>
      <c r="E196" t="s">
        <v>33</v>
      </c>
      <c r="F196" t="s">
        <v>29</v>
      </c>
      <c r="G196" s="114">
        <v>1443.9</v>
      </c>
      <c r="H196" t="s">
        <v>22</v>
      </c>
      <c r="J196">
        <v>1.9</v>
      </c>
      <c r="K196" s="114">
        <v>27.43</v>
      </c>
      <c r="L196" s="114">
        <v>1416.47</v>
      </c>
    </row>
    <row r="197" spans="1:12" x14ac:dyDescent="0.25">
      <c r="A197" t="s">
        <v>725</v>
      </c>
      <c r="B197" s="158">
        <v>45547.580555555556</v>
      </c>
      <c r="C197" t="s">
        <v>13</v>
      </c>
      <c r="D197" t="s">
        <v>14</v>
      </c>
      <c r="E197" t="s">
        <v>15</v>
      </c>
      <c r="F197" t="s">
        <v>41</v>
      </c>
      <c r="G197" s="114">
        <v>447.73</v>
      </c>
      <c r="H197" t="s">
        <v>34</v>
      </c>
      <c r="I197" t="s">
        <v>35</v>
      </c>
      <c r="J197">
        <v>2.5</v>
      </c>
      <c r="K197" s="114">
        <v>0</v>
      </c>
      <c r="L197" s="114">
        <v>0</v>
      </c>
    </row>
    <row r="198" spans="1:12" x14ac:dyDescent="0.25">
      <c r="A198" t="s">
        <v>726</v>
      </c>
      <c r="B198" s="158">
        <v>45547.683333333334</v>
      </c>
      <c r="C198" t="s">
        <v>13</v>
      </c>
      <c r="D198" t="s">
        <v>14</v>
      </c>
      <c r="E198" t="s">
        <v>28</v>
      </c>
      <c r="F198" t="s">
        <v>21</v>
      </c>
      <c r="G198" s="114">
        <v>3877.07</v>
      </c>
      <c r="H198" t="s">
        <v>34</v>
      </c>
      <c r="I198" t="s">
        <v>35</v>
      </c>
      <c r="J198">
        <v>2.9</v>
      </c>
      <c r="K198" s="114">
        <v>0</v>
      </c>
      <c r="L198" s="114">
        <v>0</v>
      </c>
    </row>
    <row r="199" spans="1:12" x14ac:dyDescent="0.25">
      <c r="A199" t="s">
        <v>727</v>
      </c>
      <c r="B199" s="158">
        <v>45547.745138888888</v>
      </c>
      <c r="C199" t="s">
        <v>43</v>
      </c>
      <c r="D199" t="s">
        <v>25</v>
      </c>
      <c r="E199" t="s">
        <v>28</v>
      </c>
      <c r="F199" t="s">
        <v>41</v>
      </c>
      <c r="G199" s="114">
        <v>1703.03</v>
      </c>
      <c r="H199" t="s">
        <v>22</v>
      </c>
      <c r="J199">
        <v>2.9</v>
      </c>
      <c r="K199" s="114">
        <v>49.39</v>
      </c>
      <c r="L199" s="114">
        <v>1653.64</v>
      </c>
    </row>
    <row r="200" spans="1:12" x14ac:dyDescent="0.25">
      <c r="A200" t="s">
        <v>728</v>
      </c>
      <c r="B200" s="158">
        <v>45547.875694444447</v>
      </c>
      <c r="C200" t="s">
        <v>27</v>
      </c>
      <c r="D200" t="s">
        <v>25</v>
      </c>
      <c r="E200" t="s">
        <v>15</v>
      </c>
      <c r="F200" t="s">
        <v>45</v>
      </c>
      <c r="G200" s="114">
        <v>3399.23</v>
      </c>
      <c r="H200" t="s">
        <v>22</v>
      </c>
      <c r="J200">
        <v>2.5</v>
      </c>
      <c r="K200" s="114">
        <v>84.98</v>
      </c>
      <c r="L200" s="114">
        <v>3314.25</v>
      </c>
    </row>
    <row r="201" spans="1:12" x14ac:dyDescent="0.25">
      <c r="A201" t="s">
        <v>729</v>
      </c>
      <c r="B201" s="158">
        <v>45547.996527777781</v>
      </c>
      <c r="C201" t="s">
        <v>31</v>
      </c>
      <c r="D201" t="s">
        <v>32</v>
      </c>
      <c r="E201" t="s">
        <v>44</v>
      </c>
      <c r="F201" t="s">
        <v>21</v>
      </c>
      <c r="G201" s="114">
        <v>1679.69</v>
      </c>
      <c r="H201" t="s">
        <v>22</v>
      </c>
      <c r="J201">
        <v>2.1</v>
      </c>
      <c r="K201" s="114">
        <v>35.270000000000003</v>
      </c>
      <c r="L201" s="114">
        <v>1644.42</v>
      </c>
    </row>
    <row r="202" spans="1:12" x14ac:dyDescent="0.25">
      <c r="A202" t="s">
        <v>730</v>
      </c>
      <c r="B202" s="158">
        <v>45548.168749999997</v>
      </c>
      <c r="C202" t="s">
        <v>43</v>
      </c>
      <c r="D202" t="s">
        <v>25</v>
      </c>
      <c r="E202" t="s">
        <v>28</v>
      </c>
      <c r="F202" t="s">
        <v>21</v>
      </c>
      <c r="G202" s="114">
        <v>4912.1000000000004</v>
      </c>
      <c r="H202" t="s">
        <v>22</v>
      </c>
      <c r="J202">
        <v>2.9</v>
      </c>
      <c r="K202" s="114">
        <v>142.44999999999999</v>
      </c>
      <c r="L202" s="114">
        <v>4769.6499999999996</v>
      </c>
    </row>
    <row r="203" spans="1:12" x14ac:dyDescent="0.25">
      <c r="A203" t="s">
        <v>731</v>
      </c>
      <c r="B203" s="158">
        <v>45549.384722222225</v>
      </c>
      <c r="C203" t="s">
        <v>19</v>
      </c>
      <c r="D203" t="s">
        <v>20</v>
      </c>
      <c r="E203" t="s">
        <v>39</v>
      </c>
      <c r="F203" t="s">
        <v>45</v>
      </c>
      <c r="G203" s="114">
        <v>2993.61</v>
      </c>
      <c r="H203" t="s">
        <v>22</v>
      </c>
      <c r="J203">
        <v>3.2</v>
      </c>
      <c r="K203" s="114">
        <v>95.8</v>
      </c>
      <c r="L203" s="114">
        <v>2897.81</v>
      </c>
    </row>
    <row r="204" spans="1:12" x14ac:dyDescent="0.25">
      <c r="A204" t="s">
        <v>732</v>
      </c>
      <c r="B204" s="158">
        <v>45549.8125</v>
      </c>
      <c r="C204" t="s">
        <v>37</v>
      </c>
      <c r="D204" t="s">
        <v>38</v>
      </c>
      <c r="E204" t="s">
        <v>44</v>
      </c>
      <c r="F204" t="s">
        <v>16</v>
      </c>
      <c r="G204" s="114">
        <v>2462.31</v>
      </c>
      <c r="H204" t="s">
        <v>22</v>
      </c>
      <c r="J204">
        <v>2.1</v>
      </c>
      <c r="K204" s="114">
        <v>51.71</v>
      </c>
      <c r="L204" s="114">
        <v>2410.6</v>
      </c>
    </row>
    <row r="205" spans="1:12" x14ac:dyDescent="0.25">
      <c r="A205" t="s">
        <v>733</v>
      </c>
      <c r="B205" s="158">
        <v>45550.75277777778</v>
      </c>
      <c r="C205" t="s">
        <v>31</v>
      </c>
      <c r="D205" t="s">
        <v>32</v>
      </c>
      <c r="E205" t="s">
        <v>33</v>
      </c>
      <c r="F205" t="s">
        <v>41</v>
      </c>
      <c r="G205" s="114">
        <v>2648.91</v>
      </c>
      <c r="H205" t="s">
        <v>22</v>
      </c>
      <c r="J205">
        <v>1.9</v>
      </c>
      <c r="K205" s="114">
        <v>50.33</v>
      </c>
      <c r="L205" s="114">
        <v>2598.58</v>
      </c>
    </row>
    <row r="206" spans="1:12" x14ac:dyDescent="0.25">
      <c r="A206" t="s">
        <v>734</v>
      </c>
      <c r="B206" s="158">
        <v>45551.338888888888</v>
      </c>
      <c r="C206" t="s">
        <v>37</v>
      </c>
      <c r="D206" t="s">
        <v>38</v>
      </c>
      <c r="E206" t="s">
        <v>28</v>
      </c>
      <c r="F206" t="s">
        <v>29</v>
      </c>
      <c r="G206" s="114">
        <v>1853.94</v>
      </c>
      <c r="H206" t="s">
        <v>22</v>
      </c>
      <c r="J206">
        <v>2.9</v>
      </c>
      <c r="K206" s="114">
        <v>53.76</v>
      </c>
      <c r="L206" s="114">
        <v>1800.18</v>
      </c>
    </row>
    <row r="207" spans="1:12" x14ac:dyDescent="0.25">
      <c r="A207" t="s">
        <v>735</v>
      </c>
      <c r="B207" s="158">
        <v>45553.55972222222</v>
      </c>
      <c r="C207" t="s">
        <v>31</v>
      </c>
      <c r="D207" t="s">
        <v>32</v>
      </c>
      <c r="E207" t="s">
        <v>15</v>
      </c>
      <c r="F207" t="s">
        <v>45</v>
      </c>
      <c r="G207" s="114">
        <v>4066</v>
      </c>
      <c r="H207" t="s">
        <v>22</v>
      </c>
      <c r="J207">
        <v>2.5</v>
      </c>
      <c r="K207" s="114">
        <v>101.65</v>
      </c>
      <c r="L207" s="114">
        <v>3964.35</v>
      </c>
    </row>
    <row r="208" spans="1:12" x14ac:dyDescent="0.25">
      <c r="A208" t="s">
        <v>736</v>
      </c>
      <c r="B208" s="158">
        <v>45555.28402777778</v>
      </c>
      <c r="C208" t="s">
        <v>27</v>
      </c>
      <c r="D208" t="s">
        <v>25</v>
      </c>
      <c r="E208" t="s">
        <v>28</v>
      </c>
      <c r="F208" t="s">
        <v>45</v>
      </c>
      <c r="G208" s="114">
        <v>3765.62</v>
      </c>
      <c r="H208" t="s">
        <v>17</v>
      </c>
      <c r="J208">
        <v>2.9</v>
      </c>
      <c r="K208" s="114">
        <v>0</v>
      </c>
      <c r="L208" s="114">
        <v>0</v>
      </c>
    </row>
    <row r="209" spans="1:12" x14ac:dyDescent="0.25">
      <c r="A209" t="s">
        <v>737</v>
      </c>
      <c r="B209" s="158">
        <v>45555.420138888891</v>
      </c>
      <c r="C209" t="s">
        <v>58</v>
      </c>
      <c r="D209" t="s">
        <v>25</v>
      </c>
      <c r="E209" t="s">
        <v>28</v>
      </c>
      <c r="F209" t="s">
        <v>29</v>
      </c>
      <c r="G209" s="114">
        <v>4908.6099999999997</v>
      </c>
      <c r="H209" t="s">
        <v>34</v>
      </c>
      <c r="I209" t="s">
        <v>62</v>
      </c>
      <c r="J209">
        <v>2.9</v>
      </c>
      <c r="K209" s="114">
        <v>0</v>
      </c>
      <c r="L209" s="114">
        <v>0</v>
      </c>
    </row>
    <row r="210" spans="1:12" x14ac:dyDescent="0.25">
      <c r="A210" t="s">
        <v>738</v>
      </c>
      <c r="B210" s="158">
        <v>45555.553472222222</v>
      </c>
      <c r="C210" t="s">
        <v>60</v>
      </c>
      <c r="D210" t="s">
        <v>25</v>
      </c>
      <c r="E210" t="s">
        <v>15</v>
      </c>
      <c r="F210" t="s">
        <v>45</v>
      </c>
      <c r="G210" s="114">
        <v>120.96</v>
      </c>
      <c r="H210" t="s">
        <v>22</v>
      </c>
      <c r="J210">
        <v>2.5</v>
      </c>
      <c r="K210" s="114">
        <v>3.02</v>
      </c>
      <c r="L210" s="114">
        <v>117.94</v>
      </c>
    </row>
    <row r="211" spans="1:12" x14ac:dyDescent="0.25">
      <c r="A211" t="s">
        <v>739</v>
      </c>
      <c r="B211" s="158">
        <v>45555.712500000001</v>
      </c>
      <c r="C211" t="s">
        <v>37</v>
      </c>
      <c r="D211" t="s">
        <v>38</v>
      </c>
      <c r="E211" t="s">
        <v>44</v>
      </c>
      <c r="F211" t="s">
        <v>16</v>
      </c>
      <c r="G211" s="114">
        <v>621.38</v>
      </c>
      <c r="H211" t="s">
        <v>34</v>
      </c>
      <c r="I211" t="s">
        <v>35</v>
      </c>
      <c r="J211">
        <v>2.1</v>
      </c>
      <c r="K211" s="114">
        <v>0</v>
      </c>
      <c r="L211" s="114">
        <v>0</v>
      </c>
    </row>
    <row r="212" spans="1:12" x14ac:dyDescent="0.25">
      <c r="A212" t="s">
        <v>740</v>
      </c>
      <c r="B212" s="158">
        <v>45556.232638888891</v>
      </c>
      <c r="C212" t="s">
        <v>27</v>
      </c>
      <c r="D212" t="s">
        <v>25</v>
      </c>
      <c r="E212" t="s">
        <v>39</v>
      </c>
      <c r="F212" t="s">
        <v>45</v>
      </c>
      <c r="G212" s="114">
        <v>2137.58</v>
      </c>
      <c r="H212" t="s">
        <v>34</v>
      </c>
      <c r="I212" t="s">
        <v>35</v>
      </c>
      <c r="J212">
        <v>3.2</v>
      </c>
      <c r="K212" s="114">
        <v>0</v>
      </c>
      <c r="L212" s="114">
        <v>0</v>
      </c>
    </row>
    <row r="213" spans="1:12" x14ac:dyDescent="0.25">
      <c r="A213" t="s">
        <v>741</v>
      </c>
      <c r="B213" s="158">
        <v>45556.253472222219</v>
      </c>
      <c r="C213" t="s">
        <v>24</v>
      </c>
      <c r="D213" t="s">
        <v>25</v>
      </c>
      <c r="E213" t="s">
        <v>15</v>
      </c>
      <c r="F213" t="s">
        <v>16</v>
      </c>
      <c r="G213" s="114">
        <v>2780.33</v>
      </c>
      <c r="H213" t="s">
        <v>22</v>
      </c>
      <c r="J213">
        <v>2.5</v>
      </c>
      <c r="K213" s="114">
        <v>69.510000000000005</v>
      </c>
      <c r="L213" s="114">
        <v>2710.82</v>
      </c>
    </row>
    <row r="214" spans="1:12" x14ac:dyDescent="0.25">
      <c r="A214" t="s">
        <v>742</v>
      </c>
      <c r="B214" s="158">
        <v>45556.435416666667</v>
      </c>
      <c r="C214" t="s">
        <v>27</v>
      </c>
      <c r="D214" t="s">
        <v>25</v>
      </c>
      <c r="E214" t="s">
        <v>39</v>
      </c>
      <c r="F214" t="s">
        <v>16</v>
      </c>
      <c r="G214" s="114">
        <v>3820.74</v>
      </c>
      <c r="H214" t="s">
        <v>22</v>
      </c>
      <c r="J214">
        <v>3.2</v>
      </c>
      <c r="K214" s="114">
        <v>122.26</v>
      </c>
      <c r="L214" s="114">
        <v>3698.48</v>
      </c>
    </row>
    <row r="215" spans="1:12" x14ac:dyDescent="0.25">
      <c r="A215" t="s">
        <v>743</v>
      </c>
      <c r="B215" s="158">
        <v>45556.494444444441</v>
      </c>
      <c r="C215" t="s">
        <v>60</v>
      </c>
      <c r="D215" t="s">
        <v>25</v>
      </c>
      <c r="E215" t="s">
        <v>33</v>
      </c>
      <c r="F215" t="s">
        <v>29</v>
      </c>
      <c r="G215" s="114">
        <v>337.43</v>
      </c>
      <c r="H215" t="s">
        <v>17</v>
      </c>
      <c r="J215">
        <v>1.9</v>
      </c>
      <c r="K215" s="114">
        <v>0</v>
      </c>
      <c r="L215" s="114">
        <v>0</v>
      </c>
    </row>
    <row r="216" spans="1:12" x14ac:dyDescent="0.25">
      <c r="A216" t="s">
        <v>744</v>
      </c>
      <c r="B216" s="158">
        <v>45556.515277777777</v>
      </c>
      <c r="C216" t="s">
        <v>37</v>
      </c>
      <c r="D216" t="s">
        <v>38</v>
      </c>
      <c r="E216" t="s">
        <v>15</v>
      </c>
      <c r="F216" t="s">
        <v>16</v>
      </c>
      <c r="G216" s="114">
        <v>4436.99</v>
      </c>
      <c r="H216" t="s">
        <v>22</v>
      </c>
      <c r="J216">
        <v>2.5</v>
      </c>
      <c r="K216" s="114">
        <v>110.92</v>
      </c>
      <c r="L216" s="114">
        <v>4326.07</v>
      </c>
    </row>
    <row r="217" spans="1:12" x14ac:dyDescent="0.25">
      <c r="A217" t="s">
        <v>745</v>
      </c>
      <c r="B217" s="158">
        <v>45556.588194444441</v>
      </c>
      <c r="C217" t="s">
        <v>24</v>
      </c>
      <c r="D217" t="s">
        <v>25</v>
      </c>
      <c r="E217" t="s">
        <v>44</v>
      </c>
      <c r="F217" t="s">
        <v>41</v>
      </c>
      <c r="G217" s="114">
        <v>1697.05</v>
      </c>
      <c r="H217" t="s">
        <v>17</v>
      </c>
      <c r="J217">
        <v>2.1</v>
      </c>
      <c r="K217" s="114">
        <v>0</v>
      </c>
      <c r="L217" s="114">
        <v>0</v>
      </c>
    </row>
    <row r="218" spans="1:12" x14ac:dyDescent="0.25">
      <c r="A218" t="s">
        <v>746</v>
      </c>
      <c r="B218" s="158">
        <v>45557.179861111108</v>
      </c>
      <c r="C218" t="s">
        <v>27</v>
      </c>
      <c r="D218" t="s">
        <v>25</v>
      </c>
      <c r="E218" t="s">
        <v>44</v>
      </c>
      <c r="F218" t="s">
        <v>21</v>
      </c>
      <c r="G218" s="114">
        <v>4674.34</v>
      </c>
      <c r="H218" t="s">
        <v>22</v>
      </c>
      <c r="J218">
        <v>2.1</v>
      </c>
      <c r="K218" s="114">
        <v>98.16</v>
      </c>
      <c r="L218" s="114">
        <v>4576.18</v>
      </c>
    </row>
    <row r="219" spans="1:12" x14ac:dyDescent="0.25">
      <c r="A219" t="s">
        <v>747</v>
      </c>
      <c r="B219" s="158">
        <v>45557.412499999999</v>
      </c>
      <c r="C219" t="s">
        <v>31</v>
      </c>
      <c r="D219" t="s">
        <v>32</v>
      </c>
      <c r="E219" t="s">
        <v>39</v>
      </c>
      <c r="F219" t="s">
        <v>29</v>
      </c>
      <c r="G219" s="114">
        <v>3178.93</v>
      </c>
      <c r="H219" t="s">
        <v>17</v>
      </c>
      <c r="J219">
        <v>3.2</v>
      </c>
      <c r="K219" s="114">
        <v>0</v>
      </c>
      <c r="L219" s="114">
        <v>0</v>
      </c>
    </row>
    <row r="220" spans="1:12" x14ac:dyDescent="0.25">
      <c r="A220" t="s">
        <v>748</v>
      </c>
      <c r="B220" s="158">
        <v>45557.589583333334</v>
      </c>
      <c r="C220" t="s">
        <v>19</v>
      </c>
      <c r="D220" t="s">
        <v>20</v>
      </c>
      <c r="E220" t="s">
        <v>33</v>
      </c>
      <c r="F220" t="s">
        <v>29</v>
      </c>
      <c r="G220" s="114">
        <v>1646.55</v>
      </c>
      <c r="H220" t="s">
        <v>17</v>
      </c>
      <c r="J220">
        <v>1.9</v>
      </c>
      <c r="K220" s="114">
        <v>0</v>
      </c>
      <c r="L220" s="114">
        <v>0</v>
      </c>
    </row>
    <row r="221" spans="1:12" x14ac:dyDescent="0.25">
      <c r="A221" t="s">
        <v>749</v>
      </c>
      <c r="B221" s="158">
        <v>45557.894444444442</v>
      </c>
      <c r="C221" t="s">
        <v>60</v>
      </c>
      <c r="D221" t="s">
        <v>25</v>
      </c>
      <c r="E221" t="s">
        <v>28</v>
      </c>
      <c r="F221" t="s">
        <v>21</v>
      </c>
      <c r="G221" s="114">
        <v>4087.37</v>
      </c>
      <c r="H221" t="s">
        <v>34</v>
      </c>
      <c r="I221" t="s">
        <v>35</v>
      </c>
      <c r="J221">
        <v>2.9</v>
      </c>
      <c r="K221" s="114">
        <v>0</v>
      </c>
      <c r="L221" s="114">
        <v>0</v>
      </c>
    </row>
    <row r="222" spans="1:12" x14ac:dyDescent="0.25">
      <c r="A222" t="s">
        <v>750</v>
      </c>
      <c r="B222" s="158">
        <v>45558.01666666667</v>
      </c>
      <c r="C222" t="s">
        <v>24</v>
      </c>
      <c r="D222" t="s">
        <v>25</v>
      </c>
      <c r="E222" t="s">
        <v>39</v>
      </c>
      <c r="F222" t="s">
        <v>16</v>
      </c>
      <c r="G222" s="114">
        <v>1817.73</v>
      </c>
      <c r="H222" t="s">
        <v>22</v>
      </c>
      <c r="J222">
        <v>3.2</v>
      </c>
      <c r="K222" s="114">
        <v>58.17</v>
      </c>
      <c r="L222" s="114">
        <v>1759.56</v>
      </c>
    </row>
    <row r="223" spans="1:12" x14ac:dyDescent="0.25">
      <c r="A223" t="s">
        <v>751</v>
      </c>
      <c r="B223" s="158">
        <v>45558.400000000001</v>
      </c>
      <c r="C223" t="s">
        <v>37</v>
      </c>
      <c r="D223" t="s">
        <v>38</v>
      </c>
      <c r="E223" t="s">
        <v>33</v>
      </c>
      <c r="F223" t="s">
        <v>45</v>
      </c>
      <c r="G223" s="114">
        <v>103.4</v>
      </c>
      <c r="H223" t="s">
        <v>17</v>
      </c>
      <c r="J223">
        <v>1.9</v>
      </c>
      <c r="K223" s="114">
        <v>0</v>
      </c>
      <c r="L223" s="114">
        <v>0</v>
      </c>
    </row>
    <row r="224" spans="1:12" x14ac:dyDescent="0.25">
      <c r="A224" t="s">
        <v>752</v>
      </c>
      <c r="B224" s="158">
        <v>45558.45</v>
      </c>
      <c r="C224" t="s">
        <v>27</v>
      </c>
      <c r="D224" t="s">
        <v>25</v>
      </c>
      <c r="E224" t="s">
        <v>28</v>
      </c>
      <c r="F224" t="s">
        <v>41</v>
      </c>
      <c r="G224" s="114">
        <v>4452.6899999999996</v>
      </c>
      <c r="H224" t="s">
        <v>17</v>
      </c>
      <c r="J224">
        <v>2.9</v>
      </c>
      <c r="K224" s="114">
        <v>0</v>
      </c>
      <c r="L224" s="114">
        <v>0</v>
      </c>
    </row>
    <row r="225" spans="1:12" x14ac:dyDescent="0.25">
      <c r="A225" t="s">
        <v>753</v>
      </c>
      <c r="B225" s="158">
        <v>45558.738194444442</v>
      </c>
      <c r="C225" t="s">
        <v>24</v>
      </c>
      <c r="D225" t="s">
        <v>25</v>
      </c>
      <c r="E225" t="s">
        <v>39</v>
      </c>
      <c r="F225" t="s">
        <v>16</v>
      </c>
      <c r="G225" s="114">
        <v>359.17</v>
      </c>
      <c r="H225" t="s">
        <v>22</v>
      </c>
      <c r="J225">
        <v>3.2</v>
      </c>
      <c r="K225" s="114">
        <v>11.49</v>
      </c>
      <c r="L225" s="114">
        <v>347.68</v>
      </c>
    </row>
    <row r="226" spans="1:12" x14ac:dyDescent="0.25">
      <c r="A226" t="s">
        <v>754</v>
      </c>
      <c r="B226" s="158">
        <v>45559.911805555559</v>
      </c>
      <c r="C226" t="s">
        <v>19</v>
      </c>
      <c r="D226" t="s">
        <v>20</v>
      </c>
      <c r="E226" t="s">
        <v>33</v>
      </c>
      <c r="F226" t="s">
        <v>21</v>
      </c>
      <c r="G226" s="114">
        <v>2487.29</v>
      </c>
      <c r="H226" t="s">
        <v>22</v>
      </c>
      <c r="J226">
        <v>1.9</v>
      </c>
      <c r="K226" s="114">
        <v>47.26</v>
      </c>
      <c r="L226" s="114">
        <v>2440.0300000000002</v>
      </c>
    </row>
    <row r="227" spans="1:12" x14ac:dyDescent="0.25">
      <c r="A227" t="s">
        <v>755</v>
      </c>
      <c r="B227" s="158">
        <v>45560.087500000001</v>
      </c>
      <c r="C227" t="s">
        <v>47</v>
      </c>
      <c r="D227" t="s">
        <v>25</v>
      </c>
      <c r="E227" t="s">
        <v>33</v>
      </c>
      <c r="F227" t="s">
        <v>29</v>
      </c>
      <c r="G227" s="114">
        <v>430.71</v>
      </c>
      <c r="H227" t="s">
        <v>34</v>
      </c>
      <c r="I227" t="s">
        <v>62</v>
      </c>
      <c r="J227">
        <v>1.9</v>
      </c>
      <c r="K227" s="114">
        <v>0</v>
      </c>
      <c r="L227" s="114">
        <v>0</v>
      </c>
    </row>
    <row r="228" spans="1:12" x14ac:dyDescent="0.25">
      <c r="A228" t="s">
        <v>756</v>
      </c>
      <c r="B228" s="158">
        <v>45560.40902777778</v>
      </c>
      <c r="C228" t="s">
        <v>37</v>
      </c>
      <c r="D228" t="s">
        <v>38</v>
      </c>
      <c r="E228" t="s">
        <v>44</v>
      </c>
      <c r="F228" t="s">
        <v>41</v>
      </c>
      <c r="G228" s="114">
        <v>4112.47</v>
      </c>
      <c r="H228" t="s">
        <v>17</v>
      </c>
      <c r="J228">
        <v>2.1</v>
      </c>
      <c r="K228" s="114">
        <v>0</v>
      </c>
      <c r="L228" s="114">
        <v>0</v>
      </c>
    </row>
    <row r="229" spans="1:12" x14ac:dyDescent="0.25">
      <c r="A229" t="s">
        <v>757</v>
      </c>
      <c r="B229" s="158">
        <v>45560.861111111109</v>
      </c>
      <c r="C229" t="s">
        <v>13</v>
      </c>
      <c r="D229" t="s">
        <v>14</v>
      </c>
      <c r="E229" t="s">
        <v>39</v>
      </c>
      <c r="F229" t="s">
        <v>21</v>
      </c>
      <c r="G229" s="114">
        <v>2413.44</v>
      </c>
      <c r="H229" t="s">
        <v>22</v>
      </c>
      <c r="J229">
        <v>3.2</v>
      </c>
      <c r="K229" s="114">
        <v>77.23</v>
      </c>
      <c r="L229" s="114">
        <v>2336.21</v>
      </c>
    </row>
    <row r="230" spans="1:12" x14ac:dyDescent="0.25">
      <c r="A230" t="s">
        <v>758</v>
      </c>
      <c r="B230" s="158">
        <v>45561.299305555556</v>
      </c>
      <c r="C230" t="s">
        <v>13</v>
      </c>
      <c r="D230" t="s">
        <v>14</v>
      </c>
      <c r="E230" t="s">
        <v>28</v>
      </c>
      <c r="F230" t="s">
        <v>45</v>
      </c>
      <c r="G230" s="114">
        <v>805.26</v>
      </c>
      <c r="H230" t="s">
        <v>17</v>
      </c>
      <c r="J230">
        <v>2.9</v>
      </c>
      <c r="K230" s="114">
        <v>0</v>
      </c>
      <c r="L230" s="114">
        <v>0</v>
      </c>
    </row>
    <row r="231" spans="1:12" x14ac:dyDescent="0.25">
      <c r="A231" t="s">
        <v>759</v>
      </c>
      <c r="B231" s="158">
        <v>45561.353472222225</v>
      </c>
      <c r="C231" t="s">
        <v>13</v>
      </c>
      <c r="D231" t="s">
        <v>14</v>
      </c>
      <c r="E231" t="s">
        <v>28</v>
      </c>
      <c r="F231" t="s">
        <v>45</v>
      </c>
      <c r="G231" s="114">
        <v>4450.68</v>
      </c>
      <c r="H231" t="s">
        <v>22</v>
      </c>
      <c r="J231">
        <v>2.9</v>
      </c>
      <c r="K231" s="114">
        <v>129.07</v>
      </c>
      <c r="L231" s="114">
        <v>4321.6099999999997</v>
      </c>
    </row>
    <row r="232" spans="1:12" x14ac:dyDescent="0.25">
      <c r="A232" t="s">
        <v>760</v>
      </c>
      <c r="B232" s="158">
        <v>45561.583333333336</v>
      </c>
      <c r="C232" t="s">
        <v>27</v>
      </c>
      <c r="D232" t="s">
        <v>25</v>
      </c>
      <c r="E232" t="s">
        <v>15</v>
      </c>
      <c r="F232" t="s">
        <v>29</v>
      </c>
      <c r="G232" s="114">
        <v>383.39</v>
      </c>
      <c r="H232" t="s">
        <v>22</v>
      </c>
      <c r="J232">
        <v>2.5</v>
      </c>
      <c r="K232" s="114">
        <v>9.58</v>
      </c>
      <c r="L232" s="114">
        <v>373.81</v>
      </c>
    </row>
    <row r="233" spans="1:12" x14ac:dyDescent="0.25">
      <c r="A233" t="s">
        <v>761</v>
      </c>
      <c r="B233" s="158">
        <v>45561.606249999997</v>
      </c>
      <c r="C233" t="s">
        <v>37</v>
      </c>
      <c r="D233" t="s">
        <v>38</v>
      </c>
      <c r="E233" t="s">
        <v>28</v>
      </c>
      <c r="F233" t="s">
        <v>45</v>
      </c>
      <c r="G233" s="114">
        <v>569.91999999999996</v>
      </c>
      <c r="H233" t="s">
        <v>17</v>
      </c>
      <c r="J233">
        <v>2.9</v>
      </c>
      <c r="K233" s="114">
        <v>0</v>
      </c>
      <c r="L233" s="114">
        <v>0</v>
      </c>
    </row>
    <row r="234" spans="1:12" x14ac:dyDescent="0.25">
      <c r="A234" t="s">
        <v>762</v>
      </c>
      <c r="B234" s="158">
        <v>45561.822222222225</v>
      </c>
      <c r="C234" t="s">
        <v>19</v>
      </c>
      <c r="D234" t="s">
        <v>20</v>
      </c>
      <c r="E234" t="s">
        <v>39</v>
      </c>
      <c r="F234" t="s">
        <v>41</v>
      </c>
      <c r="G234" s="114">
        <v>1838.11</v>
      </c>
      <c r="H234" t="s">
        <v>17</v>
      </c>
      <c r="J234">
        <v>3.2</v>
      </c>
      <c r="K234" s="114">
        <v>0</v>
      </c>
      <c r="L234" s="114">
        <v>0</v>
      </c>
    </row>
    <row r="235" spans="1:12" x14ac:dyDescent="0.25">
      <c r="A235" t="s">
        <v>763</v>
      </c>
      <c r="B235" s="158">
        <v>45562.831944444442</v>
      </c>
      <c r="C235" t="s">
        <v>27</v>
      </c>
      <c r="D235" t="s">
        <v>25</v>
      </c>
      <c r="E235" t="s">
        <v>15</v>
      </c>
      <c r="F235" t="s">
        <v>16</v>
      </c>
      <c r="G235" s="114">
        <v>3222.96</v>
      </c>
      <c r="H235" t="s">
        <v>17</v>
      </c>
      <c r="J235">
        <v>2.5</v>
      </c>
      <c r="K235" s="114">
        <v>0</v>
      </c>
      <c r="L235" s="114">
        <v>0</v>
      </c>
    </row>
    <row r="236" spans="1:12" x14ac:dyDescent="0.25">
      <c r="A236" t="s">
        <v>764</v>
      </c>
      <c r="B236" s="158">
        <v>45563.183333333334</v>
      </c>
      <c r="C236" t="s">
        <v>24</v>
      </c>
      <c r="D236" t="s">
        <v>25</v>
      </c>
      <c r="E236" t="s">
        <v>39</v>
      </c>
      <c r="F236" t="s">
        <v>29</v>
      </c>
      <c r="G236" s="114">
        <v>1658.01</v>
      </c>
      <c r="H236" t="s">
        <v>22</v>
      </c>
      <c r="J236">
        <v>3.2</v>
      </c>
      <c r="K236" s="114">
        <v>53.06</v>
      </c>
      <c r="L236" s="114">
        <v>1604.95</v>
      </c>
    </row>
    <row r="237" spans="1:12" x14ac:dyDescent="0.25">
      <c r="A237" t="s">
        <v>765</v>
      </c>
      <c r="B237" s="158">
        <v>45563.475694444445</v>
      </c>
      <c r="C237" t="s">
        <v>37</v>
      </c>
      <c r="D237" t="s">
        <v>38</v>
      </c>
      <c r="E237" t="s">
        <v>39</v>
      </c>
      <c r="F237" t="s">
        <v>29</v>
      </c>
      <c r="G237" s="114">
        <v>4803</v>
      </c>
      <c r="H237" t="s">
        <v>22</v>
      </c>
      <c r="J237">
        <v>3.2</v>
      </c>
      <c r="K237" s="114">
        <v>153.69999999999999</v>
      </c>
      <c r="L237" s="114">
        <v>4649.3</v>
      </c>
    </row>
    <row r="238" spans="1:12" x14ac:dyDescent="0.25">
      <c r="A238" t="s">
        <v>766</v>
      </c>
      <c r="B238" s="158">
        <v>45563.706944444442</v>
      </c>
      <c r="C238" t="s">
        <v>47</v>
      </c>
      <c r="D238" t="s">
        <v>25</v>
      </c>
      <c r="E238" t="s">
        <v>44</v>
      </c>
      <c r="F238" t="s">
        <v>21</v>
      </c>
      <c r="G238" s="114">
        <v>4571.1000000000004</v>
      </c>
      <c r="H238" t="s">
        <v>34</v>
      </c>
      <c r="I238" t="s">
        <v>62</v>
      </c>
      <c r="J238">
        <v>2.1</v>
      </c>
      <c r="K238" s="114">
        <v>0</v>
      </c>
      <c r="L238" s="114">
        <v>0</v>
      </c>
    </row>
    <row r="239" spans="1:12" x14ac:dyDescent="0.25">
      <c r="A239" t="s">
        <v>767</v>
      </c>
      <c r="B239" s="158">
        <v>45564.450694444444</v>
      </c>
      <c r="C239" t="s">
        <v>43</v>
      </c>
      <c r="D239" t="s">
        <v>25</v>
      </c>
      <c r="E239" t="s">
        <v>28</v>
      </c>
      <c r="F239" t="s">
        <v>21</v>
      </c>
      <c r="G239" s="114">
        <v>755.11</v>
      </c>
      <c r="H239" t="s">
        <v>22</v>
      </c>
      <c r="J239">
        <v>2.9</v>
      </c>
      <c r="K239" s="114">
        <v>21.9</v>
      </c>
      <c r="L239" s="114">
        <v>733.21</v>
      </c>
    </row>
    <row r="240" spans="1:12" x14ac:dyDescent="0.25">
      <c r="A240" t="s">
        <v>768</v>
      </c>
      <c r="B240" s="158">
        <v>45565.020833333336</v>
      </c>
      <c r="C240" t="s">
        <v>43</v>
      </c>
      <c r="D240" t="s">
        <v>25</v>
      </c>
      <c r="E240" t="s">
        <v>33</v>
      </c>
      <c r="F240" t="s">
        <v>16</v>
      </c>
      <c r="G240" s="114">
        <v>2874.09</v>
      </c>
      <c r="H240" t="s">
        <v>22</v>
      </c>
      <c r="J240">
        <v>1.9</v>
      </c>
      <c r="K240" s="114">
        <v>54.61</v>
      </c>
      <c r="L240" s="114">
        <v>2819.48</v>
      </c>
    </row>
    <row r="241" spans="1:12" x14ac:dyDescent="0.25">
      <c r="A241" t="s">
        <v>769</v>
      </c>
      <c r="B241" s="158">
        <v>45565.32916666667</v>
      </c>
      <c r="C241" t="s">
        <v>43</v>
      </c>
      <c r="D241" t="s">
        <v>25</v>
      </c>
      <c r="E241" t="s">
        <v>15</v>
      </c>
      <c r="F241" t="s">
        <v>41</v>
      </c>
      <c r="G241" s="114">
        <v>4549.8500000000004</v>
      </c>
      <c r="H241" t="s">
        <v>34</v>
      </c>
      <c r="I241" t="s">
        <v>62</v>
      </c>
      <c r="J241">
        <v>2.5</v>
      </c>
      <c r="K241" s="114">
        <v>0</v>
      </c>
      <c r="L241" s="114">
        <v>0</v>
      </c>
    </row>
    <row r="242" spans="1:12" x14ac:dyDescent="0.25">
      <c r="A242" t="s">
        <v>770</v>
      </c>
      <c r="B242" s="158">
        <v>45565.420138888891</v>
      </c>
      <c r="C242" t="s">
        <v>43</v>
      </c>
      <c r="D242" t="s">
        <v>25</v>
      </c>
      <c r="E242" t="s">
        <v>39</v>
      </c>
      <c r="F242" t="s">
        <v>29</v>
      </c>
      <c r="G242" s="114">
        <v>891.33</v>
      </c>
      <c r="H242" t="s">
        <v>22</v>
      </c>
      <c r="J242">
        <v>3.2</v>
      </c>
      <c r="K242" s="114">
        <v>28.52</v>
      </c>
      <c r="L242" s="114">
        <v>862.81</v>
      </c>
    </row>
    <row r="243" spans="1:12" x14ac:dyDescent="0.25">
      <c r="A243" t="s">
        <v>771</v>
      </c>
      <c r="B243" s="158">
        <v>45565.509027777778</v>
      </c>
      <c r="C243" t="s">
        <v>58</v>
      </c>
      <c r="D243" t="s">
        <v>25</v>
      </c>
      <c r="E243" t="s">
        <v>44</v>
      </c>
      <c r="F243" t="s">
        <v>16</v>
      </c>
      <c r="G243" s="114">
        <v>1350</v>
      </c>
      <c r="H243" t="s">
        <v>22</v>
      </c>
      <c r="J243">
        <v>2.1</v>
      </c>
      <c r="K243" s="114">
        <v>28.35</v>
      </c>
      <c r="L243" s="114">
        <v>1321.65</v>
      </c>
    </row>
    <row r="244" spans="1:12" x14ac:dyDescent="0.25">
      <c r="A244" t="s">
        <v>772</v>
      </c>
      <c r="B244" s="158">
        <v>45565.960416666669</v>
      </c>
      <c r="C244" t="s">
        <v>24</v>
      </c>
      <c r="D244" t="s">
        <v>25</v>
      </c>
      <c r="E244" t="s">
        <v>33</v>
      </c>
      <c r="F244" t="s">
        <v>16</v>
      </c>
      <c r="G244" s="114">
        <v>1780.48</v>
      </c>
      <c r="H244" t="s">
        <v>22</v>
      </c>
      <c r="J244">
        <v>1.9</v>
      </c>
      <c r="K244" s="114">
        <v>33.83</v>
      </c>
      <c r="L244" s="114">
        <v>1746.65</v>
      </c>
    </row>
    <row r="245" spans="1:12" x14ac:dyDescent="0.25">
      <c r="A245" t="s">
        <v>773</v>
      </c>
      <c r="B245" s="158">
        <v>45566.037499999999</v>
      </c>
      <c r="C245" t="s">
        <v>31</v>
      </c>
      <c r="D245" t="s">
        <v>32</v>
      </c>
      <c r="E245" t="s">
        <v>15</v>
      </c>
      <c r="F245" t="s">
        <v>29</v>
      </c>
      <c r="G245" s="114">
        <v>4413.45</v>
      </c>
      <c r="H245" t="s">
        <v>22</v>
      </c>
      <c r="J245">
        <v>2.5</v>
      </c>
      <c r="K245" s="114">
        <v>110.34</v>
      </c>
      <c r="L245" s="114">
        <v>4303.1099999999997</v>
      </c>
    </row>
    <row r="246" spans="1:12" x14ac:dyDescent="0.25">
      <c r="A246" t="s">
        <v>774</v>
      </c>
      <c r="B246" s="158">
        <v>45566.165972222225</v>
      </c>
      <c r="C246" t="s">
        <v>58</v>
      </c>
      <c r="D246" t="s">
        <v>25</v>
      </c>
      <c r="E246" t="s">
        <v>28</v>
      </c>
      <c r="F246" t="s">
        <v>45</v>
      </c>
      <c r="G246" s="114">
        <v>1472.96</v>
      </c>
      <c r="H246" t="s">
        <v>17</v>
      </c>
      <c r="J246">
        <v>2.9</v>
      </c>
      <c r="K246" s="114">
        <v>0</v>
      </c>
      <c r="L246" s="114">
        <v>0</v>
      </c>
    </row>
    <row r="247" spans="1:12" x14ac:dyDescent="0.25">
      <c r="A247" t="s">
        <v>775</v>
      </c>
      <c r="B247" s="158">
        <v>45566.224305555559</v>
      </c>
      <c r="C247" t="s">
        <v>37</v>
      </c>
      <c r="D247" t="s">
        <v>38</v>
      </c>
      <c r="E247" t="s">
        <v>44</v>
      </c>
      <c r="F247" t="s">
        <v>16</v>
      </c>
      <c r="G247" s="114">
        <v>578.64</v>
      </c>
      <c r="H247" t="s">
        <v>34</v>
      </c>
      <c r="I247" t="s">
        <v>100</v>
      </c>
      <c r="J247">
        <v>2.1</v>
      </c>
      <c r="K247" s="114">
        <v>0</v>
      </c>
      <c r="L247" s="114">
        <v>0</v>
      </c>
    </row>
    <row r="248" spans="1:12" x14ac:dyDescent="0.25">
      <c r="A248" t="s">
        <v>776</v>
      </c>
      <c r="B248" s="158">
        <v>45566.375694444447</v>
      </c>
      <c r="C248" t="s">
        <v>13</v>
      </c>
      <c r="D248" t="s">
        <v>14</v>
      </c>
      <c r="E248" t="s">
        <v>15</v>
      </c>
      <c r="F248" t="s">
        <v>29</v>
      </c>
      <c r="G248" s="114">
        <v>544.01</v>
      </c>
      <c r="H248" t="s">
        <v>22</v>
      </c>
      <c r="J248">
        <v>2.5</v>
      </c>
      <c r="K248" s="114">
        <v>13.6</v>
      </c>
      <c r="L248" s="114">
        <v>530.41</v>
      </c>
    </row>
    <row r="249" spans="1:12" x14ac:dyDescent="0.25">
      <c r="A249" t="s">
        <v>777</v>
      </c>
      <c r="B249" s="158">
        <v>45567.259027777778</v>
      </c>
      <c r="C249" t="s">
        <v>13</v>
      </c>
      <c r="D249" t="s">
        <v>14</v>
      </c>
      <c r="E249" t="s">
        <v>33</v>
      </c>
      <c r="F249" t="s">
        <v>21</v>
      </c>
      <c r="G249" s="114">
        <v>2748.51</v>
      </c>
      <c r="H249" t="s">
        <v>17</v>
      </c>
      <c r="J249">
        <v>1.9</v>
      </c>
      <c r="K249" s="114">
        <v>0</v>
      </c>
      <c r="L249" s="114">
        <v>0</v>
      </c>
    </row>
    <row r="250" spans="1:12" x14ac:dyDescent="0.25">
      <c r="A250" t="s">
        <v>778</v>
      </c>
      <c r="B250" s="158">
        <v>45567.761111111111</v>
      </c>
      <c r="C250" t="s">
        <v>43</v>
      </c>
      <c r="D250" t="s">
        <v>25</v>
      </c>
      <c r="E250" t="s">
        <v>15</v>
      </c>
      <c r="F250" t="s">
        <v>45</v>
      </c>
      <c r="G250" s="114">
        <v>2423.31</v>
      </c>
      <c r="H250" t="s">
        <v>22</v>
      </c>
      <c r="J250">
        <v>2.5</v>
      </c>
      <c r="K250" s="114">
        <v>60.58</v>
      </c>
      <c r="L250" s="114">
        <v>2362.73</v>
      </c>
    </row>
    <row r="251" spans="1:12" x14ac:dyDescent="0.25">
      <c r="A251" t="s">
        <v>779</v>
      </c>
      <c r="B251" s="158">
        <v>45568.063888888886</v>
      </c>
      <c r="C251" t="s">
        <v>37</v>
      </c>
      <c r="D251" t="s">
        <v>38</v>
      </c>
      <c r="E251" t="s">
        <v>15</v>
      </c>
      <c r="F251" t="s">
        <v>29</v>
      </c>
      <c r="G251" s="114">
        <v>2291.41</v>
      </c>
      <c r="H251" t="s">
        <v>22</v>
      </c>
      <c r="J251">
        <v>2.5</v>
      </c>
      <c r="K251" s="114">
        <v>57.29</v>
      </c>
      <c r="L251" s="114">
        <v>2234.12</v>
      </c>
    </row>
    <row r="252" spans="1:12" x14ac:dyDescent="0.25">
      <c r="A252" t="s">
        <v>780</v>
      </c>
      <c r="B252" s="158">
        <v>45568.585416666669</v>
      </c>
      <c r="C252" t="s">
        <v>27</v>
      </c>
      <c r="D252" t="s">
        <v>25</v>
      </c>
      <c r="E252" t="s">
        <v>28</v>
      </c>
      <c r="F252" t="s">
        <v>16</v>
      </c>
      <c r="G252" s="114">
        <v>4517.43</v>
      </c>
      <c r="H252" t="s">
        <v>22</v>
      </c>
      <c r="J252">
        <v>2.9</v>
      </c>
      <c r="K252" s="114">
        <v>131.01</v>
      </c>
      <c r="L252" s="114">
        <v>4386.42</v>
      </c>
    </row>
    <row r="253" spans="1:12" x14ac:dyDescent="0.25">
      <c r="A253" t="s">
        <v>781</v>
      </c>
      <c r="B253" s="158">
        <v>45568.676388888889</v>
      </c>
      <c r="C253" t="s">
        <v>43</v>
      </c>
      <c r="D253" t="s">
        <v>25</v>
      </c>
      <c r="E253" t="s">
        <v>44</v>
      </c>
      <c r="F253" t="s">
        <v>21</v>
      </c>
      <c r="G253" s="114">
        <v>274.81</v>
      </c>
      <c r="H253" t="s">
        <v>22</v>
      </c>
      <c r="J253">
        <v>2.1</v>
      </c>
      <c r="K253" s="114">
        <v>5.77</v>
      </c>
      <c r="L253" s="114">
        <v>269.04000000000002</v>
      </c>
    </row>
    <row r="254" spans="1:12" x14ac:dyDescent="0.25">
      <c r="A254" t="s">
        <v>782</v>
      </c>
      <c r="B254" s="158">
        <v>45569.056944444441</v>
      </c>
      <c r="C254" t="s">
        <v>43</v>
      </c>
      <c r="D254" t="s">
        <v>25</v>
      </c>
      <c r="E254" t="s">
        <v>28</v>
      </c>
      <c r="F254" t="s">
        <v>45</v>
      </c>
      <c r="G254" s="114">
        <v>4341.5</v>
      </c>
      <c r="H254" t="s">
        <v>17</v>
      </c>
      <c r="J254">
        <v>2.9</v>
      </c>
      <c r="K254" s="114">
        <v>0</v>
      </c>
      <c r="L254" s="114">
        <v>0</v>
      </c>
    </row>
    <row r="255" spans="1:12" x14ac:dyDescent="0.25">
      <c r="A255" t="s">
        <v>783</v>
      </c>
      <c r="B255" s="158">
        <v>45569.068749999999</v>
      </c>
      <c r="C255" t="s">
        <v>31</v>
      </c>
      <c r="D255" t="s">
        <v>32</v>
      </c>
      <c r="E255" t="s">
        <v>44</v>
      </c>
      <c r="F255" t="s">
        <v>21</v>
      </c>
      <c r="G255" s="114">
        <v>4987.16</v>
      </c>
      <c r="H255" t="s">
        <v>22</v>
      </c>
      <c r="J255">
        <v>2.1</v>
      </c>
      <c r="K255" s="114">
        <v>104.73</v>
      </c>
      <c r="L255" s="114">
        <v>4882.43</v>
      </c>
    </row>
    <row r="256" spans="1:12" x14ac:dyDescent="0.25">
      <c r="A256" t="s">
        <v>784</v>
      </c>
      <c r="B256" s="158">
        <v>45569.074999999997</v>
      </c>
      <c r="C256" t="s">
        <v>43</v>
      </c>
      <c r="D256" t="s">
        <v>25</v>
      </c>
      <c r="E256" t="s">
        <v>33</v>
      </c>
      <c r="F256" t="s">
        <v>29</v>
      </c>
      <c r="G256" s="114">
        <v>4948.9799999999996</v>
      </c>
      <c r="H256" t="s">
        <v>22</v>
      </c>
      <c r="J256">
        <v>1.9</v>
      </c>
      <c r="K256" s="114">
        <v>94.03</v>
      </c>
      <c r="L256" s="114">
        <v>4854.95</v>
      </c>
    </row>
    <row r="257" spans="1:12" x14ac:dyDescent="0.25">
      <c r="A257" t="s">
        <v>785</v>
      </c>
      <c r="B257" s="158">
        <v>45569.175694444442</v>
      </c>
      <c r="C257" t="s">
        <v>27</v>
      </c>
      <c r="D257" t="s">
        <v>25</v>
      </c>
      <c r="E257" t="s">
        <v>33</v>
      </c>
      <c r="F257" t="s">
        <v>45</v>
      </c>
      <c r="G257" s="114">
        <v>3423.4</v>
      </c>
      <c r="H257" t="s">
        <v>22</v>
      </c>
      <c r="J257">
        <v>1.9</v>
      </c>
      <c r="K257" s="114">
        <v>65.040000000000006</v>
      </c>
      <c r="L257" s="114">
        <v>3358.36</v>
      </c>
    </row>
    <row r="258" spans="1:12" x14ac:dyDescent="0.25">
      <c r="A258" t="s">
        <v>786</v>
      </c>
      <c r="B258" s="158">
        <v>45569.601388888892</v>
      </c>
      <c r="C258" t="s">
        <v>60</v>
      </c>
      <c r="D258" t="s">
        <v>25</v>
      </c>
      <c r="E258" t="s">
        <v>44</v>
      </c>
      <c r="F258" t="s">
        <v>16</v>
      </c>
      <c r="G258" s="114">
        <v>1953.49</v>
      </c>
      <c r="H258" t="s">
        <v>17</v>
      </c>
      <c r="J258">
        <v>2.1</v>
      </c>
      <c r="K258" s="114">
        <v>0</v>
      </c>
      <c r="L258" s="114">
        <v>0</v>
      </c>
    </row>
    <row r="259" spans="1:12" x14ac:dyDescent="0.25">
      <c r="A259" t="s">
        <v>787</v>
      </c>
      <c r="B259" s="158">
        <v>45570.636111111111</v>
      </c>
      <c r="C259" t="s">
        <v>60</v>
      </c>
      <c r="D259" t="s">
        <v>25</v>
      </c>
      <c r="E259" t="s">
        <v>44</v>
      </c>
      <c r="F259" t="s">
        <v>21</v>
      </c>
      <c r="G259" s="114">
        <v>1791.3</v>
      </c>
      <c r="H259" t="s">
        <v>22</v>
      </c>
      <c r="J259">
        <v>2.1</v>
      </c>
      <c r="K259" s="114">
        <v>37.619999999999997</v>
      </c>
      <c r="L259" s="114">
        <v>1753.68</v>
      </c>
    </row>
    <row r="260" spans="1:12" x14ac:dyDescent="0.25">
      <c r="A260" t="s">
        <v>788</v>
      </c>
      <c r="B260" s="158">
        <v>45570.779166666667</v>
      </c>
      <c r="C260" t="s">
        <v>60</v>
      </c>
      <c r="D260" t="s">
        <v>25</v>
      </c>
      <c r="E260" t="s">
        <v>44</v>
      </c>
      <c r="F260" t="s">
        <v>21</v>
      </c>
      <c r="G260" s="114">
        <v>88.13</v>
      </c>
      <c r="H260" t="s">
        <v>22</v>
      </c>
      <c r="J260">
        <v>2.1</v>
      </c>
      <c r="K260" s="114">
        <v>1.85</v>
      </c>
      <c r="L260" s="114">
        <v>86.28</v>
      </c>
    </row>
    <row r="261" spans="1:12" x14ac:dyDescent="0.25">
      <c r="A261" t="s">
        <v>789</v>
      </c>
      <c r="B261" s="158">
        <v>45570.848611111112</v>
      </c>
      <c r="C261" t="s">
        <v>60</v>
      </c>
      <c r="D261" t="s">
        <v>25</v>
      </c>
      <c r="E261" t="s">
        <v>15</v>
      </c>
      <c r="F261" t="s">
        <v>21</v>
      </c>
      <c r="G261" s="114">
        <v>957.14</v>
      </c>
      <c r="H261" t="s">
        <v>22</v>
      </c>
      <c r="J261">
        <v>2.5</v>
      </c>
      <c r="K261" s="114">
        <v>23.93</v>
      </c>
      <c r="L261" s="114">
        <v>933.21</v>
      </c>
    </row>
    <row r="262" spans="1:12" x14ac:dyDescent="0.25">
      <c r="A262" t="s">
        <v>790</v>
      </c>
      <c r="B262" s="158">
        <v>45570.929861111108</v>
      </c>
      <c r="C262" t="s">
        <v>19</v>
      </c>
      <c r="D262" t="s">
        <v>20</v>
      </c>
      <c r="E262" t="s">
        <v>33</v>
      </c>
      <c r="F262" t="s">
        <v>41</v>
      </c>
      <c r="G262" s="114">
        <v>3342.64</v>
      </c>
      <c r="H262" t="s">
        <v>17</v>
      </c>
      <c r="J262">
        <v>1.9</v>
      </c>
      <c r="K262" s="114">
        <v>0</v>
      </c>
      <c r="L262" s="114">
        <v>0</v>
      </c>
    </row>
    <row r="263" spans="1:12" x14ac:dyDescent="0.25">
      <c r="A263" t="s">
        <v>791</v>
      </c>
      <c r="B263" s="158">
        <v>45571.078472222223</v>
      </c>
      <c r="C263" t="s">
        <v>37</v>
      </c>
      <c r="D263" t="s">
        <v>38</v>
      </c>
      <c r="E263" t="s">
        <v>33</v>
      </c>
      <c r="F263" t="s">
        <v>45</v>
      </c>
      <c r="G263" s="114">
        <v>748.99</v>
      </c>
      <c r="H263" t="s">
        <v>22</v>
      </c>
      <c r="J263">
        <v>1.9</v>
      </c>
      <c r="K263" s="114">
        <v>14.23</v>
      </c>
      <c r="L263" s="114">
        <v>734.76</v>
      </c>
    </row>
    <row r="264" spans="1:12" x14ac:dyDescent="0.25">
      <c r="A264" t="s">
        <v>792</v>
      </c>
      <c r="B264" s="158">
        <v>45571.681250000001</v>
      </c>
      <c r="C264" t="s">
        <v>47</v>
      </c>
      <c r="D264" t="s">
        <v>25</v>
      </c>
      <c r="E264" t="s">
        <v>15</v>
      </c>
      <c r="F264" t="s">
        <v>21</v>
      </c>
      <c r="G264" s="114">
        <v>4848.33</v>
      </c>
      <c r="H264" t="s">
        <v>17</v>
      </c>
      <c r="J264">
        <v>2.5</v>
      </c>
      <c r="K264" s="114">
        <v>0</v>
      </c>
      <c r="L264" s="114">
        <v>0</v>
      </c>
    </row>
    <row r="265" spans="1:12" x14ac:dyDescent="0.25">
      <c r="A265" t="s">
        <v>793</v>
      </c>
      <c r="B265" s="158">
        <v>45571.831250000003</v>
      </c>
      <c r="C265" t="s">
        <v>24</v>
      </c>
      <c r="D265" t="s">
        <v>25</v>
      </c>
      <c r="E265" t="s">
        <v>15</v>
      </c>
      <c r="F265" t="s">
        <v>29</v>
      </c>
      <c r="G265" s="114">
        <v>1371.95</v>
      </c>
      <c r="H265" t="s">
        <v>34</v>
      </c>
      <c r="I265" t="s">
        <v>78</v>
      </c>
      <c r="J265">
        <v>2.5</v>
      </c>
      <c r="K265" s="114">
        <v>0</v>
      </c>
      <c r="L265" s="114">
        <v>0</v>
      </c>
    </row>
    <row r="266" spans="1:12" x14ac:dyDescent="0.25">
      <c r="A266" t="s">
        <v>794</v>
      </c>
      <c r="B266" s="158">
        <v>45572.588888888888</v>
      </c>
      <c r="C266" t="s">
        <v>13</v>
      </c>
      <c r="D266" t="s">
        <v>14</v>
      </c>
      <c r="E266" t="s">
        <v>44</v>
      </c>
      <c r="F266" t="s">
        <v>45</v>
      </c>
      <c r="G266" s="114">
        <v>2991.95</v>
      </c>
      <c r="H266" t="s">
        <v>17</v>
      </c>
      <c r="J266">
        <v>2.1</v>
      </c>
      <c r="K266" s="114">
        <v>0</v>
      </c>
      <c r="L266" s="114">
        <v>0</v>
      </c>
    </row>
    <row r="267" spans="1:12" x14ac:dyDescent="0.25">
      <c r="A267" t="s">
        <v>795</v>
      </c>
      <c r="B267" s="158">
        <v>45572.755555555559</v>
      </c>
      <c r="C267" t="s">
        <v>19</v>
      </c>
      <c r="D267" t="s">
        <v>20</v>
      </c>
      <c r="E267" t="s">
        <v>15</v>
      </c>
      <c r="F267" t="s">
        <v>21</v>
      </c>
      <c r="G267" s="114">
        <v>4471.83</v>
      </c>
      <c r="H267" t="s">
        <v>22</v>
      </c>
      <c r="J267">
        <v>2.5</v>
      </c>
      <c r="K267" s="114">
        <v>111.8</v>
      </c>
      <c r="L267" s="114">
        <v>4360.03</v>
      </c>
    </row>
    <row r="268" spans="1:12" x14ac:dyDescent="0.25">
      <c r="A268" t="s">
        <v>796</v>
      </c>
      <c r="B268" s="158">
        <v>45573.061805555553</v>
      </c>
      <c r="C268" t="s">
        <v>31</v>
      </c>
      <c r="D268" t="s">
        <v>32</v>
      </c>
      <c r="E268" t="s">
        <v>39</v>
      </c>
      <c r="F268" t="s">
        <v>21</v>
      </c>
      <c r="G268" s="114">
        <v>1623.14</v>
      </c>
      <c r="H268" t="s">
        <v>34</v>
      </c>
      <c r="I268" t="s">
        <v>100</v>
      </c>
      <c r="J268">
        <v>3.2</v>
      </c>
      <c r="K268" s="114">
        <v>0</v>
      </c>
      <c r="L268" s="114">
        <v>0</v>
      </c>
    </row>
    <row r="269" spans="1:12" x14ac:dyDescent="0.25">
      <c r="A269" t="s">
        <v>797</v>
      </c>
      <c r="B269" s="158">
        <v>45573.406944444447</v>
      </c>
      <c r="C269" t="s">
        <v>13</v>
      </c>
      <c r="D269" t="s">
        <v>14</v>
      </c>
      <c r="E269" t="s">
        <v>33</v>
      </c>
      <c r="F269" t="s">
        <v>21</v>
      </c>
      <c r="G269" s="114">
        <v>1743.9</v>
      </c>
      <c r="H269" t="s">
        <v>22</v>
      </c>
      <c r="J269">
        <v>1.9</v>
      </c>
      <c r="K269" s="114">
        <v>33.130000000000003</v>
      </c>
      <c r="L269" s="114">
        <v>1710.77</v>
      </c>
    </row>
    <row r="270" spans="1:12" x14ac:dyDescent="0.25">
      <c r="A270" t="s">
        <v>798</v>
      </c>
      <c r="B270" s="158">
        <v>45573.522222222222</v>
      </c>
      <c r="C270" t="s">
        <v>37</v>
      </c>
      <c r="D270" t="s">
        <v>38</v>
      </c>
      <c r="E270" t="s">
        <v>44</v>
      </c>
      <c r="F270" t="s">
        <v>45</v>
      </c>
      <c r="G270" s="114">
        <v>4992.18</v>
      </c>
      <c r="H270" t="s">
        <v>34</v>
      </c>
      <c r="I270" t="s">
        <v>62</v>
      </c>
      <c r="J270">
        <v>2.1</v>
      </c>
      <c r="K270" s="114">
        <v>0</v>
      </c>
      <c r="L270" s="114">
        <v>0</v>
      </c>
    </row>
    <row r="271" spans="1:12" x14ac:dyDescent="0.25">
      <c r="A271" t="s">
        <v>799</v>
      </c>
      <c r="B271" s="158">
        <v>45573.611805555556</v>
      </c>
      <c r="C271" t="s">
        <v>13</v>
      </c>
      <c r="D271" t="s">
        <v>14</v>
      </c>
      <c r="E271" t="s">
        <v>28</v>
      </c>
      <c r="F271" t="s">
        <v>21</v>
      </c>
      <c r="G271" s="114">
        <v>3361.71</v>
      </c>
      <c r="H271" t="s">
        <v>22</v>
      </c>
      <c r="J271">
        <v>2.9</v>
      </c>
      <c r="K271" s="114">
        <v>97.49</v>
      </c>
      <c r="L271" s="114">
        <v>3264.22</v>
      </c>
    </row>
    <row r="272" spans="1:12" x14ac:dyDescent="0.25">
      <c r="A272" t="s">
        <v>800</v>
      </c>
      <c r="B272" s="158">
        <v>45574.024305555555</v>
      </c>
      <c r="C272" t="s">
        <v>58</v>
      </c>
      <c r="D272" t="s">
        <v>25</v>
      </c>
      <c r="E272" t="s">
        <v>28</v>
      </c>
      <c r="F272" t="s">
        <v>29</v>
      </c>
      <c r="G272" s="114">
        <v>4961.3599999999997</v>
      </c>
      <c r="H272" t="s">
        <v>22</v>
      </c>
      <c r="J272">
        <v>2.9</v>
      </c>
      <c r="K272" s="114">
        <v>143.88</v>
      </c>
      <c r="L272" s="114">
        <v>4817.4799999999996</v>
      </c>
    </row>
    <row r="273" spans="1:12" x14ac:dyDescent="0.25">
      <c r="A273" t="s">
        <v>801</v>
      </c>
      <c r="B273" s="158">
        <v>45574.724999999999</v>
      </c>
      <c r="C273" t="s">
        <v>43</v>
      </c>
      <c r="D273" t="s">
        <v>25</v>
      </c>
      <c r="E273" t="s">
        <v>39</v>
      </c>
      <c r="F273" t="s">
        <v>29</v>
      </c>
      <c r="G273" s="114">
        <v>4904.07</v>
      </c>
      <c r="H273" t="s">
        <v>22</v>
      </c>
      <c r="J273">
        <v>3.2</v>
      </c>
      <c r="K273" s="114">
        <v>156.93</v>
      </c>
      <c r="L273" s="114">
        <v>4747.1400000000003</v>
      </c>
    </row>
    <row r="274" spans="1:12" x14ac:dyDescent="0.25">
      <c r="A274" t="s">
        <v>802</v>
      </c>
      <c r="B274" s="158">
        <v>45574.859027777777</v>
      </c>
      <c r="C274" t="s">
        <v>27</v>
      </c>
      <c r="D274" t="s">
        <v>25</v>
      </c>
      <c r="E274" t="s">
        <v>44</v>
      </c>
      <c r="F274" t="s">
        <v>16</v>
      </c>
      <c r="G274" s="114">
        <v>2519.29</v>
      </c>
      <c r="H274" t="s">
        <v>22</v>
      </c>
      <c r="J274">
        <v>2.1</v>
      </c>
      <c r="K274" s="114">
        <v>52.91</v>
      </c>
      <c r="L274" s="114">
        <v>2466.38</v>
      </c>
    </row>
    <row r="275" spans="1:12" x14ac:dyDescent="0.25">
      <c r="A275" t="s">
        <v>803</v>
      </c>
      <c r="B275" s="158">
        <v>45575.15625</v>
      </c>
      <c r="C275" t="s">
        <v>13</v>
      </c>
      <c r="D275" t="s">
        <v>14</v>
      </c>
      <c r="E275" t="s">
        <v>28</v>
      </c>
      <c r="F275" t="s">
        <v>21</v>
      </c>
      <c r="G275" s="114">
        <v>428.54</v>
      </c>
      <c r="H275" t="s">
        <v>22</v>
      </c>
      <c r="J275">
        <v>2.9</v>
      </c>
      <c r="K275" s="114">
        <v>12.43</v>
      </c>
      <c r="L275" s="114">
        <v>416.11</v>
      </c>
    </row>
    <row r="276" spans="1:12" x14ac:dyDescent="0.25">
      <c r="A276" t="s">
        <v>804</v>
      </c>
      <c r="B276" s="158">
        <v>45575.229166666664</v>
      </c>
      <c r="C276" t="s">
        <v>37</v>
      </c>
      <c r="D276" t="s">
        <v>38</v>
      </c>
      <c r="E276" t="s">
        <v>39</v>
      </c>
      <c r="F276" t="s">
        <v>29</v>
      </c>
      <c r="G276" s="114">
        <v>4472.6400000000003</v>
      </c>
      <c r="H276" t="s">
        <v>22</v>
      </c>
      <c r="J276">
        <v>3.2</v>
      </c>
      <c r="K276" s="114">
        <v>143.12</v>
      </c>
      <c r="L276" s="114">
        <v>4329.5200000000004</v>
      </c>
    </row>
    <row r="277" spans="1:12" x14ac:dyDescent="0.25">
      <c r="A277" t="s">
        <v>805</v>
      </c>
      <c r="B277" s="158">
        <v>45575.578472222223</v>
      </c>
      <c r="C277" t="s">
        <v>19</v>
      </c>
      <c r="D277" t="s">
        <v>20</v>
      </c>
      <c r="E277" t="s">
        <v>15</v>
      </c>
      <c r="F277" t="s">
        <v>45</v>
      </c>
      <c r="G277" s="114">
        <v>3907.6</v>
      </c>
      <c r="H277" t="s">
        <v>22</v>
      </c>
      <c r="J277">
        <v>2.5</v>
      </c>
      <c r="K277" s="114">
        <v>97.69</v>
      </c>
      <c r="L277" s="114">
        <v>3809.91</v>
      </c>
    </row>
    <row r="278" spans="1:12" x14ac:dyDescent="0.25">
      <c r="A278" t="s">
        <v>806</v>
      </c>
      <c r="B278" s="158">
        <v>45576.229861111111</v>
      </c>
      <c r="C278" t="s">
        <v>47</v>
      </c>
      <c r="D278" t="s">
        <v>25</v>
      </c>
      <c r="E278" t="s">
        <v>44</v>
      </c>
      <c r="F278" t="s">
        <v>29</v>
      </c>
      <c r="G278" s="114">
        <v>1579.75</v>
      </c>
      <c r="H278" t="s">
        <v>34</v>
      </c>
      <c r="I278" t="s">
        <v>100</v>
      </c>
      <c r="J278">
        <v>2.1</v>
      </c>
      <c r="K278" s="114">
        <v>0</v>
      </c>
      <c r="L278" s="114">
        <v>0</v>
      </c>
    </row>
    <row r="279" spans="1:12" x14ac:dyDescent="0.25">
      <c r="A279" t="s">
        <v>807</v>
      </c>
      <c r="B279" s="158">
        <v>45576.836111111108</v>
      </c>
      <c r="C279" t="s">
        <v>47</v>
      </c>
      <c r="D279" t="s">
        <v>25</v>
      </c>
      <c r="E279" t="s">
        <v>33</v>
      </c>
      <c r="F279" t="s">
        <v>16</v>
      </c>
      <c r="G279" s="114">
        <v>2010.07</v>
      </c>
      <c r="H279" t="s">
        <v>34</v>
      </c>
      <c r="I279" t="s">
        <v>35</v>
      </c>
      <c r="J279">
        <v>1.9</v>
      </c>
      <c r="K279" s="114">
        <v>0</v>
      </c>
      <c r="L279" s="114">
        <v>0</v>
      </c>
    </row>
    <row r="280" spans="1:12" x14ac:dyDescent="0.25">
      <c r="A280" t="s">
        <v>808</v>
      </c>
      <c r="B280" s="158">
        <v>45577.99722222222</v>
      </c>
      <c r="C280" t="s">
        <v>58</v>
      </c>
      <c r="D280" t="s">
        <v>25</v>
      </c>
      <c r="E280" t="s">
        <v>39</v>
      </c>
      <c r="F280" t="s">
        <v>41</v>
      </c>
      <c r="G280" s="114">
        <v>4119.9799999999996</v>
      </c>
      <c r="H280" t="s">
        <v>22</v>
      </c>
      <c r="J280">
        <v>3.2</v>
      </c>
      <c r="K280" s="114">
        <v>131.84</v>
      </c>
      <c r="L280" s="114">
        <v>3988.14</v>
      </c>
    </row>
    <row r="281" spans="1:12" x14ac:dyDescent="0.25">
      <c r="A281" t="s">
        <v>809</v>
      </c>
      <c r="B281" s="158">
        <v>45578.067361111112</v>
      </c>
      <c r="C281" t="s">
        <v>27</v>
      </c>
      <c r="D281" t="s">
        <v>25</v>
      </c>
      <c r="E281" t="s">
        <v>39</v>
      </c>
      <c r="F281" t="s">
        <v>29</v>
      </c>
      <c r="G281" s="114">
        <v>2523.6999999999998</v>
      </c>
      <c r="H281" t="s">
        <v>22</v>
      </c>
      <c r="J281">
        <v>3.2</v>
      </c>
      <c r="K281" s="114">
        <v>80.760000000000005</v>
      </c>
      <c r="L281" s="114">
        <v>2442.94</v>
      </c>
    </row>
    <row r="282" spans="1:12" x14ac:dyDescent="0.25">
      <c r="A282" t="s">
        <v>810</v>
      </c>
      <c r="B282" s="158">
        <v>45578.398611111108</v>
      </c>
      <c r="C282" t="s">
        <v>43</v>
      </c>
      <c r="D282" t="s">
        <v>25</v>
      </c>
      <c r="E282" t="s">
        <v>44</v>
      </c>
      <c r="F282" t="s">
        <v>45</v>
      </c>
      <c r="G282" s="114">
        <v>941.27</v>
      </c>
      <c r="H282" t="s">
        <v>22</v>
      </c>
      <c r="J282">
        <v>2.1</v>
      </c>
      <c r="K282" s="114">
        <v>19.77</v>
      </c>
      <c r="L282" s="114">
        <v>921.5</v>
      </c>
    </row>
    <row r="283" spans="1:12" x14ac:dyDescent="0.25">
      <c r="A283" t="s">
        <v>811</v>
      </c>
      <c r="B283" s="158">
        <v>45578.568749999999</v>
      </c>
      <c r="C283" t="s">
        <v>27</v>
      </c>
      <c r="D283" t="s">
        <v>25</v>
      </c>
      <c r="E283" t="s">
        <v>44</v>
      </c>
      <c r="F283" t="s">
        <v>29</v>
      </c>
      <c r="G283" s="114">
        <v>4881.2700000000004</v>
      </c>
      <c r="H283" t="s">
        <v>22</v>
      </c>
      <c r="J283">
        <v>2.1</v>
      </c>
      <c r="K283" s="114">
        <v>102.51</v>
      </c>
      <c r="L283" s="114">
        <v>4778.76</v>
      </c>
    </row>
    <row r="284" spans="1:12" x14ac:dyDescent="0.25">
      <c r="A284" t="s">
        <v>812</v>
      </c>
      <c r="B284" s="158">
        <v>45579.28125</v>
      </c>
      <c r="C284" t="s">
        <v>13</v>
      </c>
      <c r="D284" t="s">
        <v>14</v>
      </c>
      <c r="E284" t="s">
        <v>15</v>
      </c>
      <c r="F284" t="s">
        <v>29</v>
      </c>
      <c r="G284" s="114">
        <v>2251.5500000000002</v>
      </c>
      <c r="H284" t="s">
        <v>22</v>
      </c>
      <c r="J284">
        <v>2.5</v>
      </c>
      <c r="K284" s="114">
        <v>56.29</v>
      </c>
      <c r="L284" s="114">
        <v>2195.2600000000002</v>
      </c>
    </row>
    <row r="285" spans="1:12" x14ac:dyDescent="0.25">
      <c r="A285" t="s">
        <v>813</v>
      </c>
      <c r="B285" s="158">
        <v>45579.833333333336</v>
      </c>
      <c r="C285" t="s">
        <v>31</v>
      </c>
      <c r="D285" t="s">
        <v>32</v>
      </c>
      <c r="E285" t="s">
        <v>39</v>
      </c>
      <c r="F285" t="s">
        <v>16</v>
      </c>
      <c r="G285" s="114">
        <v>1209.3399999999999</v>
      </c>
      <c r="H285" t="s">
        <v>17</v>
      </c>
      <c r="J285">
        <v>3.2</v>
      </c>
      <c r="K285" s="114">
        <v>0</v>
      </c>
      <c r="L285" s="114">
        <v>0</v>
      </c>
    </row>
    <row r="286" spans="1:12" x14ac:dyDescent="0.25">
      <c r="A286" t="s">
        <v>814</v>
      </c>
      <c r="B286" s="158">
        <v>45579.950694444444</v>
      </c>
      <c r="C286" t="s">
        <v>24</v>
      </c>
      <c r="D286" t="s">
        <v>25</v>
      </c>
      <c r="E286" t="s">
        <v>44</v>
      </c>
      <c r="F286" t="s">
        <v>21</v>
      </c>
      <c r="G286" s="114">
        <v>1200.78</v>
      </c>
      <c r="H286" t="s">
        <v>22</v>
      </c>
      <c r="J286">
        <v>2.1</v>
      </c>
      <c r="K286" s="114">
        <v>25.22</v>
      </c>
      <c r="L286" s="114">
        <v>1175.56</v>
      </c>
    </row>
    <row r="287" spans="1:12" x14ac:dyDescent="0.25">
      <c r="A287" t="s">
        <v>815</v>
      </c>
      <c r="B287" s="158">
        <v>45580.159722222219</v>
      </c>
      <c r="C287" t="s">
        <v>47</v>
      </c>
      <c r="D287" t="s">
        <v>25</v>
      </c>
      <c r="E287" t="s">
        <v>33</v>
      </c>
      <c r="F287" t="s">
        <v>21</v>
      </c>
      <c r="G287" s="114">
        <v>4390.6899999999996</v>
      </c>
      <c r="H287" t="s">
        <v>22</v>
      </c>
      <c r="J287">
        <v>1.9</v>
      </c>
      <c r="K287" s="114">
        <v>83.42</v>
      </c>
      <c r="L287" s="114">
        <v>4307.2700000000004</v>
      </c>
    </row>
    <row r="288" spans="1:12" x14ac:dyDescent="0.25">
      <c r="A288" t="s">
        <v>816</v>
      </c>
      <c r="B288" s="158">
        <v>45580.286805555559</v>
      </c>
      <c r="C288" t="s">
        <v>43</v>
      </c>
      <c r="D288" t="s">
        <v>25</v>
      </c>
      <c r="E288" t="s">
        <v>33</v>
      </c>
      <c r="F288" t="s">
        <v>21</v>
      </c>
      <c r="G288" s="114">
        <v>886.03</v>
      </c>
      <c r="H288" t="s">
        <v>22</v>
      </c>
      <c r="J288">
        <v>1.9</v>
      </c>
      <c r="K288" s="114">
        <v>16.829999999999998</v>
      </c>
      <c r="L288" s="114">
        <v>869.2</v>
      </c>
    </row>
    <row r="289" spans="1:12" x14ac:dyDescent="0.25">
      <c r="A289" t="s">
        <v>817</v>
      </c>
      <c r="B289" s="158">
        <v>45580.717361111114</v>
      </c>
      <c r="C289" t="s">
        <v>58</v>
      </c>
      <c r="D289" t="s">
        <v>25</v>
      </c>
      <c r="E289" t="s">
        <v>33</v>
      </c>
      <c r="F289" t="s">
        <v>21</v>
      </c>
      <c r="G289" s="114">
        <v>1806.44</v>
      </c>
      <c r="H289" t="s">
        <v>34</v>
      </c>
      <c r="I289" t="s">
        <v>55</v>
      </c>
      <c r="J289">
        <v>1.9</v>
      </c>
      <c r="K289" s="114">
        <v>0</v>
      </c>
      <c r="L289" s="114">
        <v>0</v>
      </c>
    </row>
    <row r="290" spans="1:12" x14ac:dyDescent="0.25">
      <c r="A290" t="s">
        <v>818</v>
      </c>
      <c r="B290" s="158">
        <v>45580.834027777775</v>
      </c>
      <c r="C290" t="s">
        <v>47</v>
      </c>
      <c r="D290" t="s">
        <v>25</v>
      </c>
      <c r="E290" t="s">
        <v>28</v>
      </c>
      <c r="F290" t="s">
        <v>29</v>
      </c>
      <c r="G290" s="114">
        <v>2251.52</v>
      </c>
      <c r="H290" t="s">
        <v>34</v>
      </c>
      <c r="I290" t="s">
        <v>55</v>
      </c>
      <c r="J290">
        <v>2.9</v>
      </c>
      <c r="K290" s="114">
        <v>0</v>
      </c>
      <c r="L290" s="114">
        <v>0</v>
      </c>
    </row>
    <row r="291" spans="1:12" x14ac:dyDescent="0.25">
      <c r="A291" t="s">
        <v>819</v>
      </c>
      <c r="B291" s="158">
        <v>45581.25277777778</v>
      </c>
      <c r="C291" t="s">
        <v>13</v>
      </c>
      <c r="D291" t="s">
        <v>14</v>
      </c>
      <c r="E291" t="s">
        <v>44</v>
      </c>
      <c r="F291" t="s">
        <v>45</v>
      </c>
      <c r="G291" s="114">
        <v>1087.5999999999999</v>
      </c>
      <c r="H291" t="s">
        <v>22</v>
      </c>
      <c r="J291">
        <v>2.1</v>
      </c>
      <c r="K291" s="114">
        <v>22.84</v>
      </c>
      <c r="L291" s="114">
        <v>1064.76</v>
      </c>
    </row>
    <row r="292" spans="1:12" x14ac:dyDescent="0.25">
      <c r="A292" t="s">
        <v>820</v>
      </c>
      <c r="B292" s="158">
        <v>45581.579861111109</v>
      </c>
      <c r="C292" t="s">
        <v>47</v>
      </c>
      <c r="D292" t="s">
        <v>25</v>
      </c>
      <c r="E292" t="s">
        <v>15</v>
      </c>
      <c r="F292" t="s">
        <v>41</v>
      </c>
      <c r="G292" s="114">
        <v>1872.28</v>
      </c>
      <c r="H292" t="s">
        <v>17</v>
      </c>
      <c r="J292">
        <v>2.5</v>
      </c>
      <c r="K292" s="114">
        <v>0</v>
      </c>
      <c r="L292" s="114">
        <v>0</v>
      </c>
    </row>
    <row r="293" spans="1:12" x14ac:dyDescent="0.25">
      <c r="A293" t="s">
        <v>821</v>
      </c>
      <c r="B293" s="158">
        <v>45581.909722222219</v>
      </c>
      <c r="C293" t="s">
        <v>27</v>
      </c>
      <c r="D293" t="s">
        <v>25</v>
      </c>
      <c r="E293" t="s">
        <v>44</v>
      </c>
      <c r="F293" t="s">
        <v>29</v>
      </c>
      <c r="G293" s="114">
        <v>404.05</v>
      </c>
      <c r="H293" t="s">
        <v>34</v>
      </c>
      <c r="I293" t="s">
        <v>100</v>
      </c>
      <c r="J293">
        <v>2.1</v>
      </c>
      <c r="K293" s="114">
        <v>0</v>
      </c>
      <c r="L293" s="114">
        <v>0</v>
      </c>
    </row>
    <row r="294" spans="1:12" x14ac:dyDescent="0.25">
      <c r="A294" t="s">
        <v>822</v>
      </c>
      <c r="B294" s="158">
        <v>45581.998611111114</v>
      </c>
      <c r="C294" t="s">
        <v>43</v>
      </c>
      <c r="D294" t="s">
        <v>25</v>
      </c>
      <c r="E294" t="s">
        <v>39</v>
      </c>
      <c r="F294" t="s">
        <v>41</v>
      </c>
      <c r="G294" s="114">
        <v>3660.89</v>
      </c>
      <c r="H294" t="s">
        <v>22</v>
      </c>
      <c r="J294">
        <v>3.2</v>
      </c>
      <c r="K294" s="114">
        <v>117.15</v>
      </c>
      <c r="L294" s="114">
        <v>3543.74</v>
      </c>
    </row>
    <row r="295" spans="1:12" x14ac:dyDescent="0.25">
      <c r="A295" t="s">
        <v>823</v>
      </c>
      <c r="B295" s="158">
        <v>45582.049305555556</v>
      </c>
      <c r="C295" t="s">
        <v>19</v>
      </c>
      <c r="D295" t="s">
        <v>20</v>
      </c>
      <c r="E295" t="s">
        <v>39</v>
      </c>
      <c r="F295" t="s">
        <v>45</v>
      </c>
      <c r="G295" s="114">
        <v>1112.27</v>
      </c>
      <c r="H295" t="s">
        <v>17</v>
      </c>
      <c r="J295">
        <v>3.2</v>
      </c>
      <c r="K295" s="114">
        <v>0</v>
      </c>
      <c r="L295" s="114">
        <v>0</v>
      </c>
    </row>
    <row r="296" spans="1:12" x14ac:dyDescent="0.25">
      <c r="A296" t="s">
        <v>824</v>
      </c>
      <c r="B296" s="158">
        <v>45582.65625</v>
      </c>
      <c r="C296" t="s">
        <v>37</v>
      </c>
      <c r="D296" t="s">
        <v>38</v>
      </c>
      <c r="E296" t="s">
        <v>28</v>
      </c>
      <c r="F296" t="s">
        <v>45</v>
      </c>
      <c r="G296" s="114">
        <v>2412.85</v>
      </c>
      <c r="H296" t="s">
        <v>22</v>
      </c>
      <c r="J296">
        <v>2.9</v>
      </c>
      <c r="K296" s="114">
        <v>69.97</v>
      </c>
      <c r="L296" s="114">
        <v>2342.88</v>
      </c>
    </row>
    <row r="297" spans="1:12" x14ac:dyDescent="0.25">
      <c r="A297" t="s">
        <v>825</v>
      </c>
      <c r="B297" s="158">
        <v>45582.749305555553</v>
      </c>
      <c r="C297" t="s">
        <v>37</v>
      </c>
      <c r="D297" t="s">
        <v>38</v>
      </c>
      <c r="E297" t="s">
        <v>39</v>
      </c>
      <c r="F297" t="s">
        <v>21</v>
      </c>
      <c r="G297" s="114">
        <v>2009.07</v>
      </c>
      <c r="H297" t="s">
        <v>22</v>
      </c>
      <c r="J297">
        <v>3.2</v>
      </c>
      <c r="K297" s="114">
        <v>64.290000000000006</v>
      </c>
      <c r="L297" s="114">
        <v>1944.78</v>
      </c>
    </row>
    <row r="298" spans="1:12" x14ac:dyDescent="0.25">
      <c r="A298" t="s">
        <v>826</v>
      </c>
      <c r="B298" s="158">
        <v>45583.894444444442</v>
      </c>
      <c r="C298" t="s">
        <v>27</v>
      </c>
      <c r="D298" t="s">
        <v>25</v>
      </c>
      <c r="E298" t="s">
        <v>33</v>
      </c>
      <c r="F298" t="s">
        <v>16</v>
      </c>
      <c r="G298" s="114">
        <v>3898.03</v>
      </c>
      <c r="H298" t="s">
        <v>17</v>
      </c>
      <c r="J298">
        <v>1.9</v>
      </c>
      <c r="K298" s="114">
        <v>0</v>
      </c>
      <c r="L298" s="114">
        <v>0</v>
      </c>
    </row>
    <row r="299" spans="1:12" x14ac:dyDescent="0.25">
      <c r="A299" t="s">
        <v>827</v>
      </c>
      <c r="B299" s="158">
        <v>45584.513888888891</v>
      </c>
      <c r="C299" t="s">
        <v>19</v>
      </c>
      <c r="D299" t="s">
        <v>20</v>
      </c>
      <c r="E299" t="s">
        <v>28</v>
      </c>
      <c r="F299" t="s">
        <v>16</v>
      </c>
      <c r="G299" s="114">
        <v>509.28</v>
      </c>
      <c r="H299" t="s">
        <v>22</v>
      </c>
      <c r="J299">
        <v>2.9</v>
      </c>
      <c r="K299" s="114">
        <v>14.77</v>
      </c>
      <c r="L299" s="114">
        <v>494.51</v>
      </c>
    </row>
    <row r="300" spans="1:12" x14ac:dyDescent="0.25">
      <c r="A300" t="s">
        <v>828</v>
      </c>
      <c r="B300" s="158">
        <v>45584.808333333334</v>
      </c>
      <c r="C300" t="s">
        <v>27</v>
      </c>
      <c r="D300" t="s">
        <v>25</v>
      </c>
      <c r="E300" t="s">
        <v>33</v>
      </c>
      <c r="F300" t="s">
        <v>41</v>
      </c>
      <c r="G300" s="114">
        <v>4324.32</v>
      </c>
      <c r="H300" t="s">
        <v>22</v>
      </c>
      <c r="J300">
        <v>1.9</v>
      </c>
      <c r="K300" s="114">
        <v>82.16</v>
      </c>
      <c r="L300" s="114">
        <v>4242.16</v>
      </c>
    </row>
    <row r="301" spans="1:12" x14ac:dyDescent="0.25">
      <c r="A301" t="s">
        <v>829</v>
      </c>
      <c r="B301" s="158">
        <v>45584.81527777778</v>
      </c>
      <c r="C301" t="s">
        <v>13</v>
      </c>
      <c r="D301" t="s">
        <v>14</v>
      </c>
      <c r="E301" t="s">
        <v>28</v>
      </c>
      <c r="F301" t="s">
        <v>45</v>
      </c>
      <c r="G301" s="114">
        <v>555.49</v>
      </c>
      <c r="H301" t="s">
        <v>34</v>
      </c>
      <c r="I301" t="s">
        <v>78</v>
      </c>
      <c r="J301">
        <v>2.9</v>
      </c>
      <c r="K301" s="114">
        <v>0</v>
      </c>
      <c r="L301" s="114">
        <v>0</v>
      </c>
    </row>
    <row r="302" spans="1:12" x14ac:dyDescent="0.25">
      <c r="A302" t="s">
        <v>830</v>
      </c>
      <c r="B302" s="158">
        <v>45585.168749999997</v>
      </c>
      <c r="C302" t="s">
        <v>27</v>
      </c>
      <c r="D302" t="s">
        <v>25</v>
      </c>
      <c r="E302" t="s">
        <v>39</v>
      </c>
      <c r="F302" t="s">
        <v>29</v>
      </c>
      <c r="G302" s="114">
        <v>2588.04</v>
      </c>
      <c r="H302" t="s">
        <v>34</v>
      </c>
      <c r="I302" t="s">
        <v>100</v>
      </c>
      <c r="J302">
        <v>3.2</v>
      </c>
      <c r="K302" s="114">
        <v>0</v>
      </c>
      <c r="L302" s="114">
        <v>0</v>
      </c>
    </row>
    <row r="303" spans="1:12" x14ac:dyDescent="0.25">
      <c r="A303" t="s">
        <v>831</v>
      </c>
      <c r="B303" s="158">
        <v>45585.535416666666</v>
      </c>
      <c r="C303" t="s">
        <v>24</v>
      </c>
      <c r="D303" t="s">
        <v>25</v>
      </c>
      <c r="E303" t="s">
        <v>33</v>
      </c>
      <c r="F303" t="s">
        <v>41</v>
      </c>
      <c r="G303" s="114">
        <v>3591.36</v>
      </c>
      <c r="H303" t="s">
        <v>17</v>
      </c>
      <c r="J303">
        <v>1.9</v>
      </c>
      <c r="K303" s="114">
        <v>0</v>
      </c>
      <c r="L303" s="114">
        <v>0</v>
      </c>
    </row>
    <row r="304" spans="1:12" x14ac:dyDescent="0.25">
      <c r="A304" t="s">
        <v>832</v>
      </c>
      <c r="B304" s="158">
        <v>45585.714583333334</v>
      </c>
      <c r="C304" t="s">
        <v>27</v>
      </c>
      <c r="D304" t="s">
        <v>25</v>
      </c>
      <c r="E304" t="s">
        <v>39</v>
      </c>
      <c r="F304" t="s">
        <v>45</v>
      </c>
      <c r="G304" s="114">
        <v>2214.7800000000002</v>
      </c>
      <c r="H304" t="s">
        <v>22</v>
      </c>
      <c r="J304">
        <v>3.2</v>
      </c>
      <c r="K304" s="114">
        <v>70.87</v>
      </c>
      <c r="L304" s="114">
        <v>2143.91</v>
      </c>
    </row>
    <row r="305" spans="1:12" x14ac:dyDescent="0.25">
      <c r="A305" t="s">
        <v>833</v>
      </c>
      <c r="B305" s="158">
        <v>45586.088194444441</v>
      </c>
      <c r="C305" t="s">
        <v>27</v>
      </c>
      <c r="D305" t="s">
        <v>25</v>
      </c>
      <c r="E305" t="s">
        <v>44</v>
      </c>
      <c r="F305" t="s">
        <v>45</v>
      </c>
      <c r="G305" s="114">
        <v>3570.68</v>
      </c>
      <c r="H305" t="s">
        <v>22</v>
      </c>
      <c r="J305">
        <v>2.1</v>
      </c>
      <c r="K305" s="114">
        <v>74.98</v>
      </c>
      <c r="L305" s="114">
        <v>3495.7</v>
      </c>
    </row>
    <row r="306" spans="1:12" x14ac:dyDescent="0.25">
      <c r="A306" t="s">
        <v>834</v>
      </c>
      <c r="B306" s="158">
        <v>45586.520833333336</v>
      </c>
      <c r="C306" t="s">
        <v>60</v>
      </c>
      <c r="D306" t="s">
        <v>25</v>
      </c>
      <c r="E306" t="s">
        <v>39</v>
      </c>
      <c r="F306" t="s">
        <v>21</v>
      </c>
      <c r="G306" s="114">
        <v>3769.84</v>
      </c>
      <c r="H306" t="s">
        <v>34</v>
      </c>
      <c r="I306" t="s">
        <v>100</v>
      </c>
      <c r="J306">
        <v>3.2</v>
      </c>
      <c r="K306" s="114">
        <v>0</v>
      </c>
      <c r="L306" s="114">
        <v>0</v>
      </c>
    </row>
    <row r="307" spans="1:12" x14ac:dyDescent="0.25">
      <c r="A307" t="s">
        <v>835</v>
      </c>
      <c r="B307" s="158">
        <v>45586.566666666666</v>
      </c>
      <c r="C307" t="s">
        <v>58</v>
      </c>
      <c r="D307" t="s">
        <v>25</v>
      </c>
      <c r="E307" t="s">
        <v>15</v>
      </c>
      <c r="F307" t="s">
        <v>21</v>
      </c>
      <c r="G307" s="114">
        <v>584.72</v>
      </c>
      <c r="H307" t="s">
        <v>22</v>
      </c>
      <c r="J307">
        <v>2.5</v>
      </c>
      <c r="K307" s="114">
        <v>14.62</v>
      </c>
      <c r="L307" s="114">
        <v>570.1</v>
      </c>
    </row>
    <row r="308" spans="1:12" x14ac:dyDescent="0.25">
      <c r="A308" t="s">
        <v>836</v>
      </c>
      <c r="B308" s="158">
        <v>45586.915277777778</v>
      </c>
      <c r="C308" t="s">
        <v>58</v>
      </c>
      <c r="D308" t="s">
        <v>25</v>
      </c>
      <c r="E308" t="s">
        <v>15</v>
      </c>
      <c r="F308" t="s">
        <v>29</v>
      </c>
      <c r="G308" s="114">
        <v>389.22</v>
      </c>
      <c r="H308" t="s">
        <v>22</v>
      </c>
      <c r="J308">
        <v>2.5</v>
      </c>
      <c r="K308" s="114">
        <v>9.73</v>
      </c>
      <c r="L308" s="114">
        <v>379.49</v>
      </c>
    </row>
    <row r="309" spans="1:12" x14ac:dyDescent="0.25">
      <c r="A309" t="s">
        <v>837</v>
      </c>
      <c r="B309" s="158">
        <v>45587.074999999997</v>
      </c>
      <c r="C309" t="s">
        <v>27</v>
      </c>
      <c r="D309" t="s">
        <v>25</v>
      </c>
      <c r="E309" t="s">
        <v>15</v>
      </c>
      <c r="F309" t="s">
        <v>45</v>
      </c>
      <c r="G309" s="114">
        <v>3261.03</v>
      </c>
      <c r="H309" t="s">
        <v>22</v>
      </c>
      <c r="J309">
        <v>2.5</v>
      </c>
      <c r="K309" s="114">
        <v>81.53</v>
      </c>
      <c r="L309" s="114">
        <v>3179.5</v>
      </c>
    </row>
    <row r="310" spans="1:12" x14ac:dyDescent="0.25">
      <c r="A310" t="s">
        <v>838</v>
      </c>
      <c r="B310" s="158">
        <v>45587.28125</v>
      </c>
      <c r="C310" t="s">
        <v>31</v>
      </c>
      <c r="D310" t="s">
        <v>32</v>
      </c>
      <c r="E310" t="s">
        <v>28</v>
      </c>
      <c r="F310" t="s">
        <v>29</v>
      </c>
      <c r="G310" s="114">
        <v>3867.61</v>
      </c>
      <c r="H310" t="s">
        <v>22</v>
      </c>
      <c r="J310">
        <v>2.9</v>
      </c>
      <c r="K310" s="114">
        <v>112.16</v>
      </c>
      <c r="L310" s="114">
        <v>3755.45</v>
      </c>
    </row>
    <row r="311" spans="1:12" x14ac:dyDescent="0.25">
      <c r="A311" t="s">
        <v>839</v>
      </c>
      <c r="B311" s="158">
        <v>45587.503472222219</v>
      </c>
      <c r="C311" t="s">
        <v>60</v>
      </c>
      <c r="D311" t="s">
        <v>25</v>
      </c>
      <c r="E311" t="s">
        <v>39</v>
      </c>
      <c r="F311" t="s">
        <v>21</v>
      </c>
      <c r="G311" s="114">
        <v>4400.16</v>
      </c>
      <c r="H311" t="s">
        <v>34</v>
      </c>
      <c r="I311" t="s">
        <v>55</v>
      </c>
      <c r="J311">
        <v>3.2</v>
      </c>
      <c r="K311" s="114">
        <v>0</v>
      </c>
      <c r="L311" s="114">
        <v>0</v>
      </c>
    </row>
    <row r="312" spans="1:12" x14ac:dyDescent="0.25">
      <c r="A312" t="s">
        <v>840</v>
      </c>
      <c r="B312" s="158">
        <v>45587.745833333334</v>
      </c>
      <c r="C312" t="s">
        <v>24</v>
      </c>
      <c r="D312" t="s">
        <v>25</v>
      </c>
      <c r="E312" t="s">
        <v>28</v>
      </c>
      <c r="F312" t="s">
        <v>16</v>
      </c>
      <c r="G312" s="114">
        <v>4286.3</v>
      </c>
      <c r="H312" t="s">
        <v>34</v>
      </c>
      <c r="I312" t="s">
        <v>35</v>
      </c>
      <c r="J312">
        <v>2.9</v>
      </c>
      <c r="K312" s="114">
        <v>0</v>
      </c>
      <c r="L312" s="114">
        <v>0</v>
      </c>
    </row>
    <row r="313" spans="1:12" x14ac:dyDescent="0.25">
      <c r="A313" t="s">
        <v>841</v>
      </c>
      <c r="B313" s="158">
        <v>45587.972222222219</v>
      </c>
      <c r="C313" t="s">
        <v>24</v>
      </c>
      <c r="D313" t="s">
        <v>25</v>
      </c>
      <c r="E313" t="s">
        <v>44</v>
      </c>
      <c r="F313" t="s">
        <v>16</v>
      </c>
      <c r="G313" s="114">
        <v>4979.8900000000003</v>
      </c>
      <c r="H313" t="s">
        <v>34</v>
      </c>
      <c r="I313" t="s">
        <v>55</v>
      </c>
      <c r="J313">
        <v>2.1</v>
      </c>
      <c r="K313" s="114">
        <v>0</v>
      </c>
      <c r="L313" s="114">
        <v>0</v>
      </c>
    </row>
    <row r="314" spans="1:12" x14ac:dyDescent="0.25">
      <c r="A314" t="s">
        <v>842</v>
      </c>
      <c r="B314" s="158">
        <v>45587.995138888888</v>
      </c>
      <c r="C314" t="s">
        <v>37</v>
      </c>
      <c r="D314" t="s">
        <v>38</v>
      </c>
      <c r="E314" t="s">
        <v>28</v>
      </c>
      <c r="F314" t="s">
        <v>21</v>
      </c>
      <c r="G314" s="114">
        <v>3779.86</v>
      </c>
      <c r="H314" t="s">
        <v>22</v>
      </c>
      <c r="J314">
        <v>2.9</v>
      </c>
      <c r="K314" s="114">
        <v>109.62</v>
      </c>
      <c r="L314" s="114">
        <v>3670.24</v>
      </c>
    </row>
    <row r="315" spans="1:12" x14ac:dyDescent="0.25">
      <c r="A315" t="s">
        <v>843</v>
      </c>
      <c r="B315" s="158">
        <v>45588.084722222222</v>
      </c>
      <c r="C315" t="s">
        <v>58</v>
      </c>
      <c r="D315" t="s">
        <v>25</v>
      </c>
      <c r="E315" t="s">
        <v>39</v>
      </c>
      <c r="F315" t="s">
        <v>41</v>
      </c>
      <c r="G315" s="114">
        <v>2710.41</v>
      </c>
      <c r="H315" t="s">
        <v>22</v>
      </c>
      <c r="J315">
        <v>3.2</v>
      </c>
      <c r="K315" s="114">
        <v>86.73</v>
      </c>
      <c r="L315" s="114">
        <v>2623.68</v>
      </c>
    </row>
    <row r="316" spans="1:12" x14ac:dyDescent="0.25">
      <c r="A316" t="s">
        <v>844</v>
      </c>
      <c r="B316" s="158">
        <v>45588.43472222222</v>
      </c>
      <c r="C316" t="s">
        <v>24</v>
      </c>
      <c r="D316" t="s">
        <v>25</v>
      </c>
      <c r="E316" t="s">
        <v>39</v>
      </c>
      <c r="F316" t="s">
        <v>29</v>
      </c>
      <c r="G316" s="114">
        <v>3897.09</v>
      </c>
      <c r="H316" t="s">
        <v>22</v>
      </c>
      <c r="J316">
        <v>3.2</v>
      </c>
      <c r="K316" s="114">
        <v>124.71</v>
      </c>
      <c r="L316" s="114">
        <v>3772.38</v>
      </c>
    </row>
    <row r="317" spans="1:12" x14ac:dyDescent="0.25">
      <c r="A317" t="s">
        <v>845</v>
      </c>
      <c r="B317" s="158">
        <v>45588.793055555558</v>
      </c>
      <c r="C317" t="s">
        <v>19</v>
      </c>
      <c r="D317" t="s">
        <v>20</v>
      </c>
      <c r="E317" t="s">
        <v>28</v>
      </c>
      <c r="F317" t="s">
        <v>16</v>
      </c>
      <c r="G317" s="114">
        <v>3290.29</v>
      </c>
      <c r="H317" t="s">
        <v>17</v>
      </c>
      <c r="J317">
        <v>2.9</v>
      </c>
      <c r="K317" s="114">
        <v>0</v>
      </c>
      <c r="L317" s="114">
        <v>0</v>
      </c>
    </row>
    <row r="318" spans="1:12" x14ac:dyDescent="0.25">
      <c r="A318" t="s">
        <v>846</v>
      </c>
      <c r="B318" s="158">
        <v>45588.820138888892</v>
      </c>
      <c r="C318" t="s">
        <v>37</v>
      </c>
      <c r="D318" t="s">
        <v>38</v>
      </c>
      <c r="E318" t="s">
        <v>15</v>
      </c>
      <c r="F318" t="s">
        <v>16</v>
      </c>
      <c r="G318" s="114">
        <v>2216.38</v>
      </c>
      <c r="H318" t="s">
        <v>22</v>
      </c>
      <c r="J318">
        <v>2.5</v>
      </c>
      <c r="K318" s="114">
        <v>55.41</v>
      </c>
      <c r="L318" s="114">
        <v>2160.9699999999998</v>
      </c>
    </row>
    <row r="319" spans="1:12" x14ac:dyDescent="0.25">
      <c r="A319" t="s">
        <v>847</v>
      </c>
      <c r="B319" s="158">
        <v>45589.334722222222</v>
      </c>
      <c r="C319" t="s">
        <v>31</v>
      </c>
      <c r="D319" t="s">
        <v>32</v>
      </c>
      <c r="E319" t="s">
        <v>33</v>
      </c>
      <c r="F319" t="s">
        <v>16</v>
      </c>
      <c r="G319" s="114">
        <v>1734.98</v>
      </c>
      <c r="H319" t="s">
        <v>22</v>
      </c>
      <c r="J319">
        <v>1.9</v>
      </c>
      <c r="K319" s="114">
        <v>32.96</v>
      </c>
      <c r="L319" s="114">
        <v>1702.02</v>
      </c>
    </row>
    <row r="320" spans="1:12" x14ac:dyDescent="0.25">
      <c r="A320" t="s">
        <v>848</v>
      </c>
      <c r="B320" s="158">
        <v>45589.925694444442</v>
      </c>
      <c r="C320" t="s">
        <v>24</v>
      </c>
      <c r="D320" t="s">
        <v>25</v>
      </c>
      <c r="E320" t="s">
        <v>39</v>
      </c>
      <c r="F320" t="s">
        <v>21</v>
      </c>
      <c r="G320" s="114">
        <v>4490.6899999999996</v>
      </c>
      <c r="H320" t="s">
        <v>17</v>
      </c>
      <c r="J320">
        <v>3.2</v>
      </c>
      <c r="K320" s="114">
        <v>0</v>
      </c>
      <c r="L320" s="114">
        <v>0</v>
      </c>
    </row>
    <row r="321" spans="1:12" x14ac:dyDescent="0.25">
      <c r="A321" t="s">
        <v>849</v>
      </c>
      <c r="B321" s="158">
        <v>45590.409722222219</v>
      </c>
      <c r="C321" t="s">
        <v>60</v>
      </c>
      <c r="D321" t="s">
        <v>25</v>
      </c>
      <c r="E321" t="s">
        <v>33</v>
      </c>
      <c r="F321" t="s">
        <v>16</v>
      </c>
      <c r="G321" s="114">
        <v>1335</v>
      </c>
      <c r="H321" t="s">
        <v>17</v>
      </c>
      <c r="J321">
        <v>1.9</v>
      </c>
      <c r="K321" s="114">
        <v>0</v>
      </c>
      <c r="L321" s="114">
        <v>0</v>
      </c>
    </row>
    <row r="322" spans="1:12" x14ac:dyDescent="0.25">
      <c r="A322" t="s">
        <v>850</v>
      </c>
      <c r="B322" s="158">
        <v>45590.460416666669</v>
      </c>
      <c r="C322" t="s">
        <v>60</v>
      </c>
      <c r="D322" t="s">
        <v>25</v>
      </c>
      <c r="E322" t="s">
        <v>39</v>
      </c>
      <c r="F322" t="s">
        <v>16</v>
      </c>
      <c r="G322" s="114">
        <v>2991.62</v>
      </c>
      <c r="H322" t="s">
        <v>34</v>
      </c>
      <c r="I322" t="s">
        <v>62</v>
      </c>
      <c r="J322">
        <v>3.2</v>
      </c>
      <c r="K322" s="114">
        <v>0</v>
      </c>
      <c r="L322" s="114">
        <v>0</v>
      </c>
    </row>
    <row r="323" spans="1:12" x14ac:dyDescent="0.25">
      <c r="A323" t="s">
        <v>851</v>
      </c>
      <c r="B323" s="158">
        <v>45590.98333333333</v>
      </c>
      <c r="C323" t="s">
        <v>60</v>
      </c>
      <c r="D323" t="s">
        <v>25</v>
      </c>
      <c r="E323" t="s">
        <v>39</v>
      </c>
      <c r="F323" t="s">
        <v>21</v>
      </c>
      <c r="G323" s="114">
        <v>3466.92</v>
      </c>
      <c r="H323" t="s">
        <v>22</v>
      </c>
      <c r="J323">
        <v>3.2</v>
      </c>
      <c r="K323" s="114">
        <v>110.94</v>
      </c>
      <c r="L323" s="114">
        <v>3355.98</v>
      </c>
    </row>
    <row r="324" spans="1:12" x14ac:dyDescent="0.25">
      <c r="A324" t="s">
        <v>852</v>
      </c>
      <c r="B324" s="158">
        <v>45591.072222222225</v>
      </c>
      <c r="C324" t="s">
        <v>31</v>
      </c>
      <c r="D324" t="s">
        <v>32</v>
      </c>
      <c r="E324" t="s">
        <v>39</v>
      </c>
      <c r="F324" t="s">
        <v>45</v>
      </c>
      <c r="G324" s="114">
        <v>539.62</v>
      </c>
      <c r="H324" t="s">
        <v>22</v>
      </c>
      <c r="J324">
        <v>3.2</v>
      </c>
      <c r="K324" s="114">
        <v>17.27</v>
      </c>
      <c r="L324" s="114">
        <v>522.35</v>
      </c>
    </row>
    <row r="325" spans="1:12" x14ac:dyDescent="0.25">
      <c r="A325" t="s">
        <v>853</v>
      </c>
      <c r="B325" s="158">
        <v>45591.117361111108</v>
      </c>
      <c r="C325" t="s">
        <v>13</v>
      </c>
      <c r="D325" t="s">
        <v>14</v>
      </c>
      <c r="E325" t="s">
        <v>28</v>
      </c>
      <c r="F325" t="s">
        <v>41</v>
      </c>
      <c r="G325" s="114">
        <v>3705.18</v>
      </c>
      <c r="H325" t="s">
        <v>34</v>
      </c>
      <c r="I325" t="s">
        <v>35</v>
      </c>
      <c r="J325">
        <v>2.9</v>
      </c>
      <c r="K325" s="114">
        <v>0</v>
      </c>
      <c r="L325" s="114">
        <v>0</v>
      </c>
    </row>
    <row r="326" spans="1:12" x14ac:dyDescent="0.25">
      <c r="A326" t="s">
        <v>854</v>
      </c>
      <c r="B326" s="158">
        <v>45591.125</v>
      </c>
      <c r="C326" t="s">
        <v>13</v>
      </c>
      <c r="D326" t="s">
        <v>14</v>
      </c>
      <c r="E326" t="s">
        <v>39</v>
      </c>
      <c r="F326" t="s">
        <v>45</v>
      </c>
      <c r="G326" s="114">
        <v>3240.24</v>
      </c>
      <c r="H326" t="s">
        <v>17</v>
      </c>
      <c r="J326">
        <v>3.2</v>
      </c>
      <c r="K326" s="114">
        <v>0</v>
      </c>
      <c r="L326" s="114">
        <v>0</v>
      </c>
    </row>
    <row r="327" spans="1:12" x14ac:dyDescent="0.25">
      <c r="A327" t="s">
        <v>855</v>
      </c>
      <c r="B327" s="158">
        <v>45591.569444444445</v>
      </c>
      <c r="C327" t="s">
        <v>43</v>
      </c>
      <c r="D327" t="s">
        <v>25</v>
      </c>
      <c r="E327" t="s">
        <v>28</v>
      </c>
      <c r="F327" t="s">
        <v>16</v>
      </c>
      <c r="G327" s="114">
        <v>1746.33</v>
      </c>
      <c r="H327" t="s">
        <v>22</v>
      </c>
      <c r="J327">
        <v>2.9</v>
      </c>
      <c r="K327" s="114">
        <v>50.64</v>
      </c>
      <c r="L327" s="114">
        <v>1695.69</v>
      </c>
    </row>
    <row r="328" spans="1:12" x14ac:dyDescent="0.25">
      <c r="A328" t="s">
        <v>856</v>
      </c>
      <c r="B328" s="158">
        <v>45591.581250000003</v>
      </c>
      <c r="C328" t="s">
        <v>19</v>
      </c>
      <c r="D328" t="s">
        <v>20</v>
      </c>
      <c r="E328" t="s">
        <v>15</v>
      </c>
      <c r="F328" t="s">
        <v>21</v>
      </c>
      <c r="G328" s="114">
        <v>1104.4100000000001</v>
      </c>
      <c r="H328" t="s">
        <v>22</v>
      </c>
      <c r="J328">
        <v>2.5</v>
      </c>
      <c r="K328" s="114">
        <v>27.61</v>
      </c>
      <c r="L328" s="114">
        <v>1076.8</v>
      </c>
    </row>
    <row r="329" spans="1:12" x14ac:dyDescent="0.25">
      <c r="A329" t="s">
        <v>857</v>
      </c>
      <c r="B329" s="158">
        <v>45591.627083333333</v>
      </c>
      <c r="C329" t="s">
        <v>58</v>
      </c>
      <c r="D329" t="s">
        <v>25</v>
      </c>
      <c r="E329" t="s">
        <v>44</v>
      </c>
      <c r="F329" t="s">
        <v>29</v>
      </c>
      <c r="G329" s="114">
        <v>4640.16</v>
      </c>
      <c r="H329" t="s">
        <v>34</v>
      </c>
      <c r="I329" t="s">
        <v>35</v>
      </c>
      <c r="J329">
        <v>2.1</v>
      </c>
      <c r="K329" s="114">
        <v>0</v>
      </c>
      <c r="L329" s="114">
        <v>0</v>
      </c>
    </row>
    <row r="330" spans="1:12" x14ac:dyDescent="0.25">
      <c r="A330" t="s">
        <v>858</v>
      </c>
      <c r="B330" s="158">
        <v>45592.402777777781</v>
      </c>
      <c r="C330" t="s">
        <v>58</v>
      </c>
      <c r="D330" t="s">
        <v>25</v>
      </c>
      <c r="E330" t="s">
        <v>39</v>
      </c>
      <c r="F330" t="s">
        <v>16</v>
      </c>
      <c r="G330" s="114">
        <v>4228.07</v>
      </c>
      <c r="H330" t="s">
        <v>22</v>
      </c>
      <c r="J330">
        <v>3.2</v>
      </c>
      <c r="K330" s="114">
        <v>135.30000000000001</v>
      </c>
      <c r="L330" s="114">
        <v>4092.77</v>
      </c>
    </row>
    <row r="331" spans="1:12" x14ac:dyDescent="0.25">
      <c r="A331" t="s">
        <v>859</v>
      </c>
      <c r="B331" s="158">
        <v>45592.732638888891</v>
      </c>
      <c r="C331" t="s">
        <v>37</v>
      </c>
      <c r="D331" t="s">
        <v>38</v>
      </c>
      <c r="E331" t="s">
        <v>28</v>
      </c>
      <c r="F331" t="s">
        <v>16</v>
      </c>
      <c r="G331" s="114">
        <v>1774.45</v>
      </c>
      <c r="H331" t="s">
        <v>34</v>
      </c>
      <c r="I331" t="s">
        <v>78</v>
      </c>
      <c r="J331">
        <v>2.9</v>
      </c>
      <c r="K331" s="114">
        <v>0</v>
      </c>
      <c r="L331" s="114">
        <v>0</v>
      </c>
    </row>
    <row r="332" spans="1:12" x14ac:dyDescent="0.25">
      <c r="A332" t="s">
        <v>860</v>
      </c>
      <c r="B332" s="158">
        <v>45593.291666666664</v>
      </c>
      <c r="C332" t="s">
        <v>31</v>
      </c>
      <c r="D332" t="s">
        <v>32</v>
      </c>
      <c r="E332" t="s">
        <v>28</v>
      </c>
      <c r="F332" t="s">
        <v>29</v>
      </c>
      <c r="G332" s="114">
        <v>346.33</v>
      </c>
      <c r="H332" t="s">
        <v>22</v>
      </c>
      <c r="J332">
        <v>2.9</v>
      </c>
      <c r="K332" s="114">
        <v>10.039999999999999</v>
      </c>
      <c r="L332" s="114">
        <v>336.29</v>
      </c>
    </row>
    <row r="333" spans="1:12" x14ac:dyDescent="0.25">
      <c r="A333" t="s">
        <v>861</v>
      </c>
      <c r="B333" s="158">
        <v>45593.522916666669</v>
      </c>
      <c r="C333" t="s">
        <v>31</v>
      </c>
      <c r="D333" t="s">
        <v>32</v>
      </c>
      <c r="E333" t="s">
        <v>15</v>
      </c>
      <c r="F333" t="s">
        <v>21</v>
      </c>
      <c r="G333" s="114">
        <v>3731.57</v>
      </c>
      <c r="H333" t="s">
        <v>22</v>
      </c>
      <c r="J333">
        <v>2.5</v>
      </c>
      <c r="K333" s="114">
        <v>93.29</v>
      </c>
      <c r="L333" s="114">
        <v>3638.28</v>
      </c>
    </row>
    <row r="334" spans="1:12" x14ac:dyDescent="0.25">
      <c r="A334" t="s">
        <v>862</v>
      </c>
      <c r="B334" s="158">
        <v>45593.693055555559</v>
      </c>
      <c r="C334" t="s">
        <v>47</v>
      </c>
      <c r="D334" t="s">
        <v>25</v>
      </c>
      <c r="E334" t="s">
        <v>28</v>
      </c>
      <c r="F334" t="s">
        <v>29</v>
      </c>
      <c r="G334" s="114">
        <v>1488.27</v>
      </c>
      <c r="H334" t="s">
        <v>22</v>
      </c>
      <c r="J334">
        <v>2.9</v>
      </c>
      <c r="K334" s="114">
        <v>43.16</v>
      </c>
      <c r="L334" s="114">
        <v>1445.11</v>
      </c>
    </row>
    <row r="335" spans="1:12" x14ac:dyDescent="0.25">
      <c r="A335" t="s">
        <v>863</v>
      </c>
      <c r="B335" s="158">
        <v>45594.543055555558</v>
      </c>
      <c r="C335" t="s">
        <v>60</v>
      </c>
      <c r="D335" t="s">
        <v>25</v>
      </c>
      <c r="E335" t="s">
        <v>28</v>
      </c>
      <c r="F335" t="s">
        <v>29</v>
      </c>
      <c r="G335" s="114">
        <v>1170.98</v>
      </c>
      <c r="H335" t="s">
        <v>17</v>
      </c>
      <c r="J335">
        <v>2.9</v>
      </c>
      <c r="K335" s="114">
        <v>0</v>
      </c>
      <c r="L335" s="114">
        <v>0</v>
      </c>
    </row>
    <row r="336" spans="1:12" x14ac:dyDescent="0.25">
      <c r="A336" t="s">
        <v>864</v>
      </c>
      <c r="B336" s="158">
        <v>45594.661805555559</v>
      </c>
      <c r="C336" t="s">
        <v>43</v>
      </c>
      <c r="D336" t="s">
        <v>25</v>
      </c>
      <c r="E336" t="s">
        <v>39</v>
      </c>
      <c r="F336" t="s">
        <v>41</v>
      </c>
      <c r="G336" s="114">
        <v>3652.79</v>
      </c>
      <c r="H336" t="s">
        <v>22</v>
      </c>
      <c r="J336">
        <v>3.2</v>
      </c>
      <c r="K336" s="114">
        <v>116.89</v>
      </c>
      <c r="L336" s="114">
        <v>3535.9</v>
      </c>
    </row>
    <row r="337" spans="1:12" x14ac:dyDescent="0.25">
      <c r="A337" t="s">
        <v>865</v>
      </c>
      <c r="B337" s="158">
        <v>45594.964583333334</v>
      </c>
      <c r="C337" t="s">
        <v>43</v>
      </c>
      <c r="D337" t="s">
        <v>25</v>
      </c>
      <c r="E337" t="s">
        <v>39</v>
      </c>
      <c r="F337" t="s">
        <v>29</v>
      </c>
      <c r="G337" s="114">
        <v>1313.65</v>
      </c>
      <c r="H337" t="s">
        <v>22</v>
      </c>
      <c r="J337">
        <v>3.2</v>
      </c>
      <c r="K337" s="114">
        <v>42.04</v>
      </c>
      <c r="L337" s="114">
        <v>1271.6099999999999</v>
      </c>
    </row>
    <row r="338" spans="1:12" x14ac:dyDescent="0.25">
      <c r="A338" t="s">
        <v>866</v>
      </c>
      <c r="B338" s="158">
        <v>45595.428472222222</v>
      </c>
      <c r="C338" t="s">
        <v>31</v>
      </c>
      <c r="D338" t="s">
        <v>32</v>
      </c>
      <c r="E338" t="s">
        <v>33</v>
      </c>
      <c r="F338" t="s">
        <v>45</v>
      </c>
      <c r="G338" s="114">
        <v>2381.59</v>
      </c>
      <c r="H338" t="s">
        <v>22</v>
      </c>
      <c r="J338">
        <v>1.9</v>
      </c>
      <c r="K338" s="114">
        <v>45.25</v>
      </c>
      <c r="L338" s="114">
        <v>2336.34</v>
      </c>
    </row>
    <row r="339" spans="1:12" x14ac:dyDescent="0.25">
      <c r="A339" t="s">
        <v>867</v>
      </c>
      <c r="B339" s="158">
        <v>45596.800000000003</v>
      </c>
      <c r="C339" t="s">
        <v>43</v>
      </c>
      <c r="D339" t="s">
        <v>25</v>
      </c>
      <c r="E339" t="s">
        <v>28</v>
      </c>
      <c r="F339" t="s">
        <v>29</v>
      </c>
      <c r="G339" s="114">
        <v>1530.24</v>
      </c>
      <c r="H339" t="s">
        <v>34</v>
      </c>
      <c r="I339" t="s">
        <v>62</v>
      </c>
      <c r="J339">
        <v>2.9</v>
      </c>
      <c r="K339" s="114">
        <v>0</v>
      </c>
      <c r="L339" s="114">
        <v>0</v>
      </c>
    </row>
    <row r="340" spans="1:12" x14ac:dyDescent="0.25">
      <c r="A340" t="s">
        <v>868</v>
      </c>
      <c r="B340" s="158">
        <v>45596.920138888891</v>
      </c>
      <c r="C340" t="s">
        <v>47</v>
      </c>
      <c r="D340" t="s">
        <v>25</v>
      </c>
      <c r="E340" t="s">
        <v>33</v>
      </c>
      <c r="F340" t="s">
        <v>16</v>
      </c>
      <c r="G340" s="114">
        <v>3221.03</v>
      </c>
      <c r="H340" t="s">
        <v>22</v>
      </c>
      <c r="J340">
        <v>1.9</v>
      </c>
      <c r="K340" s="114">
        <v>61.2</v>
      </c>
      <c r="L340" s="114">
        <v>3159.83</v>
      </c>
    </row>
    <row r="341" spans="1:12" x14ac:dyDescent="0.25">
      <c r="A341" t="s">
        <v>869</v>
      </c>
      <c r="B341" s="158">
        <v>45597.239583333336</v>
      </c>
      <c r="C341" t="s">
        <v>43</v>
      </c>
      <c r="D341" t="s">
        <v>25</v>
      </c>
      <c r="E341" t="s">
        <v>33</v>
      </c>
      <c r="F341" t="s">
        <v>41</v>
      </c>
      <c r="G341" s="114">
        <v>3139.69</v>
      </c>
      <c r="H341" t="s">
        <v>22</v>
      </c>
      <c r="J341">
        <v>1.9</v>
      </c>
      <c r="K341" s="114">
        <v>59.65</v>
      </c>
      <c r="L341" s="114">
        <v>3080.04</v>
      </c>
    </row>
    <row r="342" spans="1:12" x14ac:dyDescent="0.25">
      <c r="A342" t="s">
        <v>870</v>
      </c>
      <c r="B342" s="158">
        <v>45597.301388888889</v>
      </c>
      <c r="C342" t="s">
        <v>60</v>
      </c>
      <c r="D342" t="s">
        <v>25</v>
      </c>
      <c r="E342" t="s">
        <v>39</v>
      </c>
      <c r="F342" t="s">
        <v>41</v>
      </c>
      <c r="G342" s="114">
        <v>3443.83</v>
      </c>
      <c r="H342" t="s">
        <v>34</v>
      </c>
      <c r="I342" t="s">
        <v>35</v>
      </c>
      <c r="J342">
        <v>3.2</v>
      </c>
      <c r="K342" s="114">
        <v>0</v>
      </c>
      <c r="L342" s="114">
        <v>0</v>
      </c>
    </row>
    <row r="343" spans="1:12" x14ac:dyDescent="0.25">
      <c r="A343" t="s">
        <v>871</v>
      </c>
      <c r="B343" s="158">
        <v>45598.438194444447</v>
      </c>
      <c r="C343" t="s">
        <v>60</v>
      </c>
      <c r="D343" t="s">
        <v>25</v>
      </c>
      <c r="E343" t="s">
        <v>28</v>
      </c>
      <c r="F343" t="s">
        <v>21</v>
      </c>
      <c r="G343" s="114">
        <v>4394.82</v>
      </c>
      <c r="H343" t="s">
        <v>22</v>
      </c>
      <c r="J343">
        <v>2.9</v>
      </c>
      <c r="K343" s="114">
        <v>127.45</v>
      </c>
      <c r="L343" s="114">
        <v>4267.37</v>
      </c>
    </row>
    <row r="344" spans="1:12" x14ac:dyDescent="0.25">
      <c r="A344" t="s">
        <v>872</v>
      </c>
      <c r="B344" s="158">
        <v>45599.15902777778</v>
      </c>
      <c r="C344" t="s">
        <v>37</v>
      </c>
      <c r="D344" t="s">
        <v>38</v>
      </c>
      <c r="E344" t="s">
        <v>39</v>
      </c>
      <c r="F344" t="s">
        <v>45</v>
      </c>
      <c r="G344" s="114">
        <v>3688.81</v>
      </c>
      <c r="H344" t="s">
        <v>22</v>
      </c>
      <c r="J344">
        <v>3.2</v>
      </c>
      <c r="K344" s="114">
        <v>118.04</v>
      </c>
      <c r="L344" s="114">
        <v>3570.77</v>
      </c>
    </row>
    <row r="345" spans="1:12" x14ac:dyDescent="0.25">
      <c r="A345" t="s">
        <v>873</v>
      </c>
      <c r="B345" s="158">
        <v>45599.529166666667</v>
      </c>
      <c r="C345" t="s">
        <v>37</v>
      </c>
      <c r="D345" t="s">
        <v>38</v>
      </c>
      <c r="E345" t="s">
        <v>44</v>
      </c>
      <c r="F345" t="s">
        <v>41</v>
      </c>
      <c r="G345" s="114">
        <v>3280.45</v>
      </c>
      <c r="H345" t="s">
        <v>22</v>
      </c>
      <c r="J345">
        <v>2.1</v>
      </c>
      <c r="K345" s="114">
        <v>68.89</v>
      </c>
      <c r="L345" s="114">
        <v>3211.56</v>
      </c>
    </row>
    <row r="346" spans="1:12" x14ac:dyDescent="0.25">
      <c r="A346" t="s">
        <v>874</v>
      </c>
      <c r="B346" s="158">
        <v>45600.684027777781</v>
      </c>
      <c r="C346" t="s">
        <v>13</v>
      </c>
      <c r="D346" t="s">
        <v>14</v>
      </c>
      <c r="E346" t="s">
        <v>28</v>
      </c>
      <c r="F346" t="s">
        <v>41</v>
      </c>
      <c r="G346" s="114">
        <v>204.18</v>
      </c>
      <c r="H346" t="s">
        <v>22</v>
      </c>
      <c r="J346">
        <v>2.9</v>
      </c>
      <c r="K346" s="114">
        <v>5.92</v>
      </c>
      <c r="L346" s="114">
        <v>198.26</v>
      </c>
    </row>
    <row r="347" spans="1:12" x14ac:dyDescent="0.25">
      <c r="A347" t="s">
        <v>875</v>
      </c>
      <c r="B347" s="158">
        <v>45600.945833333331</v>
      </c>
      <c r="C347" t="s">
        <v>43</v>
      </c>
      <c r="D347" t="s">
        <v>25</v>
      </c>
      <c r="E347" t="s">
        <v>44</v>
      </c>
      <c r="F347" t="s">
        <v>21</v>
      </c>
      <c r="G347" s="114">
        <v>3617.75</v>
      </c>
      <c r="H347" t="s">
        <v>34</v>
      </c>
      <c r="I347" t="s">
        <v>55</v>
      </c>
      <c r="J347">
        <v>2.1</v>
      </c>
      <c r="K347" s="114">
        <v>0</v>
      </c>
      <c r="L347" s="114">
        <v>0</v>
      </c>
    </row>
    <row r="348" spans="1:12" x14ac:dyDescent="0.25">
      <c r="A348" t="s">
        <v>876</v>
      </c>
      <c r="B348" s="158">
        <v>45601.196527777778</v>
      </c>
      <c r="C348" t="s">
        <v>43</v>
      </c>
      <c r="D348" t="s">
        <v>25</v>
      </c>
      <c r="E348" t="s">
        <v>39</v>
      </c>
      <c r="F348" t="s">
        <v>21</v>
      </c>
      <c r="G348" s="114">
        <v>2225.2600000000002</v>
      </c>
      <c r="H348" t="s">
        <v>22</v>
      </c>
      <c r="J348">
        <v>3.2</v>
      </c>
      <c r="K348" s="114">
        <v>71.209999999999994</v>
      </c>
      <c r="L348" s="114">
        <v>2154.0500000000002</v>
      </c>
    </row>
    <row r="349" spans="1:12" x14ac:dyDescent="0.25">
      <c r="A349" t="s">
        <v>877</v>
      </c>
      <c r="B349" s="158">
        <v>45601.334027777775</v>
      </c>
      <c r="C349" t="s">
        <v>31</v>
      </c>
      <c r="D349" t="s">
        <v>32</v>
      </c>
      <c r="E349" t="s">
        <v>44</v>
      </c>
      <c r="F349" t="s">
        <v>45</v>
      </c>
      <c r="G349" s="114">
        <v>2939.74</v>
      </c>
      <c r="H349" t="s">
        <v>22</v>
      </c>
      <c r="J349">
        <v>2.1</v>
      </c>
      <c r="K349" s="114">
        <v>61.73</v>
      </c>
      <c r="L349" s="114">
        <v>2878.01</v>
      </c>
    </row>
    <row r="350" spans="1:12" x14ac:dyDescent="0.25">
      <c r="A350" t="s">
        <v>878</v>
      </c>
      <c r="B350" s="158">
        <v>45601.850694444445</v>
      </c>
      <c r="C350" t="s">
        <v>47</v>
      </c>
      <c r="D350" t="s">
        <v>25</v>
      </c>
      <c r="E350" t="s">
        <v>15</v>
      </c>
      <c r="F350" t="s">
        <v>21</v>
      </c>
      <c r="G350" s="114">
        <v>3742</v>
      </c>
      <c r="H350" t="s">
        <v>17</v>
      </c>
      <c r="J350">
        <v>2.5</v>
      </c>
      <c r="K350" s="114">
        <v>0</v>
      </c>
      <c r="L350" s="114">
        <v>0</v>
      </c>
    </row>
    <row r="351" spans="1:12" x14ac:dyDescent="0.25">
      <c r="A351" t="s">
        <v>879</v>
      </c>
      <c r="B351" s="158">
        <v>45602.270138888889</v>
      </c>
      <c r="C351" t="s">
        <v>58</v>
      </c>
      <c r="D351" t="s">
        <v>25</v>
      </c>
      <c r="E351" t="s">
        <v>33</v>
      </c>
      <c r="F351" t="s">
        <v>41</v>
      </c>
      <c r="G351" s="114">
        <v>1312.93</v>
      </c>
      <c r="H351" t="s">
        <v>34</v>
      </c>
      <c r="I351" t="s">
        <v>100</v>
      </c>
      <c r="J351">
        <v>1.9</v>
      </c>
      <c r="K351" s="114">
        <v>0</v>
      </c>
      <c r="L351" s="114">
        <v>0</v>
      </c>
    </row>
    <row r="352" spans="1:12" x14ac:dyDescent="0.25">
      <c r="A352" t="s">
        <v>880</v>
      </c>
      <c r="B352" s="158">
        <v>45602.671527777777</v>
      </c>
      <c r="C352" t="s">
        <v>58</v>
      </c>
      <c r="D352" t="s">
        <v>25</v>
      </c>
      <c r="E352" t="s">
        <v>33</v>
      </c>
      <c r="F352" t="s">
        <v>29</v>
      </c>
      <c r="G352" s="114">
        <v>1281.07</v>
      </c>
      <c r="H352" t="s">
        <v>34</v>
      </c>
      <c r="I352" t="s">
        <v>78</v>
      </c>
      <c r="J352">
        <v>1.9</v>
      </c>
      <c r="K352" s="114">
        <v>0</v>
      </c>
      <c r="L352" s="114">
        <v>0</v>
      </c>
    </row>
    <row r="353" spans="1:12" x14ac:dyDescent="0.25">
      <c r="A353" t="s">
        <v>881</v>
      </c>
      <c r="B353" s="158">
        <v>45603.95</v>
      </c>
      <c r="C353" t="s">
        <v>24</v>
      </c>
      <c r="D353" t="s">
        <v>25</v>
      </c>
      <c r="E353" t="s">
        <v>39</v>
      </c>
      <c r="F353" t="s">
        <v>16</v>
      </c>
      <c r="G353" s="114">
        <v>4818.33</v>
      </c>
      <c r="H353" t="s">
        <v>22</v>
      </c>
      <c r="J353">
        <v>3.2</v>
      </c>
      <c r="K353" s="114">
        <v>154.19</v>
      </c>
      <c r="L353" s="114">
        <v>4664.1400000000003</v>
      </c>
    </row>
    <row r="354" spans="1:12" x14ac:dyDescent="0.25">
      <c r="A354" t="s">
        <v>882</v>
      </c>
      <c r="B354" s="158">
        <v>45604.408333333333</v>
      </c>
      <c r="C354" t="s">
        <v>43</v>
      </c>
      <c r="D354" t="s">
        <v>25</v>
      </c>
      <c r="E354" t="s">
        <v>44</v>
      </c>
      <c r="F354" t="s">
        <v>45</v>
      </c>
      <c r="G354" s="114">
        <v>1203.45</v>
      </c>
      <c r="H354" t="s">
        <v>34</v>
      </c>
      <c r="I354" t="s">
        <v>35</v>
      </c>
      <c r="J354">
        <v>2.1</v>
      </c>
      <c r="K354" s="114">
        <v>0</v>
      </c>
      <c r="L354" s="114">
        <v>0</v>
      </c>
    </row>
    <row r="355" spans="1:12" x14ac:dyDescent="0.25">
      <c r="A355" t="s">
        <v>883</v>
      </c>
      <c r="B355" s="158">
        <v>45604.89166666667</v>
      </c>
      <c r="C355" t="s">
        <v>37</v>
      </c>
      <c r="D355" t="s">
        <v>38</v>
      </c>
      <c r="E355" t="s">
        <v>28</v>
      </c>
      <c r="F355" t="s">
        <v>16</v>
      </c>
      <c r="G355" s="114">
        <v>4256.25</v>
      </c>
      <c r="H355" t="s">
        <v>22</v>
      </c>
      <c r="J355">
        <v>2.9</v>
      </c>
      <c r="K355" s="114">
        <v>123.43</v>
      </c>
      <c r="L355" s="114">
        <v>4132.82</v>
      </c>
    </row>
    <row r="356" spans="1:12" x14ac:dyDescent="0.25">
      <c r="A356" t="s">
        <v>884</v>
      </c>
      <c r="B356" s="158">
        <v>45605.086111111108</v>
      </c>
      <c r="C356" t="s">
        <v>47</v>
      </c>
      <c r="D356" t="s">
        <v>25</v>
      </c>
      <c r="E356" t="s">
        <v>15</v>
      </c>
      <c r="F356" t="s">
        <v>16</v>
      </c>
      <c r="G356" s="114">
        <v>2633.22</v>
      </c>
      <c r="H356" t="s">
        <v>34</v>
      </c>
      <c r="I356" t="s">
        <v>100</v>
      </c>
      <c r="J356">
        <v>2.5</v>
      </c>
      <c r="K356" s="114">
        <v>0</v>
      </c>
      <c r="L356" s="114">
        <v>0</v>
      </c>
    </row>
    <row r="357" spans="1:12" x14ac:dyDescent="0.25">
      <c r="A357" t="s">
        <v>885</v>
      </c>
      <c r="B357" s="158">
        <v>45605.224999999999</v>
      </c>
      <c r="C357" t="s">
        <v>13</v>
      </c>
      <c r="D357" t="s">
        <v>14</v>
      </c>
      <c r="E357" t="s">
        <v>15</v>
      </c>
      <c r="F357" t="s">
        <v>41</v>
      </c>
      <c r="G357" s="114">
        <v>3843.62</v>
      </c>
      <c r="H357" t="s">
        <v>22</v>
      </c>
      <c r="J357">
        <v>2.5</v>
      </c>
      <c r="K357" s="114">
        <v>96.09</v>
      </c>
      <c r="L357" s="114">
        <v>3747.53</v>
      </c>
    </row>
    <row r="358" spans="1:12" x14ac:dyDescent="0.25">
      <c r="A358" t="s">
        <v>886</v>
      </c>
      <c r="B358" s="158">
        <v>45605.34097222222</v>
      </c>
      <c r="C358" t="s">
        <v>13</v>
      </c>
      <c r="D358" t="s">
        <v>14</v>
      </c>
      <c r="E358" t="s">
        <v>39</v>
      </c>
      <c r="F358" t="s">
        <v>29</v>
      </c>
      <c r="G358" s="114">
        <v>1354.35</v>
      </c>
      <c r="H358" t="s">
        <v>17</v>
      </c>
      <c r="J358">
        <v>3.2</v>
      </c>
      <c r="K358" s="114">
        <v>0</v>
      </c>
      <c r="L358" s="114">
        <v>0</v>
      </c>
    </row>
    <row r="359" spans="1:12" x14ac:dyDescent="0.25">
      <c r="A359" t="s">
        <v>887</v>
      </c>
      <c r="B359" s="158">
        <v>45605.405555555553</v>
      </c>
      <c r="C359" t="s">
        <v>43</v>
      </c>
      <c r="D359" t="s">
        <v>25</v>
      </c>
      <c r="E359" t="s">
        <v>44</v>
      </c>
      <c r="F359" t="s">
        <v>41</v>
      </c>
      <c r="G359" s="114">
        <v>687.28</v>
      </c>
      <c r="H359" t="s">
        <v>22</v>
      </c>
      <c r="J359">
        <v>2.1</v>
      </c>
      <c r="K359" s="114">
        <v>14.43</v>
      </c>
      <c r="L359" s="114">
        <v>672.85</v>
      </c>
    </row>
    <row r="360" spans="1:12" x14ac:dyDescent="0.25">
      <c r="A360" t="s">
        <v>888</v>
      </c>
      <c r="B360" s="158">
        <v>45606.301388888889</v>
      </c>
      <c r="C360" t="s">
        <v>27</v>
      </c>
      <c r="D360" t="s">
        <v>25</v>
      </c>
      <c r="E360" t="s">
        <v>15</v>
      </c>
      <c r="F360" t="s">
        <v>29</v>
      </c>
      <c r="G360" s="114">
        <v>2280.34</v>
      </c>
      <c r="H360" t="s">
        <v>17</v>
      </c>
      <c r="J360">
        <v>2.5</v>
      </c>
      <c r="K360" s="114">
        <v>0</v>
      </c>
      <c r="L360" s="114">
        <v>0</v>
      </c>
    </row>
    <row r="361" spans="1:12" x14ac:dyDescent="0.25">
      <c r="A361" t="s">
        <v>889</v>
      </c>
      <c r="B361" s="158">
        <v>45606.837500000001</v>
      </c>
      <c r="C361" t="s">
        <v>43</v>
      </c>
      <c r="D361" t="s">
        <v>25</v>
      </c>
      <c r="E361" t="s">
        <v>39</v>
      </c>
      <c r="F361" t="s">
        <v>41</v>
      </c>
      <c r="G361" s="114">
        <v>183.96</v>
      </c>
      <c r="H361" t="s">
        <v>22</v>
      </c>
      <c r="J361">
        <v>3.2</v>
      </c>
      <c r="K361" s="114">
        <v>5.89</v>
      </c>
      <c r="L361" s="114">
        <v>178.07</v>
      </c>
    </row>
    <row r="362" spans="1:12" x14ac:dyDescent="0.25">
      <c r="A362" t="s">
        <v>890</v>
      </c>
      <c r="B362" s="158">
        <v>45607.47152777778</v>
      </c>
      <c r="C362" t="s">
        <v>37</v>
      </c>
      <c r="D362" t="s">
        <v>38</v>
      </c>
      <c r="E362" t="s">
        <v>44</v>
      </c>
      <c r="F362" t="s">
        <v>45</v>
      </c>
      <c r="G362" s="114">
        <v>401.94</v>
      </c>
      <c r="H362" t="s">
        <v>34</v>
      </c>
      <c r="I362" t="s">
        <v>100</v>
      </c>
      <c r="J362">
        <v>2.1</v>
      </c>
      <c r="K362" s="114">
        <v>0</v>
      </c>
      <c r="L362" s="114">
        <v>0</v>
      </c>
    </row>
    <row r="363" spans="1:12" x14ac:dyDescent="0.25">
      <c r="A363" t="s">
        <v>891</v>
      </c>
      <c r="B363" s="158">
        <v>45607.55972222222</v>
      </c>
      <c r="C363" t="s">
        <v>60</v>
      </c>
      <c r="D363" t="s">
        <v>25</v>
      </c>
      <c r="E363" t="s">
        <v>39</v>
      </c>
      <c r="F363" t="s">
        <v>21</v>
      </c>
      <c r="G363" s="114">
        <v>2806.47</v>
      </c>
      <c r="H363" t="s">
        <v>22</v>
      </c>
      <c r="J363">
        <v>3.2</v>
      </c>
      <c r="K363" s="114">
        <v>89.81</v>
      </c>
      <c r="L363" s="114">
        <v>2716.66</v>
      </c>
    </row>
    <row r="364" spans="1:12" x14ac:dyDescent="0.25">
      <c r="A364" t="s">
        <v>892</v>
      </c>
      <c r="B364" s="158">
        <v>45607.742361111108</v>
      </c>
      <c r="C364" t="s">
        <v>43</v>
      </c>
      <c r="D364" t="s">
        <v>25</v>
      </c>
      <c r="E364" t="s">
        <v>15</v>
      </c>
      <c r="F364" t="s">
        <v>16</v>
      </c>
      <c r="G364" s="114">
        <v>4130.42</v>
      </c>
      <c r="H364" t="s">
        <v>17</v>
      </c>
      <c r="J364">
        <v>2.5</v>
      </c>
      <c r="K364" s="114">
        <v>0</v>
      </c>
      <c r="L364" s="114">
        <v>0</v>
      </c>
    </row>
    <row r="365" spans="1:12" x14ac:dyDescent="0.25">
      <c r="A365" t="s">
        <v>893</v>
      </c>
      <c r="B365" s="158">
        <v>45607.763194444444</v>
      </c>
      <c r="C365" t="s">
        <v>58</v>
      </c>
      <c r="D365" t="s">
        <v>25</v>
      </c>
      <c r="E365" t="s">
        <v>33</v>
      </c>
      <c r="F365" t="s">
        <v>41</v>
      </c>
      <c r="G365" s="114">
        <v>1526.34</v>
      </c>
      <c r="H365" t="s">
        <v>22</v>
      </c>
      <c r="J365">
        <v>1.9</v>
      </c>
      <c r="K365" s="114">
        <v>29</v>
      </c>
      <c r="L365" s="114">
        <v>1497.34</v>
      </c>
    </row>
    <row r="366" spans="1:12" x14ac:dyDescent="0.25">
      <c r="A366" t="s">
        <v>894</v>
      </c>
      <c r="B366" s="158">
        <v>45608.821527777778</v>
      </c>
      <c r="C366" t="s">
        <v>58</v>
      </c>
      <c r="D366" t="s">
        <v>25</v>
      </c>
      <c r="E366" t="s">
        <v>28</v>
      </c>
      <c r="F366" t="s">
        <v>16</v>
      </c>
      <c r="G366" s="114">
        <v>4448.9799999999996</v>
      </c>
      <c r="H366" t="s">
        <v>22</v>
      </c>
      <c r="J366">
        <v>2.9</v>
      </c>
      <c r="K366" s="114">
        <v>129.02000000000001</v>
      </c>
      <c r="L366" s="114">
        <v>4319.96</v>
      </c>
    </row>
    <row r="367" spans="1:12" x14ac:dyDescent="0.25">
      <c r="A367" t="s">
        <v>895</v>
      </c>
      <c r="B367" s="158">
        <v>45609.315972222219</v>
      </c>
      <c r="C367" t="s">
        <v>27</v>
      </c>
      <c r="D367" t="s">
        <v>25</v>
      </c>
      <c r="E367" t="s">
        <v>15</v>
      </c>
      <c r="F367" t="s">
        <v>16</v>
      </c>
      <c r="G367" s="114">
        <v>339.64</v>
      </c>
      <c r="H367" t="s">
        <v>22</v>
      </c>
      <c r="J367">
        <v>2.5</v>
      </c>
      <c r="K367" s="114">
        <v>8.49</v>
      </c>
      <c r="L367" s="114">
        <v>331.15</v>
      </c>
    </row>
    <row r="368" spans="1:12" x14ac:dyDescent="0.25">
      <c r="A368" t="s">
        <v>896</v>
      </c>
      <c r="B368" s="158">
        <v>45609.438194444447</v>
      </c>
      <c r="C368" t="s">
        <v>19</v>
      </c>
      <c r="D368" t="s">
        <v>20</v>
      </c>
      <c r="E368" t="s">
        <v>39</v>
      </c>
      <c r="F368" t="s">
        <v>16</v>
      </c>
      <c r="G368" s="114">
        <v>922.53</v>
      </c>
      <c r="H368" t="s">
        <v>17</v>
      </c>
      <c r="J368">
        <v>3.2</v>
      </c>
      <c r="K368" s="114">
        <v>0</v>
      </c>
      <c r="L368" s="114">
        <v>0</v>
      </c>
    </row>
    <row r="369" spans="1:12" x14ac:dyDescent="0.25">
      <c r="A369" t="s">
        <v>897</v>
      </c>
      <c r="B369" s="158">
        <v>45609.535416666666</v>
      </c>
      <c r="C369" t="s">
        <v>37</v>
      </c>
      <c r="D369" t="s">
        <v>38</v>
      </c>
      <c r="E369" t="s">
        <v>15</v>
      </c>
      <c r="F369" t="s">
        <v>21</v>
      </c>
      <c r="G369" s="114">
        <v>2158.77</v>
      </c>
      <c r="H369" t="s">
        <v>17</v>
      </c>
      <c r="J369">
        <v>2.5</v>
      </c>
      <c r="K369" s="114">
        <v>0</v>
      </c>
      <c r="L369" s="114">
        <v>0</v>
      </c>
    </row>
    <row r="370" spans="1:12" x14ac:dyDescent="0.25">
      <c r="A370" t="s">
        <v>898</v>
      </c>
      <c r="B370" s="158">
        <v>45609.620138888888</v>
      </c>
      <c r="C370" t="s">
        <v>24</v>
      </c>
      <c r="D370" t="s">
        <v>25</v>
      </c>
      <c r="E370" t="s">
        <v>39</v>
      </c>
      <c r="F370" t="s">
        <v>45</v>
      </c>
      <c r="G370" s="114">
        <v>2737.61</v>
      </c>
      <c r="H370" t="s">
        <v>17</v>
      </c>
      <c r="J370">
        <v>3.2</v>
      </c>
      <c r="K370" s="114">
        <v>0</v>
      </c>
      <c r="L370" s="114">
        <v>0</v>
      </c>
    </row>
    <row r="371" spans="1:12" x14ac:dyDescent="0.25">
      <c r="A371" t="s">
        <v>899</v>
      </c>
      <c r="B371" s="158">
        <v>45610.652777777781</v>
      </c>
      <c r="C371" t="s">
        <v>43</v>
      </c>
      <c r="D371" t="s">
        <v>25</v>
      </c>
      <c r="E371" t="s">
        <v>28</v>
      </c>
      <c r="F371" t="s">
        <v>29</v>
      </c>
      <c r="G371" s="114">
        <v>1342.61</v>
      </c>
      <c r="H371" t="s">
        <v>22</v>
      </c>
      <c r="J371">
        <v>2.9</v>
      </c>
      <c r="K371" s="114">
        <v>38.94</v>
      </c>
      <c r="L371" s="114">
        <v>1303.67</v>
      </c>
    </row>
    <row r="372" spans="1:12" x14ac:dyDescent="0.25">
      <c r="A372" t="s">
        <v>900</v>
      </c>
      <c r="B372" s="158">
        <v>45610.79583333333</v>
      </c>
      <c r="C372" t="s">
        <v>31</v>
      </c>
      <c r="D372" t="s">
        <v>32</v>
      </c>
      <c r="E372" t="s">
        <v>33</v>
      </c>
      <c r="F372" t="s">
        <v>16</v>
      </c>
      <c r="G372" s="114">
        <v>3965.73</v>
      </c>
      <c r="H372" t="s">
        <v>22</v>
      </c>
      <c r="J372">
        <v>1.9</v>
      </c>
      <c r="K372" s="114">
        <v>75.349999999999994</v>
      </c>
      <c r="L372" s="114">
        <v>3890.38</v>
      </c>
    </row>
    <row r="373" spans="1:12" x14ac:dyDescent="0.25">
      <c r="A373" t="s">
        <v>901</v>
      </c>
      <c r="B373" s="158">
        <v>45610.822222222225</v>
      </c>
      <c r="C373" t="s">
        <v>27</v>
      </c>
      <c r="D373" t="s">
        <v>25</v>
      </c>
      <c r="E373" t="s">
        <v>15</v>
      </c>
      <c r="F373" t="s">
        <v>41</v>
      </c>
      <c r="G373" s="114">
        <v>2562.81</v>
      </c>
      <c r="H373" t="s">
        <v>17</v>
      </c>
      <c r="J373">
        <v>2.5</v>
      </c>
      <c r="K373" s="114">
        <v>0</v>
      </c>
      <c r="L373" s="114">
        <v>0</v>
      </c>
    </row>
    <row r="374" spans="1:12" x14ac:dyDescent="0.25">
      <c r="A374" t="s">
        <v>902</v>
      </c>
      <c r="B374" s="158">
        <v>45611.347916666666</v>
      </c>
      <c r="C374" t="s">
        <v>27</v>
      </c>
      <c r="D374" t="s">
        <v>25</v>
      </c>
      <c r="E374" t="s">
        <v>44</v>
      </c>
      <c r="F374" t="s">
        <v>29</v>
      </c>
      <c r="G374" s="114">
        <v>400.32</v>
      </c>
      <c r="H374" t="s">
        <v>17</v>
      </c>
      <c r="J374">
        <v>2.1</v>
      </c>
      <c r="K374" s="114">
        <v>0</v>
      </c>
      <c r="L374" s="114">
        <v>0</v>
      </c>
    </row>
    <row r="375" spans="1:12" x14ac:dyDescent="0.25">
      <c r="A375" t="s">
        <v>903</v>
      </c>
      <c r="B375" s="158">
        <v>45611.934027777781</v>
      </c>
      <c r="C375" t="s">
        <v>31</v>
      </c>
      <c r="D375" t="s">
        <v>32</v>
      </c>
      <c r="E375" t="s">
        <v>39</v>
      </c>
      <c r="F375" t="s">
        <v>45</v>
      </c>
      <c r="G375" s="114">
        <v>1906.25</v>
      </c>
      <c r="H375" t="s">
        <v>22</v>
      </c>
      <c r="J375">
        <v>3.2</v>
      </c>
      <c r="K375" s="114">
        <v>61</v>
      </c>
      <c r="L375" s="114">
        <v>1845.25</v>
      </c>
    </row>
    <row r="376" spans="1:12" x14ac:dyDescent="0.25">
      <c r="A376" t="s">
        <v>904</v>
      </c>
      <c r="B376" s="158">
        <v>45612.092361111114</v>
      </c>
      <c r="C376" t="s">
        <v>24</v>
      </c>
      <c r="D376" t="s">
        <v>25</v>
      </c>
      <c r="E376" t="s">
        <v>15</v>
      </c>
      <c r="F376" t="s">
        <v>41</v>
      </c>
      <c r="G376" s="114">
        <v>1035.8399999999999</v>
      </c>
      <c r="H376" t="s">
        <v>34</v>
      </c>
      <c r="I376" t="s">
        <v>78</v>
      </c>
      <c r="J376">
        <v>2.5</v>
      </c>
      <c r="K376" s="114">
        <v>0</v>
      </c>
      <c r="L376" s="114">
        <v>0</v>
      </c>
    </row>
    <row r="377" spans="1:12" x14ac:dyDescent="0.25">
      <c r="A377" t="s">
        <v>905</v>
      </c>
      <c r="B377" s="158">
        <v>45612.213194444441</v>
      </c>
      <c r="C377" t="s">
        <v>27</v>
      </c>
      <c r="D377" t="s">
        <v>25</v>
      </c>
      <c r="E377" t="s">
        <v>44</v>
      </c>
      <c r="F377" t="s">
        <v>41</v>
      </c>
      <c r="G377" s="114">
        <v>3116.58</v>
      </c>
      <c r="H377" t="s">
        <v>22</v>
      </c>
      <c r="J377">
        <v>2.1</v>
      </c>
      <c r="K377" s="114">
        <v>65.45</v>
      </c>
      <c r="L377" s="114">
        <v>3051.13</v>
      </c>
    </row>
    <row r="378" spans="1:12" x14ac:dyDescent="0.25">
      <c r="A378" t="s">
        <v>906</v>
      </c>
      <c r="B378" s="158">
        <v>45612.433333333334</v>
      </c>
      <c r="C378" t="s">
        <v>31</v>
      </c>
      <c r="D378" t="s">
        <v>32</v>
      </c>
      <c r="E378" t="s">
        <v>15</v>
      </c>
      <c r="F378" t="s">
        <v>21</v>
      </c>
      <c r="G378" s="114">
        <v>4959.8100000000004</v>
      </c>
      <c r="H378" t="s">
        <v>34</v>
      </c>
      <c r="I378" t="s">
        <v>62</v>
      </c>
      <c r="J378">
        <v>2.5</v>
      </c>
      <c r="K378" s="114">
        <v>0</v>
      </c>
      <c r="L378" s="114">
        <v>0</v>
      </c>
    </row>
    <row r="379" spans="1:12" x14ac:dyDescent="0.25">
      <c r="A379" t="s">
        <v>907</v>
      </c>
      <c r="B379" s="158">
        <v>45612.828472222223</v>
      </c>
      <c r="C379" t="s">
        <v>47</v>
      </c>
      <c r="D379" t="s">
        <v>25</v>
      </c>
      <c r="E379" t="s">
        <v>15</v>
      </c>
      <c r="F379" t="s">
        <v>45</v>
      </c>
      <c r="G379" s="114">
        <v>2755.3</v>
      </c>
      <c r="H379" t="s">
        <v>22</v>
      </c>
      <c r="J379">
        <v>2.5</v>
      </c>
      <c r="K379" s="114">
        <v>68.88</v>
      </c>
      <c r="L379" s="114">
        <v>2686.42</v>
      </c>
    </row>
    <row r="380" spans="1:12" x14ac:dyDescent="0.25">
      <c r="A380" t="s">
        <v>908</v>
      </c>
      <c r="B380" s="158">
        <v>45612.893750000003</v>
      </c>
      <c r="C380" t="s">
        <v>13</v>
      </c>
      <c r="D380" t="s">
        <v>14</v>
      </c>
      <c r="E380" t="s">
        <v>15</v>
      </c>
      <c r="F380" t="s">
        <v>41</v>
      </c>
      <c r="G380" s="114">
        <v>4861.7299999999996</v>
      </c>
      <c r="H380" t="s">
        <v>34</v>
      </c>
      <c r="I380" t="s">
        <v>100</v>
      </c>
      <c r="J380">
        <v>2.5</v>
      </c>
      <c r="K380" s="114">
        <v>0</v>
      </c>
      <c r="L380" s="114">
        <v>0</v>
      </c>
    </row>
    <row r="381" spans="1:12" x14ac:dyDescent="0.25">
      <c r="A381" t="s">
        <v>909</v>
      </c>
      <c r="B381" s="158">
        <v>45613.681944444441</v>
      </c>
      <c r="C381" t="s">
        <v>31</v>
      </c>
      <c r="D381" t="s">
        <v>32</v>
      </c>
      <c r="E381" t="s">
        <v>28</v>
      </c>
      <c r="F381" t="s">
        <v>41</v>
      </c>
      <c r="G381" s="114">
        <v>2249.1999999999998</v>
      </c>
      <c r="H381" t="s">
        <v>17</v>
      </c>
      <c r="J381">
        <v>2.9</v>
      </c>
      <c r="K381" s="114">
        <v>0</v>
      </c>
      <c r="L381" s="114">
        <v>0</v>
      </c>
    </row>
    <row r="382" spans="1:12" x14ac:dyDescent="0.25">
      <c r="A382" t="s">
        <v>910</v>
      </c>
      <c r="B382" s="158">
        <v>45613.834722222222</v>
      </c>
      <c r="C382" t="s">
        <v>47</v>
      </c>
      <c r="D382" t="s">
        <v>25</v>
      </c>
      <c r="E382" t="s">
        <v>15</v>
      </c>
      <c r="F382" t="s">
        <v>41</v>
      </c>
      <c r="G382" s="114">
        <v>2902.07</v>
      </c>
      <c r="H382" t="s">
        <v>22</v>
      </c>
      <c r="J382">
        <v>2.5</v>
      </c>
      <c r="K382" s="114">
        <v>72.55</v>
      </c>
      <c r="L382" s="114">
        <v>2829.52</v>
      </c>
    </row>
    <row r="383" spans="1:12" x14ac:dyDescent="0.25">
      <c r="A383" t="s">
        <v>911</v>
      </c>
      <c r="B383" s="158">
        <v>45614.618055555555</v>
      </c>
      <c r="C383" t="s">
        <v>27</v>
      </c>
      <c r="D383" t="s">
        <v>25</v>
      </c>
      <c r="E383" t="s">
        <v>28</v>
      </c>
      <c r="F383" t="s">
        <v>16</v>
      </c>
      <c r="G383" s="114">
        <v>1008.38</v>
      </c>
      <c r="H383" t="s">
        <v>22</v>
      </c>
      <c r="J383">
        <v>2.9</v>
      </c>
      <c r="K383" s="114">
        <v>29.24</v>
      </c>
      <c r="L383" s="114">
        <v>979.14</v>
      </c>
    </row>
    <row r="384" spans="1:12" x14ac:dyDescent="0.25">
      <c r="A384" t="s">
        <v>912</v>
      </c>
      <c r="B384" s="158">
        <v>45615.409722222219</v>
      </c>
      <c r="C384" t="s">
        <v>47</v>
      </c>
      <c r="D384" t="s">
        <v>25</v>
      </c>
      <c r="E384" t="s">
        <v>33</v>
      </c>
      <c r="F384" t="s">
        <v>41</v>
      </c>
      <c r="G384" s="114">
        <v>1766.19</v>
      </c>
      <c r="H384" t="s">
        <v>22</v>
      </c>
      <c r="J384">
        <v>1.9</v>
      </c>
      <c r="K384" s="114">
        <v>33.56</v>
      </c>
      <c r="L384" s="114">
        <v>1732.63</v>
      </c>
    </row>
    <row r="385" spans="1:12" x14ac:dyDescent="0.25">
      <c r="A385" t="s">
        <v>913</v>
      </c>
      <c r="B385" s="158">
        <v>45615.455555555556</v>
      </c>
      <c r="C385" t="s">
        <v>58</v>
      </c>
      <c r="D385" t="s">
        <v>25</v>
      </c>
      <c r="E385" t="s">
        <v>28</v>
      </c>
      <c r="F385" t="s">
        <v>21</v>
      </c>
      <c r="G385" s="114">
        <v>4333.5600000000004</v>
      </c>
      <c r="H385" t="s">
        <v>34</v>
      </c>
      <c r="I385" t="s">
        <v>55</v>
      </c>
      <c r="J385">
        <v>2.9</v>
      </c>
      <c r="K385" s="114">
        <v>0</v>
      </c>
      <c r="L385" s="114">
        <v>0</v>
      </c>
    </row>
    <row r="386" spans="1:12" x14ac:dyDescent="0.25">
      <c r="A386" t="s">
        <v>914</v>
      </c>
      <c r="B386" s="158">
        <v>45616.321527777778</v>
      </c>
      <c r="C386" t="s">
        <v>24</v>
      </c>
      <c r="D386" t="s">
        <v>25</v>
      </c>
      <c r="E386" t="s">
        <v>39</v>
      </c>
      <c r="F386" t="s">
        <v>16</v>
      </c>
      <c r="G386" s="114">
        <v>4777.67</v>
      </c>
      <c r="H386" t="s">
        <v>17</v>
      </c>
      <c r="J386">
        <v>3.2</v>
      </c>
      <c r="K386" s="114">
        <v>0</v>
      </c>
      <c r="L386" s="114">
        <v>0</v>
      </c>
    </row>
    <row r="387" spans="1:12" x14ac:dyDescent="0.25">
      <c r="A387" t="s">
        <v>915</v>
      </c>
      <c r="B387" s="158">
        <v>45617.561111111114</v>
      </c>
      <c r="C387" t="s">
        <v>43</v>
      </c>
      <c r="D387" t="s">
        <v>25</v>
      </c>
      <c r="E387" t="s">
        <v>15</v>
      </c>
      <c r="F387" t="s">
        <v>29</v>
      </c>
      <c r="G387" s="114">
        <v>730.29</v>
      </c>
      <c r="H387" t="s">
        <v>22</v>
      </c>
      <c r="J387">
        <v>2.5</v>
      </c>
      <c r="K387" s="114">
        <v>18.260000000000002</v>
      </c>
      <c r="L387" s="114">
        <v>712.03</v>
      </c>
    </row>
    <row r="388" spans="1:12" x14ac:dyDescent="0.25">
      <c r="A388" t="s">
        <v>916</v>
      </c>
      <c r="B388" s="158">
        <v>45618.378472222219</v>
      </c>
      <c r="C388" t="s">
        <v>43</v>
      </c>
      <c r="D388" t="s">
        <v>25</v>
      </c>
      <c r="E388" t="s">
        <v>28</v>
      </c>
      <c r="F388" t="s">
        <v>21</v>
      </c>
      <c r="G388" s="114">
        <v>3926.53</v>
      </c>
      <c r="H388" t="s">
        <v>34</v>
      </c>
      <c r="I388" t="s">
        <v>55</v>
      </c>
      <c r="J388">
        <v>2.9</v>
      </c>
      <c r="K388" s="114">
        <v>0</v>
      </c>
      <c r="L388" s="114">
        <v>0</v>
      </c>
    </row>
    <row r="389" spans="1:12" x14ac:dyDescent="0.25">
      <c r="A389" t="s">
        <v>917</v>
      </c>
      <c r="B389" s="158">
        <v>45618.743750000001</v>
      </c>
      <c r="C389" t="s">
        <v>19</v>
      </c>
      <c r="D389" t="s">
        <v>20</v>
      </c>
      <c r="E389" t="s">
        <v>15</v>
      </c>
      <c r="F389" t="s">
        <v>45</v>
      </c>
      <c r="G389" s="114">
        <v>3635.81</v>
      </c>
      <c r="H389" t="s">
        <v>22</v>
      </c>
      <c r="J389">
        <v>2.5</v>
      </c>
      <c r="K389" s="114">
        <v>90.9</v>
      </c>
      <c r="L389" s="114">
        <v>3544.91</v>
      </c>
    </row>
    <row r="390" spans="1:12" x14ac:dyDescent="0.25">
      <c r="A390" t="s">
        <v>918</v>
      </c>
      <c r="B390" s="158">
        <v>45619.021527777775</v>
      </c>
      <c r="C390" t="s">
        <v>13</v>
      </c>
      <c r="D390" t="s">
        <v>14</v>
      </c>
      <c r="E390" t="s">
        <v>39</v>
      </c>
      <c r="F390" t="s">
        <v>21</v>
      </c>
      <c r="G390" s="114">
        <v>2419.89</v>
      </c>
      <c r="H390" t="s">
        <v>34</v>
      </c>
      <c r="I390" t="s">
        <v>62</v>
      </c>
      <c r="J390">
        <v>3.2</v>
      </c>
      <c r="K390" s="114">
        <v>0</v>
      </c>
      <c r="L390" s="114">
        <v>0</v>
      </c>
    </row>
    <row r="391" spans="1:12" x14ac:dyDescent="0.25">
      <c r="A391" t="s">
        <v>919</v>
      </c>
      <c r="B391" s="158">
        <v>45619.125694444447</v>
      </c>
      <c r="C391" t="s">
        <v>47</v>
      </c>
      <c r="D391" t="s">
        <v>25</v>
      </c>
      <c r="E391" t="s">
        <v>44</v>
      </c>
      <c r="F391" t="s">
        <v>29</v>
      </c>
      <c r="G391" s="114">
        <v>706.29</v>
      </c>
      <c r="H391" t="s">
        <v>22</v>
      </c>
      <c r="J391">
        <v>2.1</v>
      </c>
      <c r="K391" s="114">
        <v>14.83</v>
      </c>
      <c r="L391" s="114">
        <v>691.46</v>
      </c>
    </row>
    <row r="392" spans="1:12" x14ac:dyDescent="0.25">
      <c r="A392" t="s">
        <v>920</v>
      </c>
      <c r="B392" s="158">
        <v>45619.280555555553</v>
      </c>
      <c r="C392" t="s">
        <v>47</v>
      </c>
      <c r="D392" t="s">
        <v>25</v>
      </c>
      <c r="E392" t="s">
        <v>39</v>
      </c>
      <c r="F392" t="s">
        <v>41</v>
      </c>
      <c r="G392" s="114">
        <v>1545.79</v>
      </c>
      <c r="H392" t="s">
        <v>17</v>
      </c>
      <c r="J392">
        <v>3.2</v>
      </c>
      <c r="K392" s="114">
        <v>0</v>
      </c>
      <c r="L392" s="114">
        <v>0</v>
      </c>
    </row>
    <row r="393" spans="1:12" x14ac:dyDescent="0.25">
      <c r="A393" t="s">
        <v>921</v>
      </c>
      <c r="B393" s="158">
        <v>45619.367361111108</v>
      </c>
      <c r="C393" t="s">
        <v>13</v>
      </c>
      <c r="D393" t="s">
        <v>14</v>
      </c>
      <c r="E393" t="s">
        <v>33</v>
      </c>
      <c r="F393" t="s">
        <v>41</v>
      </c>
      <c r="G393" s="114">
        <v>2973.68</v>
      </c>
      <c r="H393" t="s">
        <v>22</v>
      </c>
      <c r="J393">
        <v>1.9</v>
      </c>
      <c r="K393" s="114">
        <v>56.5</v>
      </c>
      <c r="L393" s="114">
        <v>2917.18</v>
      </c>
    </row>
    <row r="394" spans="1:12" x14ac:dyDescent="0.25">
      <c r="A394" t="s">
        <v>922</v>
      </c>
      <c r="B394" s="158">
        <v>45619.443055555559</v>
      </c>
      <c r="C394" t="s">
        <v>58</v>
      </c>
      <c r="D394" t="s">
        <v>25</v>
      </c>
      <c r="E394" t="s">
        <v>33</v>
      </c>
      <c r="F394" t="s">
        <v>16</v>
      </c>
      <c r="G394" s="114">
        <v>2939.15</v>
      </c>
      <c r="H394" t="s">
        <v>22</v>
      </c>
      <c r="J394">
        <v>1.9</v>
      </c>
      <c r="K394" s="114">
        <v>55.84</v>
      </c>
      <c r="L394" s="114">
        <v>2883.31</v>
      </c>
    </row>
    <row r="395" spans="1:12" x14ac:dyDescent="0.25">
      <c r="A395" t="s">
        <v>923</v>
      </c>
      <c r="B395" s="158">
        <v>45619.693055555559</v>
      </c>
      <c r="C395" t="s">
        <v>24</v>
      </c>
      <c r="D395" t="s">
        <v>25</v>
      </c>
      <c r="E395" t="s">
        <v>44</v>
      </c>
      <c r="F395" t="s">
        <v>21</v>
      </c>
      <c r="G395" s="114">
        <v>3814.93</v>
      </c>
      <c r="H395" t="s">
        <v>17</v>
      </c>
      <c r="J395">
        <v>2.1</v>
      </c>
      <c r="K395" s="114">
        <v>0</v>
      </c>
      <c r="L395" s="114">
        <v>0</v>
      </c>
    </row>
    <row r="396" spans="1:12" x14ac:dyDescent="0.25">
      <c r="A396" t="s">
        <v>924</v>
      </c>
      <c r="B396" s="158">
        <v>45620.421527777777</v>
      </c>
      <c r="C396" t="s">
        <v>31</v>
      </c>
      <c r="D396" t="s">
        <v>32</v>
      </c>
      <c r="E396" t="s">
        <v>33</v>
      </c>
      <c r="F396" t="s">
        <v>41</v>
      </c>
      <c r="G396" s="114">
        <v>228.45</v>
      </c>
      <c r="H396" t="s">
        <v>22</v>
      </c>
      <c r="J396">
        <v>1.9</v>
      </c>
      <c r="K396" s="114">
        <v>4.34</v>
      </c>
      <c r="L396" s="114">
        <v>224.11</v>
      </c>
    </row>
    <row r="397" spans="1:12" x14ac:dyDescent="0.25">
      <c r="A397" t="s">
        <v>925</v>
      </c>
      <c r="B397" s="158">
        <v>45620.684027777781</v>
      </c>
      <c r="C397" t="s">
        <v>13</v>
      </c>
      <c r="D397" t="s">
        <v>14</v>
      </c>
      <c r="E397" t="s">
        <v>39</v>
      </c>
      <c r="F397" t="s">
        <v>41</v>
      </c>
      <c r="G397" s="114">
        <v>585.55999999999995</v>
      </c>
      <c r="H397" t="s">
        <v>22</v>
      </c>
      <c r="J397">
        <v>3.2</v>
      </c>
      <c r="K397" s="114">
        <v>18.739999999999998</v>
      </c>
      <c r="L397" s="114">
        <v>566.82000000000005</v>
      </c>
    </row>
    <row r="398" spans="1:12" x14ac:dyDescent="0.25">
      <c r="A398" t="s">
        <v>926</v>
      </c>
      <c r="B398" s="158">
        <v>45621.245138888888</v>
      </c>
      <c r="C398" t="s">
        <v>43</v>
      </c>
      <c r="D398" t="s">
        <v>25</v>
      </c>
      <c r="E398" t="s">
        <v>15</v>
      </c>
      <c r="F398" t="s">
        <v>29</v>
      </c>
      <c r="G398" s="114">
        <v>4059.37</v>
      </c>
      <c r="H398" t="s">
        <v>22</v>
      </c>
      <c r="J398">
        <v>2.5</v>
      </c>
      <c r="K398" s="114">
        <v>101.48</v>
      </c>
      <c r="L398" s="114">
        <v>3957.89</v>
      </c>
    </row>
    <row r="399" spans="1:12" x14ac:dyDescent="0.25">
      <c r="A399" t="s">
        <v>927</v>
      </c>
      <c r="B399" s="158">
        <v>45621.86041666667</v>
      </c>
      <c r="C399" t="s">
        <v>37</v>
      </c>
      <c r="D399" t="s">
        <v>38</v>
      </c>
      <c r="E399" t="s">
        <v>39</v>
      </c>
      <c r="F399" t="s">
        <v>29</v>
      </c>
      <c r="G399" s="114">
        <v>2204.42</v>
      </c>
      <c r="H399" t="s">
        <v>34</v>
      </c>
      <c r="I399" t="s">
        <v>55</v>
      </c>
      <c r="J399">
        <v>3.2</v>
      </c>
      <c r="K399" s="114">
        <v>0</v>
      </c>
      <c r="L399" s="114">
        <v>0</v>
      </c>
    </row>
    <row r="400" spans="1:12" x14ac:dyDescent="0.25">
      <c r="A400" t="s">
        <v>928</v>
      </c>
      <c r="B400" s="158">
        <v>45622.177083333336</v>
      </c>
      <c r="C400" t="s">
        <v>31</v>
      </c>
      <c r="D400" t="s">
        <v>32</v>
      </c>
      <c r="E400" t="s">
        <v>44</v>
      </c>
      <c r="F400" t="s">
        <v>21</v>
      </c>
      <c r="G400" s="114">
        <v>994.39</v>
      </c>
      <c r="H400" t="s">
        <v>17</v>
      </c>
      <c r="J400">
        <v>2.1</v>
      </c>
      <c r="K400" s="114">
        <v>0</v>
      </c>
      <c r="L400" s="114">
        <v>0</v>
      </c>
    </row>
    <row r="401" spans="1:12" x14ac:dyDescent="0.25">
      <c r="A401" t="s">
        <v>929</v>
      </c>
      <c r="B401" s="158">
        <v>45622.938194444447</v>
      </c>
      <c r="C401" t="s">
        <v>43</v>
      </c>
      <c r="D401" t="s">
        <v>25</v>
      </c>
      <c r="E401" t="s">
        <v>28</v>
      </c>
      <c r="F401" t="s">
        <v>41</v>
      </c>
      <c r="G401" s="114">
        <v>1478.24</v>
      </c>
      <c r="H401" t="s">
        <v>34</v>
      </c>
      <c r="I401" t="s">
        <v>35</v>
      </c>
      <c r="J401">
        <v>2.9</v>
      </c>
      <c r="K401" s="114">
        <v>0</v>
      </c>
      <c r="L401" s="114">
        <v>0</v>
      </c>
    </row>
    <row r="402" spans="1:12" x14ac:dyDescent="0.25">
      <c r="A402" t="s">
        <v>930</v>
      </c>
      <c r="B402" s="158">
        <v>45623.111111111109</v>
      </c>
      <c r="C402" t="s">
        <v>43</v>
      </c>
      <c r="D402" t="s">
        <v>25</v>
      </c>
      <c r="E402" t="s">
        <v>39</v>
      </c>
      <c r="F402" t="s">
        <v>16</v>
      </c>
      <c r="G402" s="114">
        <v>592.21</v>
      </c>
      <c r="H402" t="s">
        <v>22</v>
      </c>
      <c r="J402">
        <v>3.2</v>
      </c>
      <c r="K402" s="114">
        <v>18.95</v>
      </c>
      <c r="L402" s="114">
        <v>573.26</v>
      </c>
    </row>
    <row r="403" spans="1:12" x14ac:dyDescent="0.25">
      <c r="A403" t="s">
        <v>931</v>
      </c>
      <c r="B403" s="158">
        <v>45623.321527777778</v>
      </c>
      <c r="C403" t="s">
        <v>24</v>
      </c>
      <c r="D403" t="s">
        <v>25</v>
      </c>
      <c r="E403" t="s">
        <v>39</v>
      </c>
      <c r="F403" t="s">
        <v>16</v>
      </c>
      <c r="G403" s="114">
        <v>2571.27</v>
      </c>
      <c r="H403" t="s">
        <v>22</v>
      </c>
      <c r="J403">
        <v>3.2</v>
      </c>
      <c r="K403" s="114">
        <v>82.28</v>
      </c>
      <c r="L403" s="114">
        <v>2488.9899999999998</v>
      </c>
    </row>
    <row r="404" spans="1:12" x14ac:dyDescent="0.25">
      <c r="A404" t="s">
        <v>932</v>
      </c>
      <c r="B404" s="158">
        <v>45623.724999999999</v>
      </c>
      <c r="C404" t="s">
        <v>24</v>
      </c>
      <c r="D404" t="s">
        <v>25</v>
      </c>
      <c r="E404" t="s">
        <v>33</v>
      </c>
      <c r="F404" t="s">
        <v>21</v>
      </c>
      <c r="G404" s="114">
        <v>3467.75</v>
      </c>
      <c r="H404" t="s">
        <v>22</v>
      </c>
      <c r="J404">
        <v>1.9</v>
      </c>
      <c r="K404" s="114">
        <v>65.89</v>
      </c>
      <c r="L404" s="114">
        <v>3401.86</v>
      </c>
    </row>
    <row r="405" spans="1:12" x14ac:dyDescent="0.25">
      <c r="A405" t="s">
        <v>933</v>
      </c>
      <c r="B405" s="158">
        <v>45623.839583333334</v>
      </c>
      <c r="C405" t="s">
        <v>31</v>
      </c>
      <c r="D405" t="s">
        <v>32</v>
      </c>
      <c r="E405" t="s">
        <v>39</v>
      </c>
      <c r="F405" t="s">
        <v>16</v>
      </c>
      <c r="G405" s="114">
        <v>4007.49</v>
      </c>
      <c r="H405" t="s">
        <v>22</v>
      </c>
      <c r="J405">
        <v>3.2</v>
      </c>
      <c r="K405" s="114">
        <v>128.24</v>
      </c>
      <c r="L405" s="114">
        <v>3879.25</v>
      </c>
    </row>
    <row r="406" spans="1:12" x14ac:dyDescent="0.25">
      <c r="A406" t="s">
        <v>934</v>
      </c>
      <c r="B406" s="158">
        <v>45623.90625</v>
      </c>
      <c r="C406" t="s">
        <v>27</v>
      </c>
      <c r="D406" t="s">
        <v>25</v>
      </c>
      <c r="E406" t="s">
        <v>15</v>
      </c>
      <c r="F406" t="s">
        <v>45</v>
      </c>
      <c r="G406" s="114">
        <v>3151.5</v>
      </c>
      <c r="H406" t="s">
        <v>17</v>
      </c>
      <c r="J406">
        <v>2.5</v>
      </c>
      <c r="K406" s="114">
        <v>0</v>
      </c>
      <c r="L406" s="114">
        <v>0</v>
      </c>
    </row>
    <row r="407" spans="1:12" x14ac:dyDescent="0.25">
      <c r="A407" t="s">
        <v>935</v>
      </c>
      <c r="B407" s="158">
        <v>45624.42083333333</v>
      </c>
      <c r="C407" t="s">
        <v>13</v>
      </c>
      <c r="D407" t="s">
        <v>14</v>
      </c>
      <c r="E407" t="s">
        <v>39</v>
      </c>
      <c r="F407" t="s">
        <v>21</v>
      </c>
      <c r="G407" s="114">
        <v>2897.37</v>
      </c>
      <c r="H407" t="s">
        <v>17</v>
      </c>
      <c r="J407">
        <v>3.2</v>
      </c>
      <c r="K407" s="114">
        <v>0</v>
      </c>
      <c r="L407" s="114">
        <v>0</v>
      </c>
    </row>
    <row r="408" spans="1:12" x14ac:dyDescent="0.25">
      <c r="A408" t="s">
        <v>936</v>
      </c>
      <c r="B408" s="158">
        <v>45624.424305555556</v>
      </c>
      <c r="C408" t="s">
        <v>13</v>
      </c>
      <c r="D408" t="s">
        <v>14</v>
      </c>
      <c r="E408" t="s">
        <v>33</v>
      </c>
      <c r="F408" t="s">
        <v>21</v>
      </c>
      <c r="G408" s="114">
        <v>1123.95</v>
      </c>
      <c r="H408" t="s">
        <v>17</v>
      </c>
      <c r="J408">
        <v>1.9</v>
      </c>
      <c r="K408" s="114">
        <v>0</v>
      </c>
      <c r="L408" s="114">
        <v>0</v>
      </c>
    </row>
    <row r="409" spans="1:12" x14ac:dyDescent="0.25">
      <c r="A409" t="s">
        <v>937</v>
      </c>
      <c r="B409" s="158">
        <v>45625.263888888891</v>
      </c>
      <c r="C409" t="s">
        <v>13</v>
      </c>
      <c r="D409" t="s">
        <v>14</v>
      </c>
      <c r="E409" t="s">
        <v>28</v>
      </c>
      <c r="F409" t="s">
        <v>41</v>
      </c>
      <c r="G409" s="114">
        <v>845.3</v>
      </c>
      <c r="H409" t="s">
        <v>17</v>
      </c>
      <c r="J409">
        <v>2.9</v>
      </c>
      <c r="K409" s="114">
        <v>0</v>
      </c>
      <c r="L409" s="114">
        <v>0</v>
      </c>
    </row>
    <row r="410" spans="1:12" x14ac:dyDescent="0.25">
      <c r="A410" t="s">
        <v>938</v>
      </c>
      <c r="B410" s="158">
        <v>45625.759722222225</v>
      </c>
      <c r="C410" t="s">
        <v>13</v>
      </c>
      <c r="D410" t="s">
        <v>14</v>
      </c>
      <c r="E410" t="s">
        <v>28</v>
      </c>
      <c r="F410" t="s">
        <v>29</v>
      </c>
      <c r="G410" s="114">
        <v>2095.25</v>
      </c>
      <c r="H410" t="s">
        <v>22</v>
      </c>
      <c r="J410">
        <v>2.9</v>
      </c>
      <c r="K410" s="114">
        <v>60.76</v>
      </c>
      <c r="L410" s="114">
        <v>2034.49</v>
      </c>
    </row>
    <row r="411" spans="1:12" x14ac:dyDescent="0.25">
      <c r="A411" t="s">
        <v>939</v>
      </c>
      <c r="B411" s="158">
        <v>45625.761111111111</v>
      </c>
      <c r="C411" t="s">
        <v>47</v>
      </c>
      <c r="D411" t="s">
        <v>25</v>
      </c>
      <c r="E411" t="s">
        <v>33</v>
      </c>
      <c r="F411" t="s">
        <v>16</v>
      </c>
      <c r="G411" s="114">
        <v>2827.7</v>
      </c>
      <c r="H411" t="s">
        <v>17</v>
      </c>
      <c r="J411">
        <v>1.9</v>
      </c>
      <c r="K411" s="114">
        <v>0</v>
      </c>
      <c r="L411" s="114">
        <v>0</v>
      </c>
    </row>
    <row r="412" spans="1:12" x14ac:dyDescent="0.25">
      <c r="A412" t="s">
        <v>940</v>
      </c>
      <c r="B412" s="158">
        <v>45625.884722222225</v>
      </c>
      <c r="C412" t="s">
        <v>27</v>
      </c>
      <c r="D412" t="s">
        <v>25</v>
      </c>
      <c r="E412" t="s">
        <v>15</v>
      </c>
      <c r="F412" t="s">
        <v>41</v>
      </c>
      <c r="G412" s="114">
        <v>3997.98</v>
      </c>
      <c r="H412" t="s">
        <v>22</v>
      </c>
      <c r="J412">
        <v>2.5</v>
      </c>
      <c r="K412" s="114">
        <v>99.95</v>
      </c>
      <c r="L412" s="114">
        <v>3898.03</v>
      </c>
    </row>
    <row r="413" spans="1:12" x14ac:dyDescent="0.25">
      <c r="A413" t="s">
        <v>941</v>
      </c>
      <c r="B413" s="158">
        <v>45626.002083333333</v>
      </c>
      <c r="C413" t="s">
        <v>31</v>
      </c>
      <c r="D413" t="s">
        <v>32</v>
      </c>
      <c r="E413" t="s">
        <v>15</v>
      </c>
      <c r="F413" t="s">
        <v>16</v>
      </c>
      <c r="G413" s="114">
        <v>1907.47</v>
      </c>
      <c r="H413" t="s">
        <v>17</v>
      </c>
      <c r="J413">
        <v>2.5</v>
      </c>
      <c r="K413" s="114">
        <v>0</v>
      </c>
      <c r="L413" s="114">
        <v>0</v>
      </c>
    </row>
    <row r="414" spans="1:12" x14ac:dyDescent="0.25">
      <c r="A414" t="s">
        <v>942</v>
      </c>
      <c r="B414" s="158">
        <v>45626.459722222222</v>
      </c>
      <c r="C414" t="s">
        <v>27</v>
      </c>
      <c r="D414" t="s">
        <v>25</v>
      </c>
      <c r="E414" t="s">
        <v>28</v>
      </c>
      <c r="F414" t="s">
        <v>45</v>
      </c>
      <c r="G414" s="114">
        <v>4191.6899999999996</v>
      </c>
      <c r="H414" t="s">
        <v>22</v>
      </c>
      <c r="J414">
        <v>2.9</v>
      </c>
      <c r="K414" s="114">
        <v>121.56</v>
      </c>
      <c r="L414" s="114">
        <v>4070.13</v>
      </c>
    </row>
    <row r="415" spans="1:12" x14ac:dyDescent="0.25">
      <c r="A415" t="s">
        <v>943</v>
      </c>
      <c r="B415" s="158">
        <v>45626.463194444441</v>
      </c>
      <c r="C415" t="s">
        <v>27</v>
      </c>
      <c r="D415" t="s">
        <v>25</v>
      </c>
      <c r="E415" t="s">
        <v>33</v>
      </c>
      <c r="F415" t="s">
        <v>16</v>
      </c>
      <c r="G415" s="114">
        <v>2648.92</v>
      </c>
      <c r="H415" t="s">
        <v>22</v>
      </c>
      <c r="J415">
        <v>1.9</v>
      </c>
      <c r="K415" s="114">
        <v>50.33</v>
      </c>
      <c r="L415" s="114">
        <v>2598.59</v>
      </c>
    </row>
    <row r="416" spans="1:12" x14ac:dyDescent="0.25">
      <c r="A416" t="s">
        <v>944</v>
      </c>
      <c r="B416" s="158">
        <v>45626.645833333336</v>
      </c>
      <c r="C416" t="s">
        <v>24</v>
      </c>
      <c r="D416" t="s">
        <v>25</v>
      </c>
      <c r="E416" t="s">
        <v>39</v>
      </c>
      <c r="F416" t="s">
        <v>21</v>
      </c>
      <c r="G416" s="114">
        <v>1434.22</v>
      </c>
      <c r="H416" t="s">
        <v>22</v>
      </c>
      <c r="J416">
        <v>3.2</v>
      </c>
      <c r="K416" s="114">
        <v>45.9</v>
      </c>
      <c r="L416" s="114">
        <v>1388.32</v>
      </c>
    </row>
    <row r="417" spans="1:12" x14ac:dyDescent="0.25">
      <c r="A417" t="s">
        <v>945</v>
      </c>
      <c r="B417" s="158">
        <v>45627.09097222222</v>
      </c>
      <c r="C417" t="s">
        <v>43</v>
      </c>
      <c r="D417" t="s">
        <v>25</v>
      </c>
      <c r="E417" t="s">
        <v>15</v>
      </c>
      <c r="F417" t="s">
        <v>45</v>
      </c>
      <c r="G417" s="114">
        <v>3801.79</v>
      </c>
      <c r="H417" t="s">
        <v>34</v>
      </c>
      <c r="I417" t="s">
        <v>100</v>
      </c>
      <c r="J417">
        <v>2.5</v>
      </c>
      <c r="K417" s="114">
        <v>0</v>
      </c>
      <c r="L417" s="114">
        <v>0</v>
      </c>
    </row>
    <row r="418" spans="1:12" x14ac:dyDescent="0.25">
      <c r="A418" t="s">
        <v>946</v>
      </c>
      <c r="B418" s="158">
        <v>45627.093055555553</v>
      </c>
      <c r="C418" t="s">
        <v>37</v>
      </c>
      <c r="D418" t="s">
        <v>38</v>
      </c>
      <c r="E418" t="s">
        <v>44</v>
      </c>
      <c r="F418" t="s">
        <v>21</v>
      </c>
      <c r="G418" s="114">
        <v>2108.16</v>
      </c>
      <c r="H418" t="s">
        <v>22</v>
      </c>
      <c r="J418">
        <v>2.1</v>
      </c>
      <c r="K418" s="114">
        <v>44.27</v>
      </c>
      <c r="L418" s="114">
        <v>2063.89</v>
      </c>
    </row>
    <row r="419" spans="1:12" x14ac:dyDescent="0.25">
      <c r="A419" t="s">
        <v>947</v>
      </c>
      <c r="B419" s="158">
        <v>45627.161805555559</v>
      </c>
      <c r="C419" t="s">
        <v>43</v>
      </c>
      <c r="D419" t="s">
        <v>25</v>
      </c>
      <c r="E419" t="s">
        <v>33</v>
      </c>
      <c r="F419" t="s">
        <v>16</v>
      </c>
      <c r="G419" s="114">
        <v>4695.87</v>
      </c>
      <c r="H419" t="s">
        <v>22</v>
      </c>
      <c r="J419">
        <v>1.9</v>
      </c>
      <c r="K419" s="114">
        <v>89.22</v>
      </c>
      <c r="L419" s="114">
        <v>4606.6499999999996</v>
      </c>
    </row>
    <row r="420" spans="1:12" x14ac:dyDescent="0.25">
      <c r="A420" t="s">
        <v>948</v>
      </c>
      <c r="B420" s="158">
        <v>45627.469444444447</v>
      </c>
      <c r="C420" t="s">
        <v>31</v>
      </c>
      <c r="D420" t="s">
        <v>32</v>
      </c>
      <c r="E420" t="s">
        <v>39</v>
      </c>
      <c r="F420" t="s">
        <v>29</v>
      </c>
      <c r="G420" s="114">
        <v>268.42</v>
      </c>
      <c r="H420" t="s">
        <v>22</v>
      </c>
      <c r="J420">
        <v>3.2</v>
      </c>
      <c r="K420" s="114">
        <v>8.59</v>
      </c>
      <c r="L420" s="114">
        <v>259.83</v>
      </c>
    </row>
    <row r="421" spans="1:12" x14ac:dyDescent="0.25">
      <c r="A421" t="s">
        <v>949</v>
      </c>
      <c r="B421" s="158">
        <v>45627.645138888889</v>
      </c>
      <c r="C421" t="s">
        <v>58</v>
      </c>
      <c r="D421" t="s">
        <v>25</v>
      </c>
      <c r="E421" t="s">
        <v>33</v>
      </c>
      <c r="F421" t="s">
        <v>16</v>
      </c>
      <c r="G421" s="114">
        <v>1520.97</v>
      </c>
      <c r="H421" t="s">
        <v>17</v>
      </c>
      <c r="J421">
        <v>1.9</v>
      </c>
      <c r="K421" s="114">
        <v>0</v>
      </c>
      <c r="L421" s="114">
        <v>0</v>
      </c>
    </row>
    <row r="422" spans="1:12" x14ac:dyDescent="0.25">
      <c r="A422" t="s">
        <v>950</v>
      </c>
      <c r="B422" s="158">
        <v>45627.65</v>
      </c>
      <c r="C422" t="s">
        <v>19</v>
      </c>
      <c r="D422" t="s">
        <v>20</v>
      </c>
      <c r="E422" t="s">
        <v>15</v>
      </c>
      <c r="F422" t="s">
        <v>41</v>
      </c>
      <c r="G422" s="114">
        <v>869.28</v>
      </c>
      <c r="H422" t="s">
        <v>34</v>
      </c>
      <c r="I422" t="s">
        <v>35</v>
      </c>
      <c r="J422">
        <v>2.5</v>
      </c>
      <c r="K422" s="114">
        <v>0</v>
      </c>
      <c r="L422" s="114">
        <v>0</v>
      </c>
    </row>
    <row r="423" spans="1:12" x14ac:dyDescent="0.25">
      <c r="A423" t="s">
        <v>951</v>
      </c>
      <c r="B423" s="158">
        <v>45627.767361111109</v>
      </c>
      <c r="C423" t="s">
        <v>43</v>
      </c>
      <c r="D423" t="s">
        <v>25</v>
      </c>
      <c r="E423" t="s">
        <v>44</v>
      </c>
      <c r="F423" t="s">
        <v>45</v>
      </c>
      <c r="G423" s="114">
        <v>3854.78</v>
      </c>
      <c r="H423" t="s">
        <v>17</v>
      </c>
      <c r="J423">
        <v>2.1</v>
      </c>
      <c r="K423" s="114">
        <v>0</v>
      </c>
      <c r="L423" s="114">
        <v>0</v>
      </c>
    </row>
    <row r="424" spans="1:12" x14ac:dyDescent="0.25">
      <c r="A424" t="s">
        <v>952</v>
      </c>
      <c r="B424" s="158">
        <v>45627.916666666664</v>
      </c>
      <c r="C424" t="s">
        <v>31</v>
      </c>
      <c r="D424" t="s">
        <v>32</v>
      </c>
      <c r="E424" t="s">
        <v>15</v>
      </c>
      <c r="F424" t="s">
        <v>29</v>
      </c>
      <c r="G424" s="114">
        <v>887.67</v>
      </c>
      <c r="H424" t="s">
        <v>17</v>
      </c>
      <c r="J424">
        <v>2.5</v>
      </c>
      <c r="K424" s="114">
        <v>0</v>
      </c>
      <c r="L424" s="114">
        <v>0</v>
      </c>
    </row>
    <row r="425" spans="1:12" x14ac:dyDescent="0.25">
      <c r="A425" t="s">
        <v>953</v>
      </c>
      <c r="B425" s="158">
        <v>45628.489583333336</v>
      </c>
      <c r="C425" t="s">
        <v>43</v>
      </c>
      <c r="D425" t="s">
        <v>25</v>
      </c>
      <c r="E425" t="s">
        <v>28</v>
      </c>
      <c r="F425" t="s">
        <v>41</v>
      </c>
      <c r="G425" s="114">
        <v>3799.01</v>
      </c>
      <c r="H425" t="s">
        <v>22</v>
      </c>
      <c r="J425">
        <v>2.9</v>
      </c>
      <c r="K425" s="114">
        <v>110.17</v>
      </c>
      <c r="L425" s="114">
        <v>3688.84</v>
      </c>
    </row>
    <row r="426" spans="1:12" x14ac:dyDescent="0.25">
      <c r="A426" t="s">
        <v>954</v>
      </c>
      <c r="B426" s="158">
        <v>45629.157638888886</v>
      </c>
      <c r="C426" t="s">
        <v>24</v>
      </c>
      <c r="D426" t="s">
        <v>25</v>
      </c>
      <c r="E426" t="s">
        <v>15</v>
      </c>
      <c r="F426" t="s">
        <v>29</v>
      </c>
      <c r="G426" s="114">
        <v>510.39</v>
      </c>
      <c r="H426" t="s">
        <v>17</v>
      </c>
      <c r="J426">
        <v>2.5</v>
      </c>
      <c r="K426" s="114">
        <v>0</v>
      </c>
      <c r="L426" s="114">
        <v>0</v>
      </c>
    </row>
    <row r="427" spans="1:12" x14ac:dyDescent="0.25">
      <c r="A427" t="s">
        <v>955</v>
      </c>
      <c r="B427" s="158">
        <v>45629.511805555558</v>
      </c>
      <c r="C427" t="s">
        <v>60</v>
      </c>
      <c r="D427" t="s">
        <v>25</v>
      </c>
      <c r="E427" t="s">
        <v>33</v>
      </c>
      <c r="F427" t="s">
        <v>41</v>
      </c>
      <c r="G427" s="114">
        <v>4553.9799999999996</v>
      </c>
      <c r="H427" t="s">
        <v>34</v>
      </c>
      <c r="I427" t="s">
        <v>62</v>
      </c>
      <c r="J427">
        <v>1.9</v>
      </c>
      <c r="K427" s="114">
        <v>0</v>
      </c>
      <c r="L427" s="114">
        <v>0</v>
      </c>
    </row>
    <row r="428" spans="1:12" x14ac:dyDescent="0.25">
      <c r="A428" t="s">
        <v>956</v>
      </c>
      <c r="B428" s="158">
        <v>45629.625694444447</v>
      </c>
      <c r="C428" t="s">
        <v>60</v>
      </c>
      <c r="D428" t="s">
        <v>25</v>
      </c>
      <c r="E428" t="s">
        <v>33</v>
      </c>
      <c r="F428" t="s">
        <v>45</v>
      </c>
      <c r="G428" s="114">
        <v>2062.58</v>
      </c>
      <c r="H428" t="s">
        <v>22</v>
      </c>
      <c r="J428">
        <v>1.9</v>
      </c>
      <c r="K428" s="114">
        <v>39.19</v>
      </c>
      <c r="L428" s="114">
        <v>2023.39</v>
      </c>
    </row>
    <row r="429" spans="1:12" x14ac:dyDescent="0.25">
      <c r="A429" t="s">
        <v>957</v>
      </c>
      <c r="B429" s="158">
        <v>45629.679861111108</v>
      </c>
      <c r="C429" t="s">
        <v>43</v>
      </c>
      <c r="D429" t="s">
        <v>25</v>
      </c>
      <c r="E429" t="s">
        <v>28</v>
      </c>
      <c r="F429" t="s">
        <v>41</v>
      </c>
      <c r="G429" s="114">
        <v>4992.95</v>
      </c>
      <c r="H429" t="s">
        <v>34</v>
      </c>
      <c r="I429" t="s">
        <v>55</v>
      </c>
      <c r="J429">
        <v>2.9</v>
      </c>
      <c r="K429" s="114">
        <v>0</v>
      </c>
      <c r="L429" s="114">
        <v>0</v>
      </c>
    </row>
    <row r="430" spans="1:12" x14ac:dyDescent="0.25">
      <c r="A430" t="s">
        <v>958</v>
      </c>
      <c r="B430" s="158">
        <v>45630.005555555559</v>
      </c>
      <c r="C430" t="s">
        <v>60</v>
      </c>
      <c r="D430" t="s">
        <v>25</v>
      </c>
      <c r="E430" t="s">
        <v>39</v>
      </c>
      <c r="F430" t="s">
        <v>29</v>
      </c>
      <c r="G430" s="114">
        <v>2948.38</v>
      </c>
      <c r="H430" t="s">
        <v>22</v>
      </c>
      <c r="J430">
        <v>3.2</v>
      </c>
      <c r="K430" s="114">
        <v>94.35</v>
      </c>
      <c r="L430" s="114">
        <v>2854.03</v>
      </c>
    </row>
    <row r="431" spans="1:12" x14ac:dyDescent="0.25">
      <c r="A431" t="s">
        <v>959</v>
      </c>
      <c r="B431" s="158">
        <v>45630.263194444444</v>
      </c>
      <c r="C431" t="s">
        <v>58</v>
      </c>
      <c r="D431" t="s">
        <v>25</v>
      </c>
      <c r="E431" t="s">
        <v>28</v>
      </c>
      <c r="F431" t="s">
        <v>21</v>
      </c>
      <c r="G431" s="114">
        <v>2437.65</v>
      </c>
      <c r="H431" t="s">
        <v>34</v>
      </c>
      <c r="I431" t="s">
        <v>35</v>
      </c>
      <c r="J431">
        <v>2.9</v>
      </c>
      <c r="K431" s="114">
        <v>0</v>
      </c>
      <c r="L431" s="114">
        <v>0</v>
      </c>
    </row>
    <row r="432" spans="1:12" x14ac:dyDescent="0.25">
      <c r="A432" t="s">
        <v>960</v>
      </c>
      <c r="B432" s="158">
        <v>45630.336805555555</v>
      </c>
      <c r="C432" t="s">
        <v>13</v>
      </c>
      <c r="D432" t="s">
        <v>14</v>
      </c>
      <c r="E432" t="s">
        <v>15</v>
      </c>
      <c r="F432" t="s">
        <v>29</v>
      </c>
      <c r="G432" s="114">
        <v>1861.39</v>
      </c>
      <c r="H432" t="s">
        <v>34</v>
      </c>
      <c r="I432" t="s">
        <v>62</v>
      </c>
      <c r="J432">
        <v>2.5</v>
      </c>
      <c r="K432" s="114">
        <v>0</v>
      </c>
      <c r="L432" s="114">
        <v>0</v>
      </c>
    </row>
    <row r="433" spans="1:12" x14ac:dyDescent="0.25">
      <c r="A433" t="s">
        <v>961</v>
      </c>
      <c r="B433" s="158">
        <v>45630.388194444444</v>
      </c>
      <c r="C433" t="s">
        <v>43</v>
      </c>
      <c r="D433" t="s">
        <v>25</v>
      </c>
      <c r="E433" t="s">
        <v>33</v>
      </c>
      <c r="F433" t="s">
        <v>16</v>
      </c>
      <c r="G433" s="114">
        <v>841.56</v>
      </c>
      <c r="H433" t="s">
        <v>34</v>
      </c>
      <c r="I433" t="s">
        <v>62</v>
      </c>
      <c r="J433">
        <v>1.9</v>
      </c>
      <c r="K433" s="114">
        <v>0</v>
      </c>
      <c r="L433" s="114">
        <v>0</v>
      </c>
    </row>
    <row r="434" spans="1:12" x14ac:dyDescent="0.25">
      <c r="A434" t="s">
        <v>962</v>
      </c>
      <c r="B434" s="158">
        <v>45630.455555555556</v>
      </c>
      <c r="C434" t="s">
        <v>19</v>
      </c>
      <c r="D434" t="s">
        <v>20</v>
      </c>
      <c r="E434" t="s">
        <v>44</v>
      </c>
      <c r="F434" t="s">
        <v>45</v>
      </c>
      <c r="G434" s="114">
        <v>1889.83</v>
      </c>
      <c r="H434" t="s">
        <v>22</v>
      </c>
      <c r="J434">
        <v>2.1</v>
      </c>
      <c r="K434" s="114">
        <v>39.69</v>
      </c>
      <c r="L434" s="114">
        <v>1850.14</v>
      </c>
    </row>
    <row r="435" spans="1:12" x14ac:dyDescent="0.25">
      <c r="A435" t="s">
        <v>963</v>
      </c>
      <c r="B435" s="158">
        <v>45630.461111111108</v>
      </c>
      <c r="C435" t="s">
        <v>13</v>
      </c>
      <c r="D435" t="s">
        <v>14</v>
      </c>
      <c r="E435" t="s">
        <v>39</v>
      </c>
      <c r="F435" t="s">
        <v>41</v>
      </c>
      <c r="G435" s="114">
        <v>4249.38</v>
      </c>
      <c r="H435" t="s">
        <v>34</v>
      </c>
      <c r="I435" t="s">
        <v>78</v>
      </c>
      <c r="J435">
        <v>3.2</v>
      </c>
      <c r="K435" s="114">
        <v>0</v>
      </c>
      <c r="L435" s="114">
        <v>0</v>
      </c>
    </row>
    <row r="436" spans="1:12" x14ac:dyDescent="0.25">
      <c r="A436" t="s">
        <v>964</v>
      </c>
      <c r="B436" s="158">
        <v>45630.646527777775</v>
      </c>
      <c r="C436" t="s">
        <v>13</v>
      </c>
      <c r="D436" t="s">
        <v>14</v>
      </c>
      <c r="E436" t="s">
        <v>39</v>
      </c>
      <c r="F436" t="s">
        <v>45</v>
      </c>
      <c r="G436" s="114">
        <v>1724.64</v>
      </c>
      <c r="H436" t="s">
        <v>17</v>
      </c>
      <c r="J436">
        <v>3.2</v>
      </c>
      <c r="K436" s="114">
        <v>0</v>
      </c>
      <c r="L436" s="114">
        <v>0</v>
      </c>
    </row>
    <row r="437" spans="1:12" x14ac:dyDescent="0.25">
      <c r="A437" t="s">
        <v>965</v>
      </c>
      <c r="B437" s="158">
        <v>45631.072222222225</v>
      </c>
      <c r="C437" t="s">
        <v>24</v>
      </c>
      <c r="D437" t="s">
        <v>25</v>
      </c>
      <c r="E437" t="s">
        <v>39</v>
      </c>
      <c r="F437" t="s">
        <v>45</v>
      </c>
      <c r="G437" s="114">
        <v>1929.6</v>
      </c>
      <c r="H437" t="s">
        <v>22</v>
      </c>
      <c r="J437">
        <v>3.2</v>
      </c>
      <c r="K437" s="114">
        <v>61.75</v>
      </c>
      <c r="L437" s="114">
        <v>1867.85</v>
      </c>
    </row>
    <row r="438" spans="1:12" x14ac:dyDescent="0.25">
      <c r="A438" t="s">
        <v>966</v>
      </c>
      <c r="B438" s="158">
        <v>45631.156944444447</v>
      </c>
      <c r="C438" t="s">
        <v>47</v>
      </c>
      <c r="D438" t="s">
        <v>25</v>
      </c>
      <c r="E438" t="s">
        <v>33</v>
      </c>
      <c r="F438" t="s">
        <v>21</v>
      </c>
      <c r="G438" s="114">
        <v>3337.8</v>
      </c>
      <c r="H438" t="s">
        <v>22</v>
      </c>
      <c r="J438">
        <v>1.9</v>
      </c>
      <c r="K438" s="114">
        <v>63.42</v>
      </c>
      <c r="L438" s="114">
        <v>3274.38</v>
      </c>
    </row>
    <row r="439" spans="1:12" x14ac:dyDescent="0.25">
      <c r="A439" t="s">
        <v>967</v>
      </c>
      <c r="B439" s="158">
        <v>45631.163888888892</v>
      </c>
      <c r="C439" t="s">
        <v>27</v>
      </c>
      <c r="D439" t="s">
        <v>25</v>
      </c>
      <c r="E439" t="s">
        <v>39</v>
      </c>
      <c r="F439" t="s">
        <v>41</v>
      </c>
      <c r="G439" s="114">
        <v>4449.67</v>
      </c>
      <c r="H439" t="s">
        <v>17</v>
      </c>
      <c r="J439">
        <v>3.2</v>
      </c>
      <c r="K439" s="114">
        <v>0</v>
      </c>
      <c r="L439" s="114">
        <v>0</v>
      </c>
    </row>
    <row r="440" spans="1:12" x14ac:dyDescent="0.25">
      <c r="A440" t="s">
        <v>968</v>
      </c>
      <c r="B440" s="158">
        <v>45632.431944444441</v>
      </c>
      <c r="C440" t="s">
        <v>27</v>
      </c>
      <c r="D440" t="s">
        <v>25</v>
      </c>
      <c r="E440" t="s">
        <v>39</v>
      </c>
      <c r="F440" t="s">
        <v>16</v>
      </c>
      <c r="G440" s="114">
        <v>2703.93</v>
      </c>
      <c r="H440" t="s">
        <v>22</v>
      </c>
      <c r="J440">
        <v>3.2</v>
      </c>
      <c r="K440" s="114">
        <v>86.53</v>
      </c>
      <c r="L440" s="114">
        <v>2617.4</v>
      </c>
    </row>
    <row r="441" spans="1:12" x14ac:dyDescent="0.25">
      <c r="A441" t="s">
        <v>969</v>
      </c>
      <c r="B441" s="158">
        <v>45632.878472222219</v>
      </c>
      <c r="C441" t="s">
        <v>13</v>
      </c>
      <c r="D441" t="s">
        <v>14</v>
      </c>
      <c r="E441" t="s">
        <v>39</v>
      </c>
      <c r="F441" t="s">
        <v>41</v>
      </c>
      <c r="G441" s="114">
        <v>4767.4799999999996</v>
      </c>
      <c r="H441" t="s">
        <v>17</v>
      </c>
      <c r="J441">
        <v>3.2</v>
      </c>
      <c r="K441" s="114">
        <v>0</v>
      </c>
      <c r="L441" s="114">
        <v>0</v>
      </c>
    </row>
    <row r="442" spans="1:12" x14ac:dyDescent="0.25">
      <c r="A442" t="s">
        <v>970</v>
      </c>
      <c r="B442" s="158">
        <v>45633.630555555559</v>
      </c>
      <c r="C442" t="s">
        <v>27</v>
      </c>
      <c r="D442" t="s">
        <v>25</v>
      </c>
      <c r="E442" t="s">
        <v>44</v>
      </c>
      <c r="F442" t="s">
        <v>29</v>
      </c>
      <c r="G442" s="114">
        <v>3032.69</v>
      </c>
      <c r="H442" t="s">
        <v>22</v>
      </c>
      <c r="J442">
        <v>2.1</v>
      </c>
      <c r="K442" s="114">
        <v>63.69</v>
      </c>
      <c r="L442" s="114">
        <v>2969</v>
      </c>
    </row>
    <row r="443" spans="1:12" x14ac:dyDescent="0.25">
      <c r="A443" t="s">
        <v>971</v>
      </c>
      <c r="B443" s="158">
        <v>45634.272916666669</v>
      </c>
      <c r="C443" t="s">
        <v>37</v>
      </c>
      <c r="D443" t="s">
        <v>38</v>
      </c>
      <c r="E443" t="s">
        <v>15</v>
      </c>
      <c r="F443" t="s">
        <v>16</v>
      </c>
      <c r="G443" s="114">
        <v>4590.33</v>
      </c>
      <c r="H443" t="s">
        <v>22</v>
      </c>
      <c r="J443">
        <v>2.5</v>
      </c>
      <c r="K443" s="114">
        <v>114.76</v>
      </c>
      <c r="L443" s="114">
        <v>4475.57</v>
      </c>
    </row>
    <row r="444" spans="1:12" x14ac:dyDescent="0.25">
      <c r="A444" t="s">
        <v>972</v>
      </c>
      <c r="B444" s="158">
        <v>45634.439583333333</v>
      </c>
      <c r="C444" t="s">
        <v>13</v>
      </c>
      <c r="D444" t="s">
        <v>14</v>
      </c>
      <c r="E444" t="s">
        <v>33</v>
      </c>
      <c r="F444" t="s">
        <v>41</v>
      </c>
      <c r="G444" s="114">
        <v>2169.91</v>
      </c>
      <c r="H444" t="s">
        <v>22</v>
      </c>
      <c r="J444">
        <v>1.9</v>
      </c>
      <c r="K444" s="114">
        <v>41.23</v>
      </c>
      <c r="L444" s="114">
        <v>2128.6799999999998</v>
      </c>
    </row>
    <row r="445" spans="1:12" x14ac:dyDescent="0.25">
      <c r="A445" t="s">
        <v>973</v>
      </c>
      <c r="B445" s="158">
        <v>45635.162499999999</v>
      </c>
      <c r="C445" t="s">
        <v>27</v>
      </c>
      <c r="D445" t="s">
        <v>25</v>
      </c>
      <c r="E445" t="s">
        <v>39</v>
      </c>
      <c r="F445" t="s">
        <v>16</v>
      </c>
      <c r="G445" s="114">
        <v>3471.43</v>
      </c>
      <c r="H445" t="s">
        <v>22</v>
      </c>
      <c r="J445">
        <v>3.2</v>
      </c>
      <c r="K445" s="114">
        <v>111.09</v>
      </c>
      <c r="L445" s="114">
        <v>3360.34</v>
      </c>
    </row>
    <row r="446" spans="1:12" x14ac:dyDescent="0.25">
      <c r="A446" t="s">
        <v>974</v>
      </c>
      <c r="B446" s="158">
        <v>45635.850694444445</v>
      </c>
      <c r="C446" t="s">
        <v>37</v>
      </c>
      <c r="D446" t="s">
        <v>38</v>
      </c>
      <c r="E446" t="s">
        <v>33</v>
      </c>
      <c r="F446" t="s">
        <v>29</v>
      </c>
      <c r="G446" s="114">
        <v>4764.42</v>
      </c>
      <c r="H446" t="s">
        <v>22</v>
      </c>
      <c r="J446">
        <v>1.9</v>
      </c>
      <c r="K446" s="114">
        <v>90.52</v>
      </c>
      <c r="L446" s="114">
        <v>4673.8999999999996</v>
      </c>
    </row>
    <row r="447" spans="1:12" x14ac:dyDescent="0.25">
      <c r="A447" t="s">
        <v>975</v>
      </c>
      <c r="B447" s="158">
        <v>45635.913888888892</v>
      </c>
      <c r="C447" t="s">
        <v>31</v>
      </c>
      <c r="D447" t="s">
        <v>32</v>
      </c>
      <c r="E447" t="s">
        <v>15</v>
      </c>
      <c r="F447" t="s">
        <v>29</v>
      </c>
      <c r="G447" s="114">
        <v>1187.8499999999999</v>
      </c>
      <c r="H447" t="s">
        <v>17</v>
      </c>
      <c r="J447">
        <v>2.5</v>
      </c>
      <c r="K447" s="114">
        <v>0</v>
      </c>
      <c r="L447" s="114">
        <v>0</v>
      </c>
    </row>
    <row r="448" spans="1:12" x14ac:dyDescent="0.25">
      <c r="A448" t="s">
        <v>976</v>
      </c>
      <c r="B448" s="158">
        <v>45635.953472222223</v>
      </c>
      <c r="C448" t="s">
        <v>13</v>
      </c>
      <c r="D448" t="s">
        <v>14</v>
      </c>
      <c r="E448" t="s">
        <v>28</v>
      </c>
      <c r="F448" t="s">
        <v>16</v>
      </c>
      <c r="G448" s="114">
        <v>2547.36</v>
      </c>
      <c r="H448" t="s">
        <v>22</v>
      </c>
      <c r="J448">
        <v>2.9</v>
      </c>
      <c r="K448" s="114">
        <v>73.87</v>
      </c>
      <c r="L448" s="114">
        <v>2473.4899999999998</v>
      </c>
    </row>
    <row r="449" spans="1:12" x14ac:dyDescent="0.25">
      <c r="A449" t="s">
        <v>977</v>
      </c>
      <c r="B449" s="158">
        <v>45635.988888888889</v>
      </c>
      <c r="C449" t="s">
        <v>13</v>
      </c>
      <c r="D449" t="s">
        <v>14</v>
      </c>
      <c r="E449" t="s">
        <v>15</v>
      </c>
      <c r="F449" t="s">
        <v>45</v>
      </c>
      <c r="G449" s="114">
        <v>3713.92</v>
      </c>
      <c r="H449" t="s">
        <v>22</v>
      </c>
      <c r="J449">
        <v>2.5</v>
      </c>
      <c r="K449" s="114">
        <v>92.85</v>
      </c>
      <c r="L449" s="114">
        <v>3621.07</v>
      </c>
    </row>
    <row r="450" spans="1:12" x14ac:dyDescent="0.25">
      <c r="A450" t="s">
        <v>978</v>
      </c>
      <c r="B450" s="158">
        <v>45636.143750000003</v>
      </c>
      <c r="C450" t="s">
        <v>13</v>
      </c>
      <c r="D450" t="s">
        <v>14</v>
      </c>
      <c r="E450" t="s">
        <v>28</v>
      </c>
      <c r="F450" t="s">
        <v>41</v>
      </c>
      <c r="G450" s="114">
        <v>1980.72</v>
      </c>
      <c r="H450" t="s">
        <v>22</v>
      </c>
      <c r="J450">
        <v>2.9</v>
      </c>
      <c r="K450" s="114">
        <v>57.44</v>
      </c>
      <c r="L450" s="114">
        <v>1923.28</v>
      </c>
    </row>
    <row r="451" spans="1:12" x14ac:dyDescent="0.25">
      <c r="A451" t="s">
        <v>979</v>
      </c>
      <c r="B451" s="158">
        <v>45636.197916666664</v>
      </c>
      <c r="C451" t="s">
        <v>27</v>
      </c>
      <c r="D451" t="s">
        <v>25</v>
      </c>
      <c r="E451" t="s">
        <v>33</v>
      </c>
      <c r="F451" t="s">
        <v>45</v>
      </c>
      <c r="G451" s="114">
        <v>3474.62</v>
      </c>
      <c r="H451" t="s">
        <v>22</v>
      </c>
      <c r="J451">
        <v>1.9</v>
      </c>
      <c r="K451" s="114">
        <v>66.02</v>
      </c>
      <c r="L451" s="114">
        <v>3408.6</v>
      </c>
    </row>
    <row r="452" spans="1:12" x14ac:dyDescent="0.25">
      <c r="A452" t="s">
        <v>980</v>
      </c>
      <c r="B452" s="158">
        <v>45636.865972222222</v>
      </c>
      <c r="C452" t="s">
        <v>37</v>
      </c>
      <c r="D452" t="s">
        <v>38</v>
      </c>
      <c r="E452" t="s">
        <v>15</v>
      </c>
      <c r="F452" t="s">
        <v>29</v>
      </c>
      <c r="G452" s="114">
        <v>3112.99</v>
      </c>
      <c r="H452" t="s">
        <v>22</v>
      </c>
      <c r="J452">
        <v>2.5</v>
      </c>
      <c r="K452" s="114">
        <v>77.819999999999993</v>
      </c>
      <c r="L452" s="114">
        <v>3035.17</v>
      </c>
    </row>
    <row r="453" spans="1:12" x14ac:dyDescent="0.25">
      <c r="A453" t="s">
        <v>981</v>
      </c>
      <c r="B453" s="158">
        <v>45636.975694444445</v>
      </c>
      <c r="C453" t="s">
        <v>43</v>
      </c>
      <c r="D453" t="s">
        <v>25</v>
      </c>
      <c r="E453" t="s">
        <v>33</v>
      </c>
      <c r="F453" t="s">
        <v>45</v>
      </c>
      <c r="G453" s="114">
        <v>2528.6</v>
      </c>
      <c r="H453" t="s">
        <v>22</v>
      </c>
      <c r="J453">
        <v>1.9</v>
      </c>
      <c r="K453" s="114">
        <v>48.04</v>
      </c>
      <c r="L453" s="114">
        <v>2480.56</v>
      </c>
    </row>
    <row r="454" spans="1:12" x14ac:dyDescent="0.25">
      <c r="A454" t="s">
        <v>982</v>
      </c>
      <c r="B454" s="158">
        <v>45636.988194444442</v>
      </c>
      <c r="C454" t="s">
        <v>47</v>
      </c>
      <c r="D454" t="s">
        <v>25</v>
      </c>
      <c r="E454" t="s">
        <v>33</v>
      </c>
      <c r="F454" t="s">
        <v>16</v>
      </c>
      <c r="G454" s="114">
        <v>4113.8599999999997</v>
      </c>
      <c r="H454" t="s">
        <v>22</v>
      </c>
      <c r="J454">
        <v>1.9</v>
      </c>
      <c r="K454" s="114">
        <v>78.16</v>
      </c>
      <c r="L454" s="114">
        <v>4035.7</v>
      </c>
    </row>
    <row r="455" spans="1:12" x14ac:dyDescent="0.25">
      <c r="A455" t="s">
        <v>983</v>
      </c>
      <c r="B455" s="158">
        <v>45637.057638888888</v>
      </c>
      <c r="C455" t="s">
        <v>24</v>
      </c>
      <c r="D455" t="s">
        <v>25</v>
      </c>
      <c r="E455" t="s">
        <v>28</v>
      </c>
      <c r="F455" t="s">
        <v>29</v>
      </c>
      <c r="G455" s="114">
        <v>443.35</v>
      </c>
      <c r="H455" t="s">
        <v>22</v>
      </c>
      <c r="J455">
        <v>2.9</v>
      </c>
      <c r="K455" s="114">
        <v>12.86</v>
      </c>
      <c r="L455" s="114">
        <v>430.49</v>
      </c>
    </row>
    <row r="456" spans="1:12" x14ac:dyDescent="0.25">
      <c r="A456" t="s">
        <v>984</v>
      </c>
      <c r="B456" s="158">
        <v>45637.3125</v>
      </c>
      <c r="C456" t="s">
        <v>60</v>
      </c>
      <c r="D456" t="s">
        <v>25</v>
      </c>
      <c r="E456" t="s">
        <v>33</v>
      </c>
      <c r="F456" t="s">
        <v>45</v>
      </c>
      <c r="G456" s="114">
        <v>1646.75</v>
      </c>
      <c r="H456" t="s">
        <v>17</v>
      </c>
      <c r="J456">
        <v>1.9</v>
      </c>
      <c r="K456" s="114">
        <v>0</v>
      </c>
      <c r="L456" s="114">
        <v>0</v>
      </c>
    </row>
    <row r="457" spans="1:12" x14ac:dyDescent="0.25">
      <c r="A457" t="s">
        <v>985</v>
      </c>
      <c r="B457" s="158">
        <v>45637.645833333336</v>
      </c>
      <c r="C457" t="s">
        <v>24</v>
      </c>
      <c r="D457" t="s">
        <v>25</v>
      </c>
      <c r="E457" t="s">
        <v>33</v>
      </c>
      <c r="F457" t="s">
        <v>29</v>
      </c>
      <c r="G457" s="114">
        <v>3239.82</v>
      </c>
      <c r="H457" t="s">
        <v>34</v>
      </c>
      <c r="I457" t="s">
        <v>78</v>
      </c>
      <c r="J457">
        <v>1.9</v>
      </c>
      <c r="K457" s="114">
        <v>0</v>
      </c>
      <c r="L457" s="114">
        <v>0</v>
      </c>
    </row>
    <row r="458" spans="1:12" x14ac:dyDescent="0.25">
      <c r="A458" t="s">
        <v>986</v>
      </c>
      <c r="B458" s="158">
        <v>45638.521527777775</v>
      </c>
      <c r="C458" t="s">
        <v>27</v>
      </c>
      <c r="D458" t="s">
        <v>25</v>
      </c>
      <c r="E458" t="s">
        <v>33</v>
      </c>
      <c r="F458" t="s">
        <v>21</v>
      </c>
      <c r="G458" s="114">
        <v>3142.79</v>
      </c>
      <c r="H458" t="s">
        <v>34</v>
      </c>
      <c r="I458" t="s">
        <v>55</v>
      </c>
      <c r="J458">
        <v>1.9</v>
      </c>
      <c r="K458" s="114">
        <v>0</v>
      </c>
      <c r="L458" s="114">
        <v>0</v>
      </c>
    </row>
    <row r="459" spans="1:12" x14ac:dyDescent="0.25">
      <c r="A459" t="s">
        <v>987</v>
      </c>
      <c r="B459" s="158">
        <v>45638.684027777781</v>
      </c>
      <c r="C459" t="s">
        <v>19</v>
      </c>
      <c r="D459" t="s">
        <v>20</v>
      </c>
      <c r="E459" t="s">
        <v>33</v>
      </c>
      <c r="F459" t="s">
        <v>45</v>
      </c>
      <c r="G459" s="114">
        <v>3896.34</v>
      </c>
      <c r="H459" t="s">
        <v>22</v>
      </c>
      <c r="J459">
        <v>1.9</v>
      </c>
      <c r="K459" s="114">
        <v>74.03</v>
      </c>
      <c r="L459" s="114">
        <v>3822.31</v>
      </c>
    </row>
    <row r="460" spans="1:12" x14ac:dyDescent="0.25">
      <c r="A460" t="s">
        <v>988</v>
      </c>
      <c r="B460" s="158">
        <v>45638.722916666666</v>
      </c>
      <c r="C460" t="s">
        <v>58</v>
      </c>
      <c r="D460" t="s">
        <v>25</v>
      </c>
      <c r="E460" t="s">
        <v>44</v>
      </c>
      <c r="F460" t="s">
        <v>41</v>
      </c>
      <c r="G460" s="114">
        <v>2508.96</v>
      </c>
      <c r="H460" t="s">
        <v>22</v>
      </c>
      <c r="J460">
        <v>2.1</v>
      </c>
      <c r="K460" s="114">
        <v>52.69</v>
      </c>
      <c r="L460" s="114">
        <v>2456.27</v>
      </c>
    </row>
    <row r="461" spans="1:12" x14ac:dyDescent="0.25">
      <c r="A461" t="s">
        <v>989</v>
      </c>
      <c r="B461" s="158">
        <v>45638.896527777775</v>
      </c>
      <c r="C461" t="s">
        <v>19</v>
      </c>
      <c r="D461" t="s">
        <v>20</v>
      </c>
      <c r="E461" t="s">
        <v>28</v>
      </c>
      <c r="F461" t="s">
        <v>45</v>
      </c>
      <c r="G461" s="114">
        <v>4790.3900000000003</v>
      </c>
      <c r="H461" t="s">
        <v>34</v>
      </c>
      <c r="I461" t="s">
        <v>62</v>
      </c>
      <c r="J461">
        <v>2.9</v>
      </c>
      <c r="K461" s="114">
        <v>0</v>
      </c>
      <c r="L461" s="114">
        <v>0</v>
      </c>
    </row>
    <row r="462" spans="1:12" x14ac:dyDescent="0.25">
      <c r="A462" t="s">
        <v>990</v>
      </c>
      <c r="B462" s="158">
        <v>45638.924305555556</v>
      </c>
      <c r="C462" t="s">
        <v>37</v>
      </c>
      <c r="D462" t="s">
        <v>38</v>
      </c>
      <c r="E462" t="s">
        <v>33</v>
      </c>
      <c r="F462" t="s">
        <v>41</v>
      </c>
      <c r="G462" s="114">
        <v>3367.28</v>
      </c>
      <c r="H462" t="s">
        <v>22</v>
      </c>
      <c r="J462">
        <v>1.9</v>
      </c>
      <c r="K462" s="114">
        <v>63.98</v>
      </c>
      <c r="L462" s="114">
        <v>3303.3</v>
      </c>
    </row>
    <row r="463" spans="1:12" x14ac:dyDescent="0.25">
      <c r="A463" t="s">
        <v>991</v>
      </c>
      <c r="B463" s="158">
        <v>45639.713194444441</v>
      </c>
      <c r="C463" t="s">
        <v>47</v>
      </c>
      <c r="D463" t="s">
        <v>25</v>
      </c>
      <c r="E463" t="s">
        <v>28</v>
      </c>
      <c r="F463" t="s">
        <v>16</v>
      </c>
      <c r="G463" s="114">
        <v>3091.43</v>
      </c>
      <c r="H463" t="s">
        <v>22</v>
      </c>
      <c r="J463">
        <v>2.9</v>
      </c>
      <c r="K463" s="114">
        <v>89.65</v>
      </c>
      <c r="L463" s="114">
        <v>3001.78</v>
      </c>
    </row>
    <row r="464" spans="1:12" x14ac:dyDescent="0.25">
      <c r="A464" t="s">
        <v>992</v>
      </c>
      <c r="B464" s="158">
        <v>45639.900694444441</v>
      </c>
      <c r="C464" t="s">
        <v>43</v>
      </c>
      <c r="D464" t="s">
        <v>25</v>
      </c>
      <c r="E464" t="s">
        <v>33</v>
      </c>
      <c r="F464" t="s">
        <v>21</v>
      </c>
      <c r="G464" s="114">
        <v>236.63</v>
      </c>
      <c r="H464" t="s">
        <v>34</v>
      </c>
      <c r="I464" t="s">
        <v>100</v>
      </c>
      <c r="J464">
        <v>1.9</v>
      </c>
      <c r="K464" s="114">
        <v>0</v>
      </c>
      <c r="L464" s="114">
        <v>0</v>
      </c>
    </row>
    <row r="465" spans="1:12" x14ac:dyDescent="0.25">
      <c r="A465" t="s">
        <v>993</v>
      </c>
      <c r="B465" s="158">
        <v>45640.293055555558</v>
      </c>
      <c r="C465" t="s">
        <v>19</v>
      </c>
      <c r="D465" t="s">
        <v>20</v>
      </c>
      <c r="E465" t="s">
        <v>28</v>
      </c>
      <c r="F465" t="s">
        <v>29</v>
      </c>
      <c r="G465" s="114">
        <v>104.5</v>
      </c>
      <c r="H465" t="s">
        <v>22</v>
      </c>
      <c r="J465">
        <v>2.9</v>
      </c>
      <c r="K465" s="114">
        <v>3.03</v>
      </c>
      <c r="L465" s="114">
        <v>101.47</v>
      </c>
    </row>
    <row r="466" spans="1:12" x14ac:dyDescent="0.25">
      <c r="A466" t="s">
        <v>994</v>
      </c>
      <c r="B466" s="158">
        <v>45640.533333333333</v>
      </c>
      <c r="C466" t="s">
        <v>24</v>
      </c>
      <c r="D466" t="s">
        <v>25</v>
      </c>
      <c r="E466" t="s">
        <v>15</v>
      </c>
      <c r="F466" t="s">
        <v>45</v>
      </c>
      <c r="G466" s="114">
        <v>3921.1</v>
      </c>
      <c r="H466" t="s">
        <v>34</v>
      </c>
      <c r="I466" t="s">
        <v>35</v>
      </c>
      <c r="J466">
        <v>2.5</v>
      </c>
      <c r="K466" s="114">
        <v>0</v>
      </c>
      <c r="L466" s="114">
        <v>0</v>
      </c>
    </row>
    <row r="467" spans="1:12" x14ac:dyDescent="0.25">
      <c r="A467" t="s">
        <v>995</v>
      </c>
      <c r="B467" s="158">
        <v>45640.963194444441</v>
      </c>
      <c r="C467" t="s">
        <v>13</v>
      </c>
      <c r="D467" t="s">
        <v>14</v>
      </c>
      <c r="E467" t="s">
        <v>39</v>
      </c>
      <c r="F467" t="s">
        <v>21</v>
      </c>
      <c r="G467" s="114">
        <v>566.65</v>
      </c>
      <c r="H467" t="s">
        <v>34</v>
      </c>
      <c r="I467" t="s">
        <v>35</v>
      </c>
      <c r="J467">
        <v>3.2</v>
      </c>
      <c r="K467" s="114">
        <v>0</v>
      </c>
      <c r="L467" s="114">
        <v>0</v>
      </c>
    </row>
    <row r="468" spans="1:12" x14ac:dyDescent="0.25">
      <c r="A468" t="s">
        <v>996</v>
      </c>
      <c r="B468" s="158">
        <v>45641.271527777775</v>
      </c>
      <c r="C468" t="s">
        <v>24</v>
      </c>
      <c r="D468" t="s">
        <v>25</v>
      </c>
      <c r="E468" t="s">
        <v>44</v>
      </c>
      <c r="F468" t="s">
        <v>29</v>
      </c>
      <c r="G468" s="114">
        <v>4364.99</v>
      </c>
      <c r="H468" t="s">
        <v>22</v>
      </c>
      <c r="J468">
        <v>2.1</v>
      </c>
      <c r="K468" s="114">
        <v>91.66</v>
      </c>
      <c r="L468" s="114">
        <v>4273.33</v>
      </c>
    </row>
    <row r="469" spans="1:12" x14ac:dyDescent="0.25">
      <c r="A469" t="s">
        <v>997</v>
      </c>
      <c r="B469" s="158">
        <v>45641.313194444447</v>
      </c>
      <c r="C469" t="s">
        <v>19</v>
      </c>
      <c r="D469" t="s">
        <v>20</v>
      </c>
      <c r="E469" t="s">
        <v>44</v>
      </c>
      <c r="F469" t="s">
        <v>29</v>
      </c>
      <c r="G469" s="114">
        <v>2311.14</v>
      </c>
      <c r="H469" t="s">
        <v>22</v>
      </c>
      <c r="J469">
        <v>2.1</v>
      </c>
      <c r="K469" s="114">
        <v>48.53</v>
      </c>
      <c r="L469" s="114">
        <v>2262.61</v>
      </c>
    </row>
    <row r="470" spans="1:12" x14ac:dyDescent="0.25">
      <c r="A470" t="s">
        <v>998</v>
      </c>
      <c r="B470" s="158">
        <v>45641.55</v>
      </c>
      <c r="C470" t="s">
        <v>27</v>
      </c>
      <c r="D470" t="s">
        <v>25</v>
      </c>
      <c r="E470" t="s">
        <v>33</v>
      </c>
      <c r="F470" t="s">
        <v>21</v>
      </c>
      <c r="G470" s="114">
        <v>1605.55</v>
      </c>
      <c r="H470" t="s">
        <v>22</v>
      </c>
      <c r="J470">
        <v>1.9</v>
      </c>
      <c r="K470" s="114">
        <v>30.51</v>
      </c>
      <c r="L470" s="114">
        <v>1575.04</v>
      </c>
    </row>
    <row r="471" spans="1:12" x14ac:dyDescent="0.25">
      <c r="A471" t="s">
        <v>999</v>
      </c>
      <c r="B471" s="158">
        <v>45642.11041666667</v>
      </c>
      <c r="C471" t="s">
        <v>37</v>
      </c>
      <c r="D471" t="s">
        <v>38</v>
      </c>
      <c r="E471" t="s">
        <v>28</v>
      </c>
      <c r="F471" t="s">
        <v>45</v>
      </c>
      <c r="G471" s="114">
        <v>4727.16</v>
      </c>
      <c r="H471" t="s">
        <v>22</v>
      </c>
      <c r="J471">
        <v>2.9</v>
      </c>
      <c r="K471" s="114">
        <v>137.09</v>
      </c>
      <c r="L471" s="114">
        <v>4590.07</v>
      </c>
    </row>
    <row r="472" spans="1:12" x14ac:dyDescent="0.25">
      <c r="A472" t="s">
        <v>1000</v>
      </c>
      <c r="B472" s="158">
        <v>45642.464583333334</v>
      </c>
      <c r="C472" t="s">
        <v>31</v>
      </c>
      <c r="D472" t="s">
        <v>32</v>
      </c>
      <c r="E472" t="s">
        <v>28</v>
      </c>
      <c r="F472" t="s">
        <v>41</v>
      </c>
      <c r="G472" s="114">
        <v>1222.81</v>
      </c>
      <c r="H472" t="s">
        <v>17</v>
      </c>
      <c r="J472">
        <v>2.9</v>
      </c>
      <c r="K472" s="114">
        <v>0</v>
      </c>
      <c r="L472" s="114">
        <v>0</v>
      </c>
    </row>
    <row r="473" spans="1:12" x14ac:dyDescent="0.25">
      <c r="A473" t="s">
        <v>1001</v>
      </c>
      <c r="B473" s="158">
        <v>45642.646527777775</v>
      </c>
      <c r="C473" t="s">
        <v>27</v>
      </c>
      <c r="D473" t="s">
        <v>25</v>
      </c>
      <c r="E473" t="s">
        <v>44</v>
      </c>
      <c r="F473" t="s">
        <v>41</v>
      </c>
      <c r="G473" s="114">
        <v>279.60000000000002</v>
      </c>
      <c r="H473" t="s">
        <v>22</v>
      </c>
      <c r="J473">
        <v>2.1</v>
      </c>
      <c r="K473" s="114">
        <v>5.87</v>
      </c>
      <c r="L473" s="114">
        <v>273.73</v>
      </c>
    </row>
    <row r="474" spans="1:12" x14ac:dyDescent="0.25">
      <c r="A474" t="s">
        <v>1002</v>
      </c>
      <c r="B474" s="158">
        <v>45642.73333333333</v>
      </c>
      <c r="C474" t="s">
        <v>43</v>
      </c>
      <c r="D474" t="s">
        <v>25</v>
      </c>
      <c r="E474" t="s">
        <v>15</v>
      </c>
      <c r="F474" t="s">
        <v>45</v>
      </c>
      <c r="G474" s="114">
        <v>4273.21</v>
      </c>
      <c r="H474" t="s">
        <v>17</v>
      </c>
      <c r="J474">
        <v>2.5</v>
      </c>
      <c r="K474" s="114">
        <v>0</v>
      </c>
      <c r="L474" s="114">
        <v>0</v>
      </c>
    </row>
    <row r="475" spans="1:12" x14ac:dyDescent="0.25">
      <c r="A475" t="s">
        <v>1003</v>
      </c>
      <c r="B475" s="158">
        <v>45642.997916666667</v>
      </c>
      <c r="C475" t="s">
        <v>27</v>
      </c>
      <c r="D475" t="s">
        <v>25</v>
      </c>
      <c r="E475" t="s">
        <v>15</v>
      </c>
      <c r="F475" t="s">
        <v>16</v>
      </c>
      <c r="G475" s="114">
        <v>573.55999999999995</v>
      </c>
      <c r="H475" t="s">
        <v>34</v>
      </c>
      <c r="I475" t="s">
        <v>55</v>
      </c>
      <c r="J475">
        <v>2.5</v>
      </c>
      <c r="K475" s="114">
        <v>0</v>
      </c>
      <c r="L475" s="114">
        <v>0</v>
      </c>
    </row>
    <row r="476" spans="1:12" x14ac:dyDescent="0.25">
      <c r="A476" t="s">
        <v>1004</v>
      </c>
      <c r="B476" s="158">
        <v>45643.146527777775</v>
      </c>
      <c r="C476" t="s">
        <v>43</v>
      </c>
      <c r="D476" t="s">
        <v>25</v>
      </c>
      <c r="E476" t="s">
        <v>28</v>
      </c>
      <c r="F476" t="s">
        <v>41</v>
      </c>
      <c r="G476" s="114">
        <v>1617.34</v>
      </c>
      <c r="H476" t="s">
        <v>22</v>
      </c>
      <c r="J476">
        <v>2.9</v>
      </c>
      <c r="K476" s="114">
        <v>46.9</v>
      </c>
      <c r="L476" s="114">
        <v>1570.44</v>
      </c>
    </row>
    <row r="477" spans="1:12" x14ac:dyDescent="0.25">
      <c r="A477" t="s">
        <v>1005</v>
      </c>
      <c r="B477" s="158">
        <v>45643.167361111111</v>
      </c>
      <c r="C477" t="s">
        <v>43</v>
      </c>
      <c r="D477" t="s">
        <v>25</v>
      </c>
      <c r="E477" t="s">
        <v>39</v>
      </c>
      <c r="F477" t="s">
        <v>41</v>
      </c>
      <c r="G477" s="114">
        <v>446.73</v>
      </c>
      <c r="H477" t="s">
        <v>22</v>
      </c>
      <c r="J477">
        <v>3.2</v>
      </c>
      <c r="K477" s="114">
        <v>14.3</v>
      </c>
      <c r="L477" s="114">
        <v>432.43</v>
      </c>
    </row>
    <row r="478" spans="1:12" x14ac:dyDescent="0.25">
      <c r="A478" t="s">
        <v>1006</v>
      </c>
      <c r="B478" s="158">
        <v>45643.28125</v>
      </c>
      <c r="C478" t="s">
        <v>58</v>
      </c>
      <c r="D478" t="s">
        <v>25</v>
      </c>
      <c r="E478" t="s">
        <v>15</v>
      </c>
      <c r="F478" t="s">
        <v>45</v>
      </c>
      <c r="G478" s="114">
        <v>1288.57</v>
      </c>
      <c r="H478" t="s">
        <v>22</v>
      </c>
      <c r="J478">
        <v>2.5</v>
      </c>
      <c r="K478" s="114">
        <v>32.21</v>
      </c>
      <c r="L478" s="114">
        <v>1256.3599999999999</v>
      </c>
    </row>
    <row r="479" spans="1:12" x14ac:dyDescent="0.25">
      <c r="A479" t="s">
        <v>1007</v>
      </c>
      <c r="B479" s="158">
        <v>45643.736111111109</v>
      </c>
      <c r="C479" t="s">
        <v>43</v>
      </c>
      <c r="D479" t="s">
        <v>25</v>
      </c>
      <c r="E479" t="s">
        <v>39</v>
      </c>
      <c r="F479" t="s">
        <v>45</v>
      </c>
      <c r="G479" s="114">
        <v>1507.97</v>
      </c>
      <c r="H479" t="s">
        <v>22</v>
      </c>
      <c r="J479">
        <v>3.2</v>
      </c>
      <c r="K479" s="114">
        <v>48.26</v>
      </c>
      <c r="L479" s="114">
        <v>1459.71</v>
      </c>
    </row>
    <row r="480" spans="1:12" x14ac:dyDescent="0.25">
      <c r="A480" t="s">
        <v>1008</v>
      </c>
      <c r="B480" s="158">
        <v>45643.829861111109</v>
      </c>
      <c r="C480" t="s">
        <v>31</v>
      </c>
      <c r="D480" t="s">
        <v>32</v>
      </c>
      <c r="E480" t="s">
        <v>39</v>
      </c>
      <c r="F480" t="s">
        <v>16</v>
      </c>
      <c r="G480" s="114">
        <v>4447.04</v>
      </c>
      <c r="H480" t="s">
        <v>22</v>
      </c>
      <c r="J480">
        <v>3.2</v>
      </c>
      <c r="K480" s="114">
        <v>142.31</v>
      </c>
      <c r="L480" s="114">
        <v>4304.7299999999996</v>
      </c>
    </row>
    <row r="481" spans="1:12" x14ac:dyDescent="0.25">
      <c r="A481" t="s">
        <v>1009</v>
      </c>
      <c r="B481" s="158">
        <v>45645.037499999999</v>
      </c>
      <c r="C481" t="s">
        <v>47</v>
      </c>
      <c r="D481" t="s">
        <v>25</v>
      </c>
      <c r="E481" t="s">
        <v>44</v>
      </c>
      <c r="F481" t="s">
        <v>45</v>
      </c>
      <c r="G481" s="114">
        <v>3038.57</v>
      </c>
      <c r="H481" t="s">
        <v>22</v>
      </c>
      <c r="J481">
        <v>2.1</v>
      </c>
      <c r="K481" s="114">
        <v>63.81</v>
      </c>
      <c r="L481" s="114">
        <v>2974.76</v>
      </c>
    </row>
    <row r="482" spans="1:12" x14ac:dyDescent="0.25">
      <c r="A482" t="s">
        <v>1010</v>
      </c>
      <c r="B482" s="158">
        <v>45645.439583333333</v>
      </c>
      <c r="C482" t="s">
        <v>60</v>
      </c>
      <c r="D482" t="s">
        <v>25</v>
      </c>
      <c r="E482" t="s">
        <v>39</v>
      </c>
      <c r="F482" t="s">
        <v>16</v>
      </c>
      <c r="G482" s="114">
        <v>3766.91</v>
      </c>
      <c r="H482" t="s">
        <v>17</v>
      </c>
      <c r="J482">
        <v>3.2</v>
      </c>
      <c r="K482" s="114">
        <v>0</v>
      </c>
      <c r="L482" s="114">
        <v>0</v>
      </c>
    </row>
    <row r="483" spans="1:12" x14ac:dyDescent="0.25">
      <c r="A483" t="s">
        <v>1011</v>
      </c>
      <c r="B483" s="158">
        <v>45645.467361111114</v>
      </c>
      <c r="C483" t="s">
        <v>43</v>
      </c>
      <c r="D483" t="s">
        <v>25</v>
      </c>
      <c r="E483" t="s">
        <v>15</v>
      </c>
      <c r="F483" t="s">
        <v>29</v>
      </c>
      <c r="G483" s="114">
        <v>4278.7</v>
      </c>
      <c r="H483" t="s">
        <v>22</v>
      </c>
      <c r="J483">
        <v>2.5</v>
      </c>
      <c r="K483" s="114">
        <v>106.97</v>
      </c>
      <c r="L483" s="114">
        <v>4171.7299999999996</v>
      </c>
    </row>
    <row r="484" spans="1:12" x14ac:dyDescent="0.25">
      <c r="A484" t="s">
        <v>1012</v>
      </c>
      <c r="B484" s="158">
        <v>45645.706250000003</v>
      </c>
      <c r="C484" t="s">
        <v>27</v>
      </c>
      <c r="D484" t="s">
        <v>25</v>
      </c>
      <c r="E484" t="s">
        <v>15</v>
      </c>
      <c r="F484" t="s">
        <v>16</v>
      </c>
      <c r="G484" s="114">
        <v>461.3</v>
      </c>
      <c r="H484" t="s">
        <v>17</v>
      </c>
      <c r="J484">
        <v>2.5</v>
      </c>
      <c r="K484" s="114">
        <v>0</v>
      </c>
      <c r="L484" s="114">
        <v>0</v>
      </c>
    </row>
    <row r="485" spans="1:12" x14ac:dyDescent="0.25">
      <c r="A485" t="s">
        <v>1013</v>
      </c>
      <c r="B485" s="158">
        <v>45645.905555555553</v>
      </c>
      <c r="C485" t="s">
        <v>58</v>
      </c>
      <c r="D485" t="s">
        <v>25</v>
      </c>
      <c r="E485" t="s">
        <v>39</v>
      </c>
      <c r="F485" t="s">
        <v>41</v>
      </c>
      <c r="G485" s="114">
        <v>634.20000000000005</v>
      </c>
      <c r="H485" t="s">
        <v>22</v>
      </c>
      <c r="J485">
        <v>3.2</v>
      </c>
      <c r="K485" s="114">
        <v>20.29</v>
      </c>
      <c r="L485" s="114">
        <v>613.91</v>
      </c>
    </row>
    <row r="486" spans="1:12" x14ac:dyDescent="0.25">
      <c r="A486" t="s">
        <v>1014</v>
      </c>
      <c r="B486" s="158">
        <v>45646.82708333333</v>
      </c>
      <c r="C486" t="s">
        <v>27</v>
      </c>
      <c r="D486" t="s">
        <v>25</v>
      </c>
      <c r="E486" t="s">
        <v>15</v>
      </c>
      <c r="F486" t="s">
        <v>41</v>
      </c>
      <c r="G486" s="114">
        <v>2060.1799999999998</v>
      </c>
      <c r="H486" t="s">
        <v>22</v>
      </c>
      <c r="J486">
        <v>2.5</v>
      </c>
      <c r="K486" s="114">
        <v>51.5</v>
      </c>
      <c r="L486" s="114">
        <v>2008.68</v>
      </c>
    </row>
    <row r="487" spans="1:12" x14ac:dyDescent="0.25">
      <c r="A487" t="s">
        <v>1015</v>
      </c>
      <c r="B487" s="158">
        <v>45647.347916666666</v>
      </c>
      <c r="C487" t="s">
        <v>13</v>
      </c>
      <c r="D487" t="s">
        <v>14</v>
      </c>
      <c r="E487" t="s">
        <v>15</v>
      </c>
      <c r="F487" t="s">
        <v>45</v>
      </c>
      <c r="G487" s="114">
        <v>1057.1300000000001</v>
      </c>
      <c r="H487" t="s">
        <v>22</v>
      </c>
      <c r="J487">
        <v>2.5</v>
      </c>
      <c r="K487" s="114">
        <v>26.43</v>
      </c>
      <c r="L487" s="114">
        <v>1030.7</v>
      </c>
    </row>
    <row r="488" spans="1:12" x14ac:dyDescent="0.25">
      <c r="A488" t="s">
        <v>1016</v>
      </c>
      <c r="B488" s="158">
        <v>45647.756249999999</v>
      </c>
      <c r="C488" t="s">
        <v>19</v>
      </c>
      <c r="D488" t="s">
        <v>20</v>
      </c>
      <c r="E488" t="s">
        <v>33</v>
      </c>
      <c r="F488" t="s">
        <v>21</v>
      </c>
      <c r="G488" s="114">
        <v>4040.42</v>
      </c>
      <c r="H488" t="s">
        <v>34</v>
      </c>
      <c r="I488" t="s">
        <v>35</v>
      </c>
      <c r="J488">
        <v>1.9</v>
      </c>
      <c r="K488" s="114">
        <v>0</v>
      </c>
      <c r="L488" s="114">
        <v>0</v>
      </c>
    </row>
    <row r="489" spans="1:12" x14ac:dyDescent="0.25">
      <c r="A489" t="s">
        <v>1017</v>
      </c>
      <c r="B489" s="158">
        <v>45647.945833333331</v>
      </c>
      <c r="C489" t="s">
        <v>60</v>
      </c>
      <c r="D489" t="s">
        <v>25</v>
      </c>
      <c r="E489" t="s">
        <v>15</v>
      </c>
      <c r="F489" t="s">
        <v>45</v>
      </c>
      <c r="G489" s="114">
        <v>4531.1400000000003</v>
      </c>
      <c r="H489" t="s">
        <v>17</v>
      </c>
      <c r="J489">
        <v>2.5</v>
      </c>
      <c r="K489" s="114">
        <v>0</v>
      </c>
      <c r="L489" s="114">
        <v>0</v>
      </c>
    </row>
    <row r="490" spans="1:12" x14ac:dyDescent="0.25">
      <c r="A490" t="s">
        <v>1018</v>
      </c>
      <c r="B490" s="158">
        <v>45648.2</v>
      </c>
      <c r="C490" t="s">
        <v>43</v>
      </c>
      <c r="D490" t="s">
        <v>25</v>
      </c>
      <c r="E490" t="s">
        <v>15</v>
      </c>
      <c r="F490" t="s">
        <v>45</v>
      </c>
      <c r="G490" s="114">
        <v>36.200000000000003</v>
      </c>
      <c r="H490" t="s">
        <v>22</v>
      </c>
      <c r="J490">
        <v>2.5</v>
      </c>
      <c r="K490" s="114">
        <v>0.91</v>
      </c>
      <c r="L490" s="114">
        <v>35.29</v>
      </c>
    </row>
    <row r="491" spans="1:12" x14ac:dyDescent="0.25">
      <c r="A491" t="s">
        <v>1019</v>
      </c>
      <c r="B491" s="158">
        <v>45648.399305555555</v>
      </c>
      <c r="C491" t="s">
        <v>27</v>
      </c>
      <c r="D491" t="s">
        <v>25</v>
      </c>
      <c r="E491" t="s">
        <v>44</v>
      </c>
      <c r="F491" t="s">
        <v>16</v>
      </c>
      <c r="G491" s="114">
        <v>3328</v>
      </c>
      <c r="H491" t="s">
        <v>34</v>
      </c>
      <c r="I491" t="s">
        <v>35</v>
      </c>
      <c r="J491">
        <v>2.1</v>
      </c>
      <c r="K491" s="114">
        <v>0</v>
      </c>
      <c r="L491" s="114">
        <v>0</v>
      </c>
    </row>
    <row r="492" spans="1:12" x14ac:dyDescent="0.25">
      <c r="A492" t="s">
        <v>1020</v>
      </c>
      <c r="B492" s="158">
        <v>45648.412499999999</v>
      </c>
      <c r="C492" t="s">
        <v>19</v>
      </c>
      <c r="D492" t="s">
        <v>20</v>
      </c>
      <c r="E492" t="s">
        <v>28</v>
      </c>
      <c r="F492" t="s">
        <v>45</v>
      </c>
      <c r="G492" s="114">
        <v>3915.35</v>
      </c>
      <c r="H492" t="s">
        <v>22</v>
      </c>
      <c r="J492">
        <v>2.9</v>
      </c>
      <c r="K492" s="114">
        <v>113.55</v>
      </c>
      <c r="L492" s="114">
        <v>3801.8</v>
      </c>
    </row>
    <row r="493" spans="1:12" x14ac:dyDescent="0.25">
      <c r="A493" t="s">
        <v>1021</v>
      </c>
      <c r="B493" s="158">
        <v>45648.832638888889</v>
      </c>
      <c r="C493" t="s">
        <v>58</v>
      </c>
      <c r="D493" t="s">
        <v>25</v>
      </c>
      <c r="E493" t="s">
        <v>33</v>
      </c>
      <c r="F493" t="s">
        <v>29</v>
      </c>
      <c r="G493" s="114">
        <v>2277.4299999999998</v>
      </c>
      <c r="H493" t="s">
        <v>34</v>
      </c>
      <c r="I493" t="s">
        <v>100</v>
      </c>
      <c r="J493">
        <v>1.9</v>
      </c>
      <c r="K493" s="114">
        <v>0</v>
      </c>
      <c r="L493" s="114">
        <v>0</v>
      </c>
    </row>
    <row r="494" spans="1:12" x14ac:dyDescent="0.25">
      <c r="A494" t="s">
        <v>1022</v>
      </c>
      <c r="B494" s="158">
        <v>45649.194444444445</v>
      </c>
      <c r="C494" t="s">
        <v>43</v>
      </c>
      <c r="D494" t="s">
        <v>25</v>
      </c>
      <c r="E494" t="s">
        <v>28</v>
      </c>
      <c r="F494" t="s">
        <v>41</v>
      </c>
      <c r="G494" s="114">
        <v>2874.58</v>
      </c>
      <c r="H494" t="s">
        <v>34</v>
      </c>
      <c r="I494" t="s">
        <v>55</v>
      </c>
      <c r="J494">
        <v>2.9</v>
      </c>
      <c r="K494" s="114">
        <v>0</v>
      </c>
      <c r="L494" s="114">
        <v>0</v>
      </c>
    </row>
    <row r="495" spans="1:12" x14ac:dyDescent="0.25">
      <c r="A495" t="s">
        <v>1023</v>
      </c>
      <c r="B495" s="158">
        <v>45649.49722222222</v>
      </c>
      <c r="C495" t="s">
        <v>58</v>
      </c>
      <c r="D495" t="s">
        <v>25</v>
      </c>
      <c r="E495" t="s">
        <v>44</v>
      </c>
      <c r="F495" t="s">
        <v>21</v>
      </c>
      <c r="G495" s="114">
        <v>430.56</v>
      </c>
      <c r="H495" t="s">
        <v>17</v>
      </c>
      <c r="J495">
        <v>2.1</v>
      </c>
      <c r="K495" s="114">
        <v>0</v>
      </c>
      <c r="L495" s="114">
        <v>0</v>
      </c>
    </row>
    <row r="496" spans="1:12" x14ac:dyDescent="0.25">
      <c r="A496" t="s">
        <v>1024</v>
      </c>
      <c r="B496" s="158">
        <v>45649.757638888892</v>
      </c>
      <c r="C496" t="s">
        <v>43</v>
      </c>
      <c r="D496" t="s">
        <v>25</v>
      </c>
      <c r="E496" t="s">
        <v>28</v>
      </c>
      <c r="F496" t="s">
        <v>29</v>
      </c>
      <c r="G496" s="114">
        <v>4175.3599999999997</v>
      </c>
      <c r="H496" t="s">
        <v>34</v>
      </c>
      <c r="I496" t="s">
        <v>55</v>
      </c>
      <c r="J496">
        <v>2.9</v>
      </c>
      <c r="K496" s="114">
        <v>0</v>
      </c>
      <c r="L496" s="114">
        <v>0</v>
      </c>
    </row>
    <row r="497" spans="1:12" x14ac:dyDescent="0.25">
      <c r="A497" t="s">
        <v>1025</v>
      </c>
      <c r="B497" s="158">
        <v>45650.34375</v>
      </c>
      <c r="C497" t="s">
        <v>47</v>
      </c>
      <c r="D497" t="s">
        <v>25</v>
      </c>
      <c r="E497" t="s">
        <v>28</v>
      </c>
      <c r="F497" t="s">
        <v>16</v>
      </c>
      <c r="G497" s="114">
        <v>3371.75</v>
      </c>
      <c r="H497" t="s">
        <v>22</v>
      </c>
      <c r="J497">
        <v>2.9</v>
      </c>
      <c r="K497" s="114">
        <v>97.78</v>
      </c>
      <c r="L497" s="114">
        <v>3273.97</v>
      </c>
    </row>
    <row r="498" spans="1:12" x14ac:dyDescent="0.25">
      <c r="A498" t="s">
        <v>1026</v>
      </c>
      <c r="B498" s="158">
        <v>45651.90347222222</v>
      </c>
      <c r="C498" t="s">
        <v>31</v>
      </c>
      <c r="D498" t="s">
        <v>32</v>
      </c>
      <c r="E498" t="s">
        <v>33</v>
      </c>
      <c r="F498" t="s">
        <v>29</v>
      </c>
      <c r="G498" s="114">
        <v>2675.36</v>
      </c>
      <c r="H498" t="s">
        <v>22</v>
      </c>
      <c r="J498">
        <v>1.9</v>
      </c>
      <c r="K498" s="114">
        <v>50.83</v>
      </c>
      <c r="L498" s="114">
        <v>2624.53</v>
      </c>
    </row>
    <row r="499" spans="1:12" x14ac:dyDescent="0.25">
      <c r="A499" t="s">
        <v>1027</v>
      </c>
      <c r="B499" s="158">
        <v>45652.280555555553</v>
      </c>
      <c r="C499" t="s">
        <v>43</v>
      </c>
      <c r="D499" t="s">
        <v>25</v>
      </c>
      <c r="E499" t="s">
        <v>39</v>
      </c>
      <c r="F499" t="s">
        <v>16</v>
      </c>
      <c r="G499" s="114">
        <v>1750.53</v>
      </c>
      <c r="H499" t="s">
        <v>22</v>
      </c>
      <c r="J499">
        <v>3.2</v>
      </c>
      <c r="K499" s="114">
        <v>56.02</v>
      </c>
      <c r="L499" s="114">
        <v>1694.51</v>
      </c>
    </row>
    <row r="500" spans="1:12" x14ac:dyDescent="0.25">
      <c r="A500" t="s">
        <v>1028</v>
      </c>
      <c r="B500" s="158">
        <v>45652.387499999997</v>
      </c>
      <c r="C500" t="s">
        <v>19</v>
      </c>
      <c r="D500" t="s">
        <v>20</v>
      </c>
      <c r="E500" t="s">
        <v>39</v>
      </c>
      <c r="F500" t="s">
        <v>45</v>
      </c>
      <c r="G500" s="114">
        <v>4927.59</v>
      </c>
      <c r="H500" t="s">
        <v>22</v>
      </c>
      <c r="J500">
        <v>3.2</v>
      </c>
      <c r="K500" s="114">
        <v>157.68</v>
      </c>
      <c r="L500" s="114">
        <v>4769.91</v>
      </c>
    </row>
    <row r="501" spans="1:12" x14ac:dyDescent="0.25">
      <c r="A501" t="s">
        <v>1029</v>
      </c>
      <c r="B501" s="158">
        <v>45652.507638888892</v>
      </c>
      <c r="C501" t="s">
        <v>37</v>
      </c>
      <c r="D501" t="s">
        <v>38</v>
      </c>
      <c r="E501" t="s">
        <v>15</v>
      </c>
      <c r="F501" t="s">
        <v>41</v>
      </c>
      <c r="G501" s="114">
        <v>4303.3100000000004</v>
      </c>
      <c r="H501" t="s">
        <v>22</v>
      </c>
      <c r="J501">
        <v>2.5</v>
      </c>
      <c r="K501" s="114">
        <v>107.58</v>
      </c>
      <c r="L501" s="114">
        <v>4195.7299999999996</v>
      </c>
    </row>
    <row r="502" spans="1:12" x14ac:dyDescent="0.25">
      <c r="A502" t="s">
        <v>1030</v>
      </c>
      <c r="B502" s="158">
        <v>45652.620833333334</v>
      </c>
      <c r="C502" t="s">
        <v>19</v>
      </c>
      <c r="D502" t="s">
        <v>20</v>
      </c>
      <c r="E502" t="s">
        <v>33</v>
      </c>
      <c r="F502" t="s">
        <v>41</v>
      </c>
      <c r="G502" s="114">
        <v>4882.34</v>
      </c>
      <c r="H502" t="s">
        <v>34</v>
      </c>
      <c r="I502" t="s">
        <v>35</v>
      </c>
      <c r="J502">
        <v>1.9</v>
      </c>
      <c r="K502" s="114">
        <v>0</v>
      </c>
      <c r="L502" s="114">
        <v>0</v>
      </c>
    </row>
    <row r="503" spans="1:12" x14ac:dyDescent="0.25">
      <c r="A503" t="s">
        <v>1031</v>
      </c>
      <c r="B503" s="158">
        <v>45653.189583333333</v>
      </c>
      <c r="C503" t="s">
        <v>24</v>
      </c>
      <c r="D503" t="s">
        <v>25</v>
      </c>
      <c r="E503" t="s">
        <v>33</v>
      </c>
      <c r="F503" t="s">
        <v>21</v>
      </c>
      <c r="G503" s="114">
        <v>4990.63</v>
      </c>
      <c r="H503" t="s">
        <v>34</v>
      </c>
      <c r="I503" t="s">
        <v>100</v>
      </c>
      <c r="J503">
        <v>1.9</v>
      </c>
      <c r="K503" s="114">
        <v>0</v>
      </c>
      <c r="L503" s="114">
        <v>0</v>
      </c>
    </row>
    <row r="504" spans="1:12" x14ac:dyDescent="0.25">
      <c r="A504" t="s">
        <v>1032</v>
      </c>
      <c r="B504" s="158">
        <v>45653.405555555553</v>
      </c>
      <c r="C504" t="s">
        <v>43</v>
      </c>
      <c r="D504" t="s">
        <v>25</v>
      </c>
      <c r="E504" t="s">
        <v>28</v>
      </c>
      <c r="F504" t="s">
        <v>29</v>
      </c>
      <c r="G504" s="114">
        <v>4620.32</v>
      </c>
      <c r="H504" t="s">
        <v>17</v>
      </c>
      <c r="J504">
        <v>2.9</v>
      </c>
      <c r="K504" s="114">
        <v>0</v>
      </c>
      <c r="L504" s="114">
        <v>0</v>
      </c>
    </row>
    <row r="505" spans="1:12" x14ac:dyDescent="0.25">
      <c r="A505" t="s">
        <v>1033</v>
      </c>
      <c r="B505" s="158">
        <v>45653.602083333331</v>
      </c>
      <c r="C505" t="s">
        <v>31</v>
      </c>
      <c r="D505" t="s">
        <v>32</v>
      </c>
      <c r="E505" t="s">
        <v>15</v>
      </c>
      <c r="F505" t="s">
        <v>41</v>
      </c>
      <c r="G505" s="114">
        <v>2213.1799999999998</v>
      </c>
      <c r="H505" t="s">
        <v>17</v>
      </c>
      <c r="J505">
        <v>2.5</v>
      </c>
      <c r="K505" s="114">
        <v>0</v>
      </c>
      <c r="L505" s="114">
        <v>0</v>
      </c>
    </row>
    <row r="506" spans="1:12" x14ac:dyDescent="0.25">
      <c r="A506" t="s">
        <v>1034</v>
      </c>
      <c r="B506" s="158">
        <v>45654.128472222219</v>
      </c>
      <c r="C506" t="s">
        <v>19</v>
      </c>
      <c r="D506" t="s">
        <v>20</v>
      </c>
      <c r="E506" t="s">
        <v>44</v>
      </c>
      <c r="F506" t="s">
        <v>16</v>
      </c>
      <c r="G506" s="114">
        <v>3285.41</v>
      </c>
      <c r="H506" t="s">
        <v>17</v>
      </c>
      <c r="J506">
        <v>2.1</v>
      </c>
      <c r="K506" s="114">
        <v>0</v>
      </c>
      <c r="L506" s="114">
        <v>0</v>
      </c>
    </row>
    <row r="507" spans="1:12" x14ac:dyDescent="0.25">
      <c r="A507" t="s">
        <v>1035</v>
      </c>
      <c r="B507" s="158">
        <v>45654.166666666664</v>
      </c>
      <c r="C507" t="s">
        <v>24</v>
      </c>
      <c r="D507" t="s">
        <v>25</v>
      </c>
      <c r="E507" t="s">
        <v>33</v>
      </c>
      <c r="F507" t="s">
        <v>16</v>
      </c>
      <c r="G507" s="114">
        <v>1872.27</v>
      </c>
      <c r="H507" t="s">
        <v>17</v>
      </c>
      <c r="J507">
        <v>1.9</v>
      </c>
      <c r="K507" s="114">
        <v>0</v>
      </c>
      <c r="L507" s="114">
        <v>0</v>
      </c>
    </row>
    <row r="508" spans="1:12" x14ac:dyDescent="0.25">
      <c r="A508" t="s">
        <v>1036</v>
      </c>
      <c r="B508" s="158">
        <v>45654.383333333331</v>
      </c>
      <c r="C508" t="s">
        <v>60</v>
      </c>
      <c r="D508" t="s">
        <v>25</v>
      </c>
      <c r="E508" t="s">
        <v>28</v>
      </c>
      <c r="F508" t="s">
        <v>41</v>
      </c>
      <c r="G508" s="114">
        <v>2329.7800000000002</v>
      </c>
      <c r="H508" t="s">
        <v>22</v>
      </c>
      <c r="J508">
        <v>2.9</v>
      </c>
      <c r="K508" s="114">
        <v>67.56</v>
      </c>
      <c r="L508" s="114">
        <v>2262.2199999999998</v>
      </c>
    </row>
    <row r="509" spans="1:12" x14ac:dyDescent="0.25">
      <c r="A509" t="s">
        <v>1037</v>
      </c>
      <c r="B509" s="158">
        <v>45654.763194444444</v>
      </c>
      <c r="C509" t="s">
        <v>43</v>
      </c>
      <c r="D509" t="s">
        <v>25</v>
      </c>
      <c r="E509" t="s">
        <v>28</v>
      </c>
      <c r="F509" t="s">
        <v>21</v>
      </c>
      <c r="G509" s="114">
        <v>1662.89</v>
      </c>
      <c r="H509" t="s">
        <v>22</v>
      </c>
      <c r="J509">
        <v>2.9</v>
      </c>
      <c r="K509" s="114">
        <v>48.22</v>
      </c>
      <c r="L509" s="114">
        <v>1614.67</v>
      </c>
    </row>
    <row r="510" spans="1:12" x14ac:dyDescent="0.25">
      <c r="A510" t="s">
        <v>1038</v>
      </c>
      <c r="B510" s="158">
        <v>45654.902777777781</v>
      </c>
      <c r="C510" t="s">
        <v>37</v>
      </c>
      <c r="D510" t="s">
        <v>38</v>
      </c>
      <c r="E510" t="s">
        <v>15</v>
      </c>
      <c r="F510" t="s">
        <v>41</v>
      </c>
      <c r="G510" s="114">
        <v>1333.41</v>
      </c>
      <c r="H510" t="s">
        <v>22</v>
      </c>
      <c r="J510">
        <v>2.5</v>
      </c>
      <c r="K510" s="114">
        <v>33.340000000000003</v>
      </c>
      <c r="L510" s="114">
        <v>1300.07</v>
      </c>
    </row>
    <row r="511" spans="1:12" x14ac:dyDescent="0.25">
      <c r="A511" t="s">
        <v>1039</v>
      </c>
      <c r="B511" s="158">
        <v>45655.053472222222</v>
      </c>
      <c r="C511" t="s">
        <v>58</v>
      </c>
      <c r="D511" t="s">
        <v>25</v>
      </c>
      <c r="E511" t="s">
        <v>28</v>
      </c>
      <c r="F511" t="s">
        <v>16</v>
      </c>
      <c r="G511" s="114">
        <v>4386.47</v>
      </c>
      <c r="H511" t="s">
        <v>22</v>
      </c>
      <c r="J511">
        <v>2.9</v>
      </c>
      <c r="K511" s="114">
        <v>127.21</v>
      </c>
      <c r="L511" s="114">
        <v>4259.26</v>
      </c>
    </row>
    <row r="512" spans="1:12" x14ac:dyDescent="0.25">
      <c r="A512" t="s">
        <v>1040</v>
      </c>
      <c r="B512" s="158">
        <v>45655.375694444447</v>
      </c>
      <c r="C512" t="s">
        <v>31</v>
      </c>
      <c r="D512" t="s">
        <v>32</v>
      </c>
      <c r="E512" t="s">
        <v>44</v>
      </c>
      <c r="F512" t="s">
        <v>29</v>
      </c>
      <c r="G512" s="114">
        <v>4285.51</v>
      </c>
      <c r="H512" t="s">
        <v>22</v>
      </c>
      <c r="J512">
        <v>2.1</v>
      </c>
      <c r="K512" s="114">
        <v>90</v>
      </c>
      <c r="L512" s="114">
        <v>4195.51</v>
      </c>
    </row>
    <row r="513" spans="1:12" x14ac:dyDescent="0.25">
      <c r="A513" t="s">
        <v>1041</v>
      </c>
      <c r="B513" s="158">
        <v>45656.540972222225</v>
      </c>
      <c r="C513" t="s">
        <v>31</v>
      </c>
      <c r="D513" t="s">
        <v>32</v>
      </c>
      <c r="E513" t="s">
        <v>39</v>
      </c>
      <c r="F513" t="s">
        <v>29</v>
      </c>
      <c r="G513" s="114">
        <v>2824.15</v>
      </c>
      <c r="H513" t="s">
        <v>17</v>
      </c>
      <c r="J513">
        <v>3.2</v>
      </c>
      <c r="K513" s="114">
        <v>0</v>
      </c>
      <c r="L513" s="114">
        <v>0</v>
      </c>
    </row>
    <row r="514" spans="1:12" x14ac:dyDescent="0.25">
      <c r="A514" t="s">
        <v>1042</v>
      </c>
      <c r="B514" s="158">
        <v>45656.588888888888</v>
      </c>
      <c r="C514" t="s">
        <v>13</v>
      </c>
      <c r="D514" t="s">
        <v>14</v>
      </c>
      <c r="E514" t="s">
        <v>33</v>
      </c>
      <c r="F514" t="s">
        <v>41</v>
      </c>
      <c r="G514" s="114">
        <v>3475.41</v>
      </c>
      <c r="H514" t="s">
        <v>34</v>
      </c>
      <c r="I514" t="s">
        <v>55</v>
      </c>
      <c r="J514">
        <v>1.9</v>
      </c>
      <c r="K514" s="114">
        <v>0</v>
      </c>
      <c r="L514" s="114">
        <v>0</v>
      </c>
    </row>
    <row r="515" spans="1:12" x14ac:dyDescent="0.25">
      <c r="A515" t="s">
        <v>1043</v>
      </c>
      <c r="B515" s="158">
        <v>45656.720833333333</v>
      </c>
      <c r="C515" t="s">
        <v>27</v>
      </c>
      <c r="D515" t="s">
        <v>25</v>
      </c>
      <c r="E515" t="s">
        <v>44</v>
      </c>
      <c r="F515" t="s">
        <v>29</v>
      </c>
      <c r="G515" s="114">
        <v>814.66</v>
      </c>
      <c r="H515" t="s">
        <v>22</v>
      </c>
      <c r="J515">
        <v>2.1</v>
      </c>
      <c r="K515" s="114">
        <v>17.11</v>
      </c>
      <c r="L515" s="114">
        <v>797.55</v>
      </c>
    </row>
    <row r="516" spans="1:12" x14ac:dyDescent="0.25">
      <c r="A516" t="s">
        <v>1044</v>
      </c>
      <c r="B516" s="158">
        <v>45656.999305555553</v>
      </c>
      <c r="C516" t="s">
        <v>13</v>
      </c>
      <c r="D516" t="s">
        <v>14</v>
      </c>
      <c r="E516" t="s">
        <v>44</v>
      </c>
      <c r="F516" t="s">
        <v>29</v>
      </c>
      <c r="G516" s="114">
        <v>1056.47</v>
      </c>
      <c r="H516" t="s">
        <v>22</v>
      </c>
      <c r="J516">
        <v>2.1</v>
      </c>
      <c r="K516" s="114">
        <v>22.19</v>
      </c>
      <c r="L516" s="114">
        <v>1034.28</v>
      </c>
    </row>
  </sheetData>
  <pageMargins left="0.7" right="0.7" top="0.75" bottom="0.75" header="0.3" footer="0.3"/>
  <pageSetup paperSize="9" scale="36"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F84EC-123D-491B-ADA5-B2C78D08887A}">
  <sheetPr>
    <tabColor rgb="FFFF0000"/>
  </sheetPr>
  <dimension ref="A1:D7"/>
  <sheetViews>
    <sheetView view="pageBreakPreview" zoomScale="235" zoomScaleNormal="100" zoomScaleSheetLayoutView="235" workbookViewId="0">
      <selection activeCell="E19" sqref="E19"/>
    </sheetView>
  </sheetViews>
  <sheetFormatPr defaultRowHeight="15" x14ac:dyDescent="0.25"/>
  <cols>
    <col min="1" max="1" width="14.42578125" bestFit="1" customWidth="1"/>
    <col min="2" max="2" width="10.5703125" customWidth="1"/>
    <col min="3" max="3" width="18.28515625" bestFit="1" customWidth="1"/>
  </cols>
  <sheetData>
    <row r="1" spans="1:4" x14ac:dyDescent="0.25">
      <c r="A1" s="104" t="s">
        <v>1249</v>
      </c>
      <c r="B1" s="105"/>
      <c r="C1" s="106"/>
    </row>
    <row r="2" spans="1:4" x14ac:dyDescent="0.25">
      <c r="A2" s="111" t="s">
        <v>3</v>
      </c>
      <c r="B2" s="112" t="s">
        <v>1145</v>
      </c>
      <c r="C2" s="113" t="s">
        <v>1146</v>
      </c>
    </row>
    <row r="3" spans="1:4" x14ac:dyDescent="0.25">
      <c r="A3" s="107" t="s">
        <v>14</v>
      </c>
      <c r="B3" s="183">
        <v>8.7400000000000005E-2</v>
      </c>
      <c r="C3" s="109" t="s">
        <v>1250</v>
      </c>
      <c r="D3" s="110"/>
    </row>
    <row r="4" spans="1:4" x14ac:dyDescent="0.25">
      <c r="A4" s="107" t="s">
        <v>20</v>
      </c>
      <c r="B4" s="183">
        <v>8.5999999999999993E-2</v>
      </c>
      <c r="C4" s="109" t="s">
        <v>1250</v>
      </c>
      <c r="D4" s="110"/>
    </row>
    <row r="5" spans="1:4" x14ac:dyDescent="0.25">
      <c r="A5" s="107" t="s">
        <v>25</v>
      </c>
      <c r="B5" s="183">
        <v>1</v>
      </c>
      <c r="C5" s="109" t="s">
        <v>1250</v>
      </c>
      <c r="D5" s="110"/>
    </row>
    <row r="6" spans="1:4" x14ac:dyDescent="0.25">
      <c r="A6" s="107" t="s">
        <v>32</v>
      </c>
      <c r="B6" s="183">
        <v>1.1801999999999999</v>
      </c>
      <c r="C6" s="109" t="s">
        <v>1250</v>
      </c>
      <c r="D6" s="110"/>
    </row>
    <row r="7" spans="1:4" x14ac:dyDescent="0.25">
      <c r="A7" s="108" t="s">
        <v>38</v>
      </c>
      <c r="B7" s="184">
        <v>0.23269999999999999</v>
      </c>
      <c r="C7" s="109" t="s">
        <v>1250</v>
      </c>
      <c r="D7" s="110"/>
    </row>
  </sheetData>
  <phoneticPr fontId="5" type="noConversion"/>
  <pageMargins left="0.7" right="0.7" top="0.75" bottom="0.75" header="0.3" footer="0.3"/>
  <pageSetup paperSize="9" orientation="portrait" r:id="rId1"/>
  <ignoredErrors>
    <ignoredError sqref="A3 A4:A7" calculatedColumn="1"/>
  </ignoredErrors>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AA00F-C396-4558-8508-8FD8B991BBCA}">
  <sheetPr>
    <tabColor theme="7" tint="0.39997558519241921"/>
  </sheetPr>
  <dimension ref="A1:O1001"/>
  <sheetViews>
    <sheetView view="pageBreakPreview" zoomScale="130" zoomScaleNormal="100" zoomScaleSheetLayoutView="130" workbookViewId="0">
      <pane ySplit="1" topLeftCell="A2" activePane="bottomLeft" state="frozen"/>
      <selection pane="bottomLeft" activeCell="R12" sqref="R12"/>
    </sheetView>
  </sheetViews>
  <sheetFormatPr defaultRowHeight="15" x14ac:dyDescent="0.25"/>
  <cols>
    <col min="1" max="1" width="15.85546875" bestFit="1" customWidth="1"/>
    <col min="2" max="2" width="16.5703125" style="1" bestFit="1" customWidth="1"/>
    <col min="3" max="3" width="9.42578125" style="1" bestFit="1" customWidth="1"/>
    <col min="4" max="4" width="13.42578125" style="1" bestFit="1" customWidth="1"/>
    <col min="5" max="5" width="14.5703125" bestFit="1" customWidth="1"/>
    <col min="6" max="6" width="18.85546875" bestFit="1" customWidth="1"/>
    <col min="7" max="7" width="10.42578125" bestFit="1" customWidth="1"/>
    <col min="8" max="8" width="11" style="1" bestFit="1" customWidth="1"/>
    <col min="9" max="9" width="17" bestFit="1" customWidth="1"/>
    <col min="10" max="10" width="8.5703125" bestFit="1" customWidth="1"/>
    <col min="11" max="11" width="22.5703125" bestFit="1" customWidth="1"/>
    <col min="12" max="13" width="18.28515625" bestFit="1" customWidth="1"/>
    <col min="14" max="14" width="20.140625" customWidth="1"/>
    <col min="15" max="15" width="15" bestFit="1" customWidth="1"/>
    <col min="16" max="16" width="22.5703125" bestFit="1" customWidth="1"/>
    <col min="17" max="17" width="14.140625" bestFit="1" customWidth="1"/>
    <col min="18" max="18" width="22.5703125" bestFit="1" customWidth="1"/>
    <col min="19" max="20" width="18.28515625" bestFit="1" customWidth="1"/>
  </cols>
  <sheetData>
    <row r="1" spans="1:15" x14ac:dyDescent="0.25">
      <c r="A1" t="s">
        <v>0</v>
      </c>
      <c r="B1" s="1" t="s">
        <v>1</v>
      </c>
      <c r="C1" s="1" t="s">
        <v>2</v>
      </c>
      <c r="D1" s="1" t="s">
        <v>3</v>
      </c>
      <c r="E1" t="s">
        <v>4</v>
      </c>
      <c r="F1" t="s">
        <v>5</v>
      </c>
      <c r="G1" t="s">
        <v>6</v>
      </c>
      <c r="H1" s="1" t="s">
        <v>7</v>
      </c>
      <c r="I1" t="s">
        <v>8</v>
      </c>
      <c r="J1" t="s">
        <v>9</v>
      </c>
      <c r="K1" t="s">
        <v>1107</v>
      </c>
      <c r="L1" t="s">
        <v>1111</v>
      </c>
      <c r="M1" t="s">
        <v>1112</v>
      </c>
      <c r="N1" t="s">
        <v>1113</v>
      </c>
      <c r="O1" t="s">
        <v>1130</v>
      </c>
    </row>
    <row r="2" spans="1:15" x14ac:dyDescent="0.25">
      <c r="A2" t="s">
        <v>12</v>
      </c>
      <c r="B2" s="159">
        <v>45292.913194444445</v>
      </c>
      <c r="C2" s="1" t="s">
        <v>13</v>
      </c>
      <c r="D2" s="1" t="s">
        <v>14</v>
      </c>
      <c r="E2" t="s">
        <v>15</v>
      </c>
      <c r="F2" t="s">
        <v>16</v>
      </c>
      <c r="G2" s="114">
        <v>280.48</v>
      </c>
      <c r="H2" s="1" t="s">
        <v>17</v>
      </c>
      <c r="J2">
        <v>2.5</v>
      </c>
      <c r="K2">
        <v>8.7400000000000005E-2</v>
      </c>
      <c r="L2" s="114">
        <v>0</v>
      </c>
      <c r="M2" s="114">
        <v>0</v>
      </c>
      <c r="N2" s="114">
        <v>0</v>
      </c>
      <c r="O2" t="s">
        <v>1131</v>
      </c>
    </row>
    <row r="3" spans="1:15" x14ac:dyDescent="0.25">
      <c r="A3" t="s">
        <v>18</v>
      </c>
      <c r="B3" s="159">
        <v>45294.355555555558</v>
      </c>
      <c r="C3" s="1" t="s">
        <v>19</v>
      </c>
      <c r="D3" s="1" t="s">
        <v>20</v>
      </c>
      <c r="E3" t="s">
        <v>15</v>
      </c>
      <c r="F3" t="s">
        <v>21</v>
      </c>
      <c r="G3" s="114">
        <v>4887.84</v>
      </c>
      <c r="H3" s="1" t="s">
        <v>22</v>
      </c>
      <c r="J3">
        <v>2.5</v>
      </c>
      <c r="K3">
        <v>8.5999999999999993E-2</v>
      </c>
      <c r="L3" s="114">
        <v>10.5092</v>
      </c>
      <c r="M3" s="114">
        <v>409.84503999999998</v>
      </c>
      <c r="N3" s="114">
        <v>420.35424</v>
      </c>
      <c r="O3" t="s">
        <v>1131</v>
      </c>
    </row>
    <row r="4" spans="1:15" x14ac:dyDescent="0.25">
      <c r="A4" t="s">
        <v>23</v>
      </c>
      <c r="B4" s="159">
        <v>45294.427083333336</v>
      </c>
      <c r="C4" s="1" t="s">
        <v>24</v>
      </c>
      <c r="D4" s="1" t="s">
        <v>25</v>
      </c>
      <c r="E4" t="s">
        <v>15</v>
      </c>
      <c r="F4" t="s">
        <v>21</v>
      </c>
      <c r="G4" s="114">
        <v>4202.1499999999996</v>
      </c>
      <c r="H4" s="1" t="s">
        <v>22</v>
      </c>
      <c r="J4">
        <v>2.5</v>
      </c>
      <c r="K4">
        <v>1</v>
      </c>
      <c r="L4" s="114">
        <v>105.05</v>
      </c>
      <c r="M4" s="114">
        <v>4097.1000000000004</v>
      </c>
      <c r="N4" s="114">
        <v>4202.1500000000005</v>
      </c>
      <c r="O4" t="s">
        <v>1131</v>
      </c>
    </row>
    <row r="5" spans="1:15" x14ac:dyDescent="0.25">
      <c r="A5" t="s">
        <v>26</v>
      </c>
      <c r="B5" s="159">
        <v>45294.436805555553</v>
      </c>
      <c r="C5" s="1" t="s">
        <v>27</v>
      </c>
      <c r="D5" s="1" t="s">
        <v>25</v>
      </c>
      <c r="E5" t="s">
        <v>28</v>
      </c>
      <c r="F5" t="s">
        <v>29</v>
      </c>
      <c r="G5" s="114">
        <v>4643.8500000000004</v>
      </c>
      <c r="H5" s="1" t="s">
        <v>17</v>
      </c>
      <c r="J5">
        <v>2.9</v>
      </c>
      <c r="K5">
        <v>1</v>
      </c>
      <c r="L5" s="114">
        <v>0</v>
      </c>
      <c r="M5" s="114">
        <v>0</v>
      </c>
      <c r="N5" s="114">
        <v>0</v>
      </c>
      <c r="O5" t="s">
        <v>1131</v>
      </c>
    </row>
    <row r="6" spans="1:15" x14ac:dyDescent="0.25">
      <c r="A6" t="s">
        <v>30</v>
      </c>
      <c r="B6" s="159">
        <v>45295.007638888892</v>
      </c>
      <c r="C6" s="1" t="s">
        <v>31</v>
      </c>
      <c r="D6" s="1" t="s">
        <v>32</v>
      </c>
      <c r="E6" t="s">
        <v>33</v>
      </c>
      <c r="F6" t="s">
        <v>21</v>
      </c>
      <c r="G6" s="114">
        <v>2086.9499999999998</v>
      </c>
      <c r="H6" s="1" t="s">
        <v>34</v>
      </c>
      <c r="I6" t="s">
        <v>35</v>
      </c>
      <c r="J6">
        <v>1.9</v>
      </c>
      <c r="K6">
        <v>1.1801999999999999</v>
      </c>
      <c r="L6" s="114">
        <v>0</v>
      </c>
      <c r="M6" s="114">
        <v>0</v>
      </c>
      <c r="N6" s="114">
        <v>0</v>
      </c>
      <c r="O6" t="s">
        <v>1131</v>
      </c>
    </row>
    <row r="7" spans="1:15" x14ac:dyDescent="0.25">
      <c r="A7" t="s">
        <v>36</v>
      </c>
      <c r="B7" s="159">
        <v>45295.154861111114</v>
      </c>
      <c r="C7" s="1" t="s">
        <v>37</v>
      </c>
      <c r="D7" s="1" t="s">
        <v>38</v>
      </c>
      <c r="E7" t="s">
        <v>39</v>
      </c>
      <c r="F7" t="s">
        <v>16</v>
      </c>
      <c r="G7" s="114">
        <v>3624.74</v>
      </c>
      <c r="H7" s="1" t="s">
        <v>17</v>
      </c>
      <c r="J7">
        <v>3.2</v>
      </c>
      <c r="K7">
        <v>0.23269999999999999</v>
      </c>
      <c r="L7" s="114">
        <v>0</v>
      </c>
      <c r="M7" s="114">
        <v>0</v>
      </c>
      <c r="N7" s="114">
        <v>0</v>
      </c>
      <c r="O7" t="s">
        <v>1131</v>
      </c>
    </row>
    <row r="8" spans="1:15" x14ac:dyDescent="0.25">
      <c r="A8" t="s">
        <v>40</v>
      </c>
      <c r="B8" s="159">
        <v>45295.384722222225</v>
      </c>
      <c r="C8" s="1" t="s">
        <v>24</v>
      </c>
      <c r="D8" s="1" t="s">
        <v>25</v>
      </c>
      <c r="E8" t="s">
        <v>39</v>
      </c>
      <c r="F8" t="s">
        <v>41</v>
      </c>
      <c r="G8" s="114">
        <v>3859.9</v>
      </c>
      <c r="H8" s="1" t="s">
        <v>22</v>
      </c>
      <c r="J8">
        <v>3.2</v>
      </c>
      <c r="K8">
        <v>1</v>
      </c>
      <c r="L8" s="114">
        <v>123.52</v>
      </c>
      <c r="M8" s="114">
        <v>3736.38</v>
      </c>
      <c r="N8" s="114">
        <v>3859.9</v>
      </c>
      <c r="O8" t="s">
        <v>1131</v>
      </c>
    </row>
    <row r="9" spans="1:15" x14ac:dyDescent="0.25">
      <c r="A9" t="s">
        <v>42</v>
      </c>
      <c r="B9" s="159">
        <v>45296.226388888892</v>
      </c>
      <c r="C9" s="1" t="s">
        <v>43</v>
      </c>
      <c r="D9" s="1" t="s">
        <v>25</v>
      </c>
      <c r="E9" t="s">
        <v>44</v>
      </c>
      <c r="F9" t="s">
        <v>45</v>
      </c>
      <c r="G9" s="114">
        <v>2674.57</v>
      </c>
      <c r="H9" s="1" t="s">
        <v>22</v>
      </c>
      <c r="J9">
        <v>2.1</v>
      </c>
      <c r="K9">
        <v>1</v>
      </c>
      <c r="L9" s="114">
        <v>56.17</v>
      </c>
      <c r="M9" s="114">
        <v>2618.4</v>
      </c>
      <c r="N9" s="114">
        <v>2674.57</v>
      </c>
      <c r="O9" t="s">
        <v>1131</v>
      </c>
    </row>
    <row r="10" spans="1:15" x14ac:dyDescent="0.25">
      <c r="A10" t="s">
        <v>46</v>
      </c>
      <c r="B10" s="159">
        <v>45296.466666666667</v>
      </c>
      <c r="C10" s="1" t="s">
        <v>47</v>
      </c>
      <c r="D10" s="1" t="s">
        <v>25</v>
      </c>
      <c r="E10" t="s">
        <v>33</v>
      </c>
      <c r="F10" t="s">
        <v>21</v>
      </c>
      <c r="G10" s="114">
        <v>3700.48</v>
      </c>
      <c r="H10" s="1" t="s">
        <v>22</v>
      </c>
      <c r="J10">
        <v>1.9</v>
      </c>
      <c r="K10">
        <v>1</v>
      </c>
      <c r="L10" s="114">
        <v>70.31</v>
      </c>
      <c r="M10" s="114">
        <v>3630.17</v>
      </c>
      <c r="N10" s="114">
        <v>3700.48</v>
      </c>
      <c r="O10" t="s">
        <v>1131</v>
      </c>
    </row>
    <row r="11" spans="1:15" x14ac:dyDescent="0.25">
      <c r="A11" t="s">
        <v>48</v>
      </c>
      <c r="B11" s="159">
        <v>45296.57708333333</v>
      </c>
      <c r="C11" s="1" t="s">
        <v>47</v>
      </c>
      <c r="D11" s="1" t="s">
        <v>25</v>
      </c>
      <c r="E11" t="s">
        <v>33</v>
      </c>
      <c r="F11" t="s">
        <v>29</v>
      </c>
      <c r="G11" s="114">
        <v>3985.87</v>
      </c>
      <c r="H11" s="1" t="s">
        <v>17</v>
      </c>
      <c r="J11">
        <v>1.9</v>
      </c>
      <c r="K11">
        <v>1</v>
      </c>
      <c r="L11" s="114">
        <v>0</v>
      </c>
      <c r="M11" s="114">
        <v>0</v>
      </c>
      <c r="N11" s="114">
        <v>0</v>
      </c>
      <c r="O11" t="s">
        <v>1131</v>
      </c>
    </row>
    <row r="12" spans="1:15" x14ac:dyDescent="0.25">
      <c r="A12" t="s">
        <v>49</v>
      </c>
      <c r="B12" s="159">
        <v>45297.874305555553</v>
      </c>
      <c r="C12" s="1" t="s">
        <v>27</v>
      </c>
      <c r="D12" s="1" t="s">
        <v>25</v>
      </c>
      <c r="E12" t="s">
        <v>33</v>
      </c>
      <c r="F12" t="s">
        <v>16</v>
      </c>
      <c r="G12" s="114">
        <v>4260.84</v>
      </c>
      <c r="H12" s="1" t="s">
        <v>22</v>
      </c>
      <c r="J12">
        <v>1.9</v>
      </c>
      <c r="K12">
        <v>1</v>
      </c>
      <c r="L12" s="114">
        <v>80.959999999999994</v>
      </c>
      <c r="M12" s="114">
        <v>4179.88</v>
      </c>
      <c r="N12" s="114">
        <v>4260.84</v>
      </c>
      <c r="O12" t="s">
        <v>1131</v>
      </c>
    </row>
    <row r="13" spans="1:15" x14ac:dyDescent="0.25">
      <c r="A13" t="s">
        <v>50</v>
      </c>
      <c r="B13" s="159">
        <v>45298.27847222222</v>
      </c>
      <c r="C13" s="1" t="s">
        <v>43</v>
      </c>
      <c r="D13" s="1" t="s">
        <v>25</v>
      </c>
      <c r="E13" t="s">
        <v>28</v>
      </c>
      <c r="F13" t="s">
        <v>16</v>
      </c>
      <c r="G13" s="114">
        <v>4007.09</v>
      </c>
      <c r="H13" s="1" t="s">
        <v>22</v>
      </c>
      <c r="J13">
        <v>2.9</v>
      </c>
      <c r="K13">
        <v>1</v>
      </c>
      <c r="L13" s="114">
        <v>116.21</v>
      </c>
      <c r="M13" s="114">
        <v>3890.88</v>
      </c>
      <c r="N13" s="114">
        <v>4007.09</v>
      </c>
      <c r="O13" t="s">
        <v>1131</v>
      </c>
    </row>
    <row r="14" spans="1:15" x14ac:dyDescent="0.25">
      <c r="A14" t="s">
        <v>51</v>
      </c>
      <c r="B14" s="159">
        <v>45299.243055555555</v>
      </c>
      <c r="C14" s="1" t="s">
        <v>47</v>
      </c>
      <c r="D14" s="1" t="s">
        <v>25</v>
      </c>
      <c r="E14" t="s">
        <v>33</v>
      </c>
      <c r="F14" t="s">
        <v>41</v>
      </c>
      <c r="G14" s="114">
        <v>1985.08</v>
      </c>
      <c r="H14" s="1" t="s">
        <v>22</v>
      </c>
      <c r="J14">
        <v>1.9</v>
      </c>
      <c r="K14">
        <v>1</v>
      </c>
      <c r="L14" s="114">
        <v>37.72</v>
      </c>
      <c r="M14" s="114">
        <v>1947.36</v>
      </c>
      <c r="N14" s="114">
        <v>1985.08</v>
      </c>
      <c r="O14" t="s">
        <v>1131</v>
      </c>
    </row>
    <row r="15" spans="1:15" x14ac:dyDescent="0.25">
      <c r="A15" t="s">
        <v>52</v>
      </c>
      <c r="B15" s="159">
        <v>45299.290972222225</v>
      </c>
      <c r="C15" s="1" t="s">
        <v>24</v>
      </c>
      <c r="D15" s="1" t="s">
        <v>25</v>
      </c>
      <c r="E15" t="s">
        <v>28</v>
      </c>
      <c r="F15" t="s">
        <v>16</v>
      </c>
      <c r="G15" s="114">
        <v>4573.0600000000004</v>
      </c>
      <c r="H15" s="1" t="s">
        <v>17</v>
      </c>
      <c r="J15">
        <v>2.9</v>
      </c>
      <c r="K15">
        <v>1</v>
      </c>
      <c r="L15" s="114">
        <v>0</v>
      </c>
      <c r="M15" s="114">
        <v>0</v>
      </c>
      <c r="N15" s="114">
        <v>0</v>
      </c>
      <c r="O15" t="s">
        <v>1131</v>
      </c>
    </row>
    <row r="16" spans="1:15" x14ac:dyDescent="0.25">
      <c r="A16" t="s">
        <v>53</v>
      </c>
      <c r="B16" s="159">
        <v>45299.815972222219</v>
      </c>
      <c r="C16" s="1" t="s">
        <v>13</v>
      </c>
      <c r="D16" s="1" t="s">
        <v>14</v>
      </c>
      <c r="E16" t="s">
        <v>28</v>
      </c>
      <c r="F16" t="s">
        <v>29</v>
      </c>
      <c r="G16" s="114">
        <v>2717.22</v>
      </c>
      <c r="H16" s="1" t="s">
        <v>17</v>
      </c>
      <c r="J16">
        <v>2.9</v>
      </c>
      <c r="K16">
        <v>8.7400000000000005E-2</v>
      </c>
      <c r="L16" s="114">
        <v>0</v>
      </c>
      <c r="M16" s="114">
        <v>0</v>
      </c>
      <c r="N16" s="114">
        <v>0</v>
      </c>
      <c r="O16" t="s">
        <v>1131</v>
      </c>
    </row>
    <row r="17" spans="1:15" x14ac:dyDescent="0.25">
      <c r="A17" t="s">
        <v>54</v>
      </c>
      <c r="B17" s="159">
        <v>45299.972916666666</v>
      </c>
      <c r="C17" s="1" t="s">
        <v>47</v>
      </c>
      <c r="D17" s="1" t="s">
        <v>25</v>
      </c>
      <c r="E17" t="s">
        <v>33</v>
      </c>
      <c r="F17" t="s">
        <v>29</v>
      </c>
      <c r="G17" s="114">
        <v>885.72</v>
      </c>
      <c r="H17" s="1" t="s">
        <v>34</v>
      </c>
      <c r="I17" t="s">
        <v>55</v>
      </c>
      <c r="J17">
        <v>1.9</v>
      </c>
      <c r="K17">
        <v>1</v>
      </c>
      <c r="L17" s="114">
        <v>0</v>
      </c>
      <c r="M17" s="114">
        <v>0</v>
      </c>
      <c r="N17" s="114">
        <v>0</v>
      </c>
      <c r="O17" t="s">
        <v>1131</v>
      </c>
    </row>
    <row r="18" spans="1:15" x14ac:dyDescent="0.25">
      <c r="A18" t="s">
        <v>56</v>
      </c>
      <c r="B18" s="159">
        <v>45300.300694444442</v>
      </c>
      <c r="C18" s="1" t="s">
        <v>31</v>
      </c>
      <c r="D18" s="1" t="s">
        <v>32</v>
      </c>
      <c r="E18" t="s">
        <v>28</v>
      </c>
      <c r="F18" t="s">
        <v>45</v>
      </c>
      <c r="G18" s="114">
        <v>177.55</v>
      </c>
      <c r="H18" s="1" t="s">
        <v>17</v>
      </c>
      <c r="J18">
        <v>2.9</v>
      </c>
      <c r="K18">
        <v>1.1801999999999999</v>
      </c>
      <c r="L18" s="114">
        <v>0</v>
      </c>
      <c r="M18" s="114">
        <v>0</v>
      </c>
      <c r="N18" s="114">
        <v>0</v>
      </c>
      <c r="O18" t="s">
        <v>1131</v>
      </c>
    </row>
    <row r="19" spans="1:15" x14ac:dyDescent="0.25">
      <c r="A19" t="s">
        <v>57</v>
      </c>
      <c r="B19" s="159">
        <v>45301.658333333333</v>
      </c>
      <c r="C19" s="1" t="s">
        <v>58</v>
      </c>
      <c r="D19" s="1" t="s">
        <v>25</v>
      </c>
      <c r="E19" t="s">
        <v>28</v>
      </c>
      <c r="F19" t="s">
        <v>29</v>
      </c>
      <c r="G19" s="114">
        <v>548.01</v>
      </c>
      <c r="H19" s="1" t="s">
        <v>17</v>
      </c>
      <c r="J19">
        <v>2.9</v>
      </c>
      <c r="K19">
        <v>1</v>
      </c>
      <c r="L19" s="114">
        <v>0</v>
      </c>
      <c r="M19" s="114">
        <v>0</v>
      </c>
      <c r="N19" s="114">
        <v>0</v>
      </c>
      <c r="O19" t="s">
        <v>1131</v>
      </c>
    </row>
    <row r="20" spans="1:15" x14ac:dyDescent="0.25">
      <c r="A20" t="s">
        <v>59</v>
      </c>
      <c r="B20" s="159">
        <v>45301.694444444445</v>
      </c>
      <c r="C20" s="1" t="s">
        <v>60</v>
      </c>
      <c r="D20" s="1" t="s">
        <v>25</v>
      </c>
      <c r="E20" t="s">
        <v>33</v>
      </c>
      <c r="F20" t="s">
        <v>45</v>
      </c>
      <c r="G20" s="114">
        <v>2031.62</v>
      </c>
      <c r="H20" s="1" t="s">
        <v>17</v>
      </c>
      <c r="J20">
        <v>1.9</v>
      </c>
      <c r="K20">
        <v>1</v>
      </c>
      <c r="L20" s="114">
        <v>0</v>
      </c>
      <c r="M20" s="114">
        <v>0</v>
      </c>
      <c r="N20" s="114">
        <v>0</v>
      </c>
      <c r="O20" t="s">
        <v>1131</v>
      </c>
    </row>
    <row r="21" spans="1:15" x14ac:dyDescent="0.25">
      <c r="A21" t="s">
        <v>61</v>
      </c>
      <c r="B21" s="159">
        <v>45301.864583333336</v>
      </c>
      <c r="C21" s="1" t="s">
        <v>13</v>
      </c>
      <c r="D21" s="1" t="s">
        <v>14</v>
      </c>
      <c r="E21" t="s">
        <v>44</v>
      </c>
      <c r="F21" t="s">
        <v>45</v>
      </c>
      <c r="G21" s="114">
        <v>2501.0300000000002</v>
      </c>
      <c r="H21" s="1" t="s">
        <v>34</v>
      </c>
      <c r="I21" t="s">
        <v>62</v>
      </c>
      <c r="J21">
        <v>2.1</v>
      </c>
      <c r="K21">
        <v>8.7400000000000005E-2</v>
      </c>
      <c r="L21" s="114">
        <v>0</v>
      </c>
      <c r="M21" s="114">
        <v>0</v>
      </c>
      <c r="N21" s="114">
        <v>0</v>
      </c>
      <c r="O21" t="s">
        <v>1131</v>
      </c>
    </row>
    <row r="22" spans="1:15" x14ac:dyDescent="0.25">
      <c r="A22" t="s">
        <v>63</v>
      </c>
      <c r="B22" s="159">
        <v>45302.040972222225</v>
      </c>
      <c r="C22" s="1" t="s">
        <v>13</v>
      </c>
      <c r="D22" s="1" t="s">
        <v>14</v>
      </c>
      <c r="E22" t="s">
        <v>33</v>
      </c>
      <c r="F22" t="s">
        <v>29</v>
      </c>
      <c r="G22" s="114">
        <v>4535.16</v>
      </c>
      <c r="H22" s="1" t="s">
        <v>34</v>
      </c>
      <c r="I22" t="s">
        <v>35</v>
      </c>
      <c r="J22">
        <v>1.9</v>
      </c>
      <c r="K22">
        <v>8.7400000000000005E-2</v>
      </c>
      <c r="L22" s="114">
        <v>0</v>
      </c>
      <c r="M22" s="114">
        <v>0</v>
      </c>
      <c r="N22" s="114">
        <v>0</v>
      </c>
      <c r="O22" t="s">
        <v>1131</v>
      </c>
    </row>
    <row r="23" spans="1:15" x14ac:dyDescent="0.25">
      <c r="A23" t="s">
        <v>64</v>
      </c>
      <c r="B23" s="159">
        <v>45302.427777777775</v>
      </c>
      <c r="C23" s="1" t="s">
        <v>31</v>
      </c>
      <c r="D23" s="1" t="s">
        <v>32</v>
      </c>
      <c r="E23" t="s">
        <v>28</v>
      </c>
      <c r="F23" t="s">
        <v>21</v>
      </c>
      <c r="G23" s="114">
        <v>858.82</v>
      </c>
      <c r="H23" s="1" t="s">
        <v>34</v>
      </c>
      <c r="I23" t="s">
        <v>35</v>
      </c>
      <c r="J23">
        <v>2.9</v>
      </c>
      <c r="K23">
        <v>1.1801999999999999</v>
      </c>
      <c r="L23" s="114">
        <v>0</v>
      </c>
      <c r="M23" s="114">
        <v>0</v>
      </c>
      <c r="N23" s="114">
        <v>0</v>
      </c>
      <c r="O23" t="s">
        <v>1131</v>
      </c>
    </row>
    <row r="24" spans="1:15" x14ac:dyDescent="0.25">
      <c r="A24" t="s">
        <v>65</v>
      </c>
      <c r="B24" s="159">
        <v>45302.933333333334</v>
      </c>
      <c r="C24" s="1" t="s">
        <v>37</v>
      </c>
      <c r="D24" s="1" t="s">
        <v>38</v>
      </c>
      <c r="E24" t="s">
        <v>44</v>
      </c>
      <c r="F24" t="s">
        <v>21</v>
      </c>
      <c r="G24" s="114">
        <v>4494.33</v>
      </c>
      <c r="H24" s="1" t="s">
        <v>34</v>
      </c>
      <c r="I24" t="s">
        <v>55</v>
      </c>
      <c r="J24">
        <v>2.1</v>
      </c>
      <c r="K24">
        <v>0.23269999999999999</v>
      </c>
      <c r="L24" s="114">
        <v>0</v>
      </c>
      <c r="M24" s="114">
        <v>0</v>
      </c>
      <c r="N24" s="114">
        <v>0</v>
      </c>
      <c r="O24" t="s">
        <v>1131</v>
      </c>
    </row>
    <row r="25" spans="1:15" x14ac:dyDescent="0.25">
      <c r="A25" t="s">
        <v>66</v>
      </c>
      <c r="B25" s="159">
        <v>45303.395138888889</v>
      </c>
      <c r="C25" s="1" t="s">
        <v>13</v>
      </c>
      <c r="D25" s="1" t="s">
        <v>14</v>
      </c>
      <c r="E25" t="s">
        <v>15</v>
      </c>
      <c r="F25" t="s">
        <v>45</v>
      </c>
      <c r="G25" s="114">
        <v>1902.59</v>
      </c>
      <c r="H25" s="1" t="s">
        <v>22</v>
      </c>
      <c r="J25">
        <v>2.5</v>
      </c>
      <c r="K25">
        <v>8.7400000000000005E-2</v>
      </c>
      <c r="L25" s="114">
        <v>4.1567440000000007</v>
      </c>
      <c r="M25" s="114">
        <v>162.12962200000001</v>
      </c>
      <c r="N25" s="114">
        <v>166.28636600000002</v>
      </c>
      <c r="O25" t="s">
        <v>1131</v>
      </c>
    </row>
    <row r="26" spans="1:15" x14ac:dyDescent="0.25">
      <c r="A26" t="s">
        <v>67</v>
      </c>
      <c r="B26" s="159">
        <v>45303.783333333333</v>
      </c>
      <c r="C26" s="1" t="s">
        <v>47</v>
      </c>
      <c r="D26" s="1" t="s">
        <v>25</v>
      </c>
      <c r="E26" t="s">
        <v>44</v>
      </c>
      <c r="F26" t="s">
        <v>21</v>
      </c>
      <c r="G26" s="114">
        <v>1010.77</v>
      </c>
      <c r="H26" s="1" t="s">
        <v>22</v>
      </c>
      <c r="J26">
        <v>2.1</v>
      </c>
      <c r="K26">
        <v>1</v>
      </c>
      <c r="L26" s="114">
        <v>21.23</v>
      </c>
      <c r="M26" s="114">
        <v>989.54</v>
      </c>
      <c r="N26" s="114">
        <v>1010.77</v>
      </c>
      <c r="O26" t="s">
        <v>1131</v>
      </c>
    </row>
    <row r="27" spans="1:15" x14ac:dyDescent="0.25">
      <c r="A27" t="s">
        <v>68</v>
      </c>
      <c r="B27" s="159">
        <v>45304.240972222222</v>
      </c>
      <c r="C27" s="1" t="s">
        <v>37</v>
      </c>
      <c r="D27" s="1" t="s">
        <v>38</v>
      </c>
      <c r="E27" t="s">
        <v>15</v>
      </c>
      <c r="F27" t="s">
        <v>29</v>
      </c>
      <c r="G27" s="114">
        <v>1341.36</v>
      </c>
      <c r="H27" s="1" t="s">
        <v>22</v>
      </c>
      <c r="J27">
        <v>2.5</v>
      </c>
      <c r="K27">
        <v>0.23269999999999999</v>
      </c>
      <c r="L27" s="114">
        <v>7.8024310000000003</v>
      </c>
      <c r="M27" s="114">
        <v>304.33204099999995</v>
      </c>
      <c r="N27" s="114">
        <v>312.13447199999996</v>
      </c>
      <c r="O27" t="s">
        <v>1131</v>
      </c>
    </row>
    <row r="28" spans="1:15" x14ac:dyDescent="0.25">
      <c r="A28" t="s">
        <v>69</v>
      </c>
      <c r="B28" s="159">
        <v>45304.702777777777</v>
      </c>
      <c r="C28" s="1" t="s">
        <v>37</v>
      </c>
      <c r="D28" s="1" t="s">
        <v>38</v>
      </c>
      <c r="E28" t="s">
        <v>33</v>
      </c>
      <c r="F28" t="s">
        <v>45</v>
      </c>
      <c r="G28" s="114">
        <v>2233.33</v>
      </c>
      <c r="H28" s="1" t="s">
        <v>22</v>
      </c>
      <c r="J28">
        <v>1.9</v>
      </c>
      <c r="K28">
        <v>0.23269999999999999</v>
      </c>
      <c r="L28" s="114">
        <v>9.8734609999999989</v>
      </c>
      <c r="M28" s="114">
        <v>509.82243</v>
      </c>
      <c r="N28" s="114">
        <v>519.69589099999996</v>
      </c>
      <c r="O28" t="s">
        <v>1131</v>
      </c>
    </row>
    <row r="29" spans="1:15" x14ac:dyDescent="0.25">
      <c r="A29" t="s">
        <v>70</v>
      </c>
      <c r="B29" s="159">
        <v>45304.883333333331</v>
      </c>
      <c r="C29" s="1" t="s">
        <v>58</v>
      </c>
      <c r="D29" s="1" t="s">
        <v>25</v>
      </c>
      <c r="E29" t="s">
        <v>39</v>
      </c>
      <c r="F29" t="s">
        <v>21</v>
      </c>
      <c r="G29" s="114">
        <v>4323.12</v>
      </c>
      <c r="H29" s="1" t="s">
        <v>22</v>
      </c>
      <c r="J29">
        <v>3.2</v>
      </c>
      <c r="K29">
        <v>1</v>
      </c>
      <c r="L29" s="114">
        <v>138.34</v>
      </c>
      <c r="M29" s="114">
        <v>4184.78</v>
      </c>
      <c r="N29" s="114">
        <v>4323.12</v>
      </c>
      <c r="O29" t="s">
        <v>1131</v>
      </c>
    </row>
    <row r="30" spans="1:15" x14ac:dyDescent="0.25">
      <c r="A30" t="s">
        <v>71</v>
      </c>
      <c r="B30" s="159">
        <v>45306.158333333333</v>
      </c>
      <c r="C30" s="1" t="s">
        <v>47</v>
      </c>
      <c r="D30" s="1" t="s">
        <v>25</v>
      </c>
      <c r="E30" t="s">
        <v>15</v>
      </c>
      <c r="F30" t="s">
        <v>41</v>
      </c>
      <c r="G30" s="114">
        <v>2998.47</v>
      </c>
      <c r="H30" s="1" t="s">
        <v>22</v>
      </c>
      <c r="J30">
        <v>2.5</v>
      </c>
      <c r="K30">
        <v>1</v>
      </c>
      <c r="L30" s="114">
        <v>74.959999999999994</v>
      </c>
      <c r="M30" s="114">
        <v>2923.51</v>
      </c>
      <c r="N30" s="114">
        <v>2998.4700000000003</v>
      </c>
      <c r="O30" t="s">
        <v>1131</v>
      </c>
    </row>
    <row r="31" spans="1:15" x14ac:dyDescent="0.25">
      <c r="A31" t="s">
        <v>72</v>
      </c>
      <c r="B31" s="159">
        <v>45307.529861111114</v>
      </c>
      <c r="C31" s="1" t="s">
        <v>58</v>
      </c>
      <c r="D31" s="1" t="s">
        <v>25</v>
      </c>
      <c r="E31" t="s">
        <v>44</v>
      </c>
      <c r="F31" t="s">
        <v>21</v>
      </c>
      <c r="G31" s="114">
        <v>1081.43</v>
      </c>
      <c r="H31" s="1" t="s">
        <v>22</v>
      </c>
      <c r="J31">
        <v>2.1</v>
      </c>
      <c r="K31">
        <v>1</v>
      </c>
      <c r="L31" s="114">
        <v>22.71</v>
      </c>
      <c r="M31" s="114">
        <v>1058.72</v>
      </c>
      <c r="N31" s="114">
        <v>1081.43</v>
      </c>
      <c r="O31" t="s">
        <v>1131</v>
      </c>
    </row>
    <row r="32" spans="1:15" x14ac:dyDescent="0.25">
      <c r="A32" t="s">
        <v>73</v>
      </c>
      <c r="B32" s="159">
        <v>45307.589583333334</v>
      </c>
      <c r="C32" s="1" t="s">
        <v>60</v>
      </c>
      <c r="D32" s="1" t="s">
        <v>25</v>
      </c>
      <c r="E32" t="s">
        <v>33</v>
      </c>
      <c r="F32" t="s">
        <v>41</v>
      </c>
      <c r="G32" s="114">
        <v>433.04</v>
      </c>
      <c r="H32" s="1" t="s">
        <v>22</v>
      </c>
      <c r="J32">
        <v>1.9</v>
      </c>
      <c r="K32">
        <v>1</v>
      </c>
      <c r="L32" s="114">
        <v>8.23</v>
      </c>
      <c r="M32" s="114">
        <v>424.81</v>
      </c>
      <c r="N32" s="114">
        <v>433.04</v>
      </c>
      <c r="O32" t="s">
        <v>1131</v>
      </c>
    </row>
    <row r="33" spans="1:15" x14ac:dyDescent="0.25">
      <c r="A33" t="s">
        <v>74</v>
      </c>
      <c r="B33" s="159">
        <v>45308.254166666666</v>
      </c>
      <c r="C33" s="1" t="s">
        <v>43</v>
      </c>
      <c r="D33" s="1" t="s">
        <v>25</v>
      </c>
      <c r="E33" t="s">
        <v>44</v>
      </c>
      <c r="F33" t="s">
        <v>41</v>
      </c>
      <c r="G33" s="114">
        <v>168.77</v>
      </c>
      <c r="H33" s="1" t="s">
        <v>34</v>
      </c>
      <c r="I33" t="s">
        <v>55</v>
      </c>
      <c r="J33">
        <v>2.1</v>
      </c>
      <c r="K33">
        <v>1</v>
      </c>
      <c r="L33" s="114">
        <v>0</v>
      </c>
      <c r="M33" s="114">
        <v>0</v>
      </c>
      <c r="N33" s="114">
        <v>0</v>
      </c>
      <c r="O33" t="s">
        <v>1131</v>
      </c>
    </row>
    <row r="34" spans="1:15" x14ac:dyDescent="0.25">
      <c r="A34" t="s">
        <v>75</v>
      </c>
      <c r="B34" s="159">
        <v>45308.434027777781</v>
      </c>
      <c r="C34" s="1" t="s">
        <v>47</v>
      </c>
      <c r="D34" s="1" t="s">
        <v>25</v>
      </c>
      <c r="E34" t="s">
        <v>28</v>
      </c>
      <c r="F34" t="s">
        <v>29</v>
      </c>
      <c r="G34" s="114">
        <v>4566.55</v>
      </c>
      <c r="H34" s="1" t="s">
        <v>17</v>
      </c>
      <c r="J34">
        <v>2.9</v>
      </c>
      <c r="K34">
        <v>1</v>
      </c>
      <c r="L34" s="114">
        <v>0</v>
      </c>
      <c r="M34" s="114">
        <v>0</v>
      </c>
      <c r="N34" s="114">
        <v>0</v>
      </c>
      <c r="O34" t="s">
        <v>1131</v>
      </c>
    </row>
    <row r="35" spans="1:15" x14ac:dyDescent="0.25">
      <c r="A35" t="s">
        <v>76</v>
      </c>
      <c r="B35" s="159">
        <v>45308.580555555556</v>
      </c>
      <c r="C35" s="1" t="s">
        <v>31</v>
      </c>
      <c r="D35" s="1" t="s">
        <v>32</v>
      </c>
      <c r="E35" t="s">
        <v>15</v>
      </c>
      <c r="F35" t="s">
        <v>16</v>
      </c>
      <c r="G35" s="114">
        <v>1579.65</v>
      </c>
      <c r="H35" s="1" t="s">
        <v>34</v>
      </c>
      <c r="I35" t="s">
        <v>55</v>
      </c>
      <c r="J35">
        <v>2.5</v>
      </c>
      <c r="K35">
        <v>1.1801999999999999</v>
      </c>
      <c r="L35" s="114">
        <v>0</v>
      </c>
      <c r="M35" s="114">
        <v>0</v>
      </c>
      <c r="N35" s="114">
        <v>0</v>
      </c>
      <c r="O35" t="s">
        <v>1131</v>
      </c>
    </row>
    <row r="36" spans="1:15" x14ac:dyDescent="0.25">
      <c r="A36" t="s">
        <v>77</v>
      </c>
      <c r="B36" s="159">
        <v>45308.965277777781</v>
      </c>
      <c r="C36" s="1" t="s">
        <v>13</v>
      </c>
      <c r="D36" s="1" t="s">
        <v>14</v>
      </c>
      <c r="E36" t="s">
        <v>39</v>
      </c>
      <c r="F36" t="s">
        <v>41</v>
      </c>
      <c r="G36" s="114">
        <v>3011.99</v>
      </c>
      <c r="H36" s="1" t="s">
        <v>34</v>
      </c>
      <c r="I36" t="s">
        <v>78</v>
      </c>
      <c r="J36">
        <v>3.2</v>
      </c>
      <c r="K36">
        <v>8.7400000000000005E-2</v>
      </c>
      <c r="L36" s="114">
        <v>0</v>
      </c>
      <c r="M36" s="114">
        <v>0</v>
      </c>
      <c r="N36" s="114">
        <v>0</v>
      </c>
      <c r="O36" t="s">
        <v>1131</v>
      </c>
    </row>
    <row r="37" spans="1:15" x14ac:dyDescent="0.25">
      <c r="A37" t="s">
        <v>79</v>
      </c>
      <c r="B37" s="159">
        <v>45309.169444444444</v>
      </c>
      <c r="C37" s="1" t="s">
        <v>24</v>
      </c>
      <c r="D37" s="1" t="s">
        <v>25</v>
      </c>
      <c r="E37" t="s">
        <v>39</v>
      </c>
      <c r="F37" t="s">
        <v>21</v>
      </c>
      <c r="G37" s="114">
        <v>1920.44</v>
      </c>
      <c r="H37" s="1" t="s">
        <v>17</v>
      </c>
      <c r="J37">
        <v>3.2</v>
      </c>
      <c r="K37">
        <v>1</v>
      </c>
      <c r="L37" s="114">
        <v>0</v>
      </c>
      <c r="M37" s="114">
        <v>0</v>
      </c>
      <c r="N37" s="114">
        <v>0</v>
      </c>
      <c r="O37" t="s">
        <v>1131</v>
      </c>
    </row>
    <row r="38" spans="1:15" x14ac:dyDescent="0.25">
      <c r="A38" t="s">
        <v>80</v>
      </c>
      <c r="B38" s="159">
        <v>45309.270138888889</v>
      </c>
      <c r="C38" s="1" t="s">
        <v>31</v>
      </c>
      <c r="D38" s="1" t="s">
        <v>32</v>
      </c>
      <c r="E38" t="s">
        <v>33</v>
      </c>
      <c r="F38" t="s">
        <v>29</v>
      </c>
      <c r="G38" s="114">
        <v>2369.4</v>
      </c>
      <c r="H38" s="1" t="s">
        <v>22</v>
      </c>
      <c r="J38">
        <v>1.9</v>
      </c>
      <c r="K38">
        <v>1.1801999999999999</v>
      </c>
      <c r="L38" s="114">
        <v>53.132604000000001</v>
      </c>
      <c r="M38" s="114">
        <v>2743.2332759999999</v>
      </c>
      <c r="N38" s="114">
        <v>2796.3658799999998</v>
      </c>
      <c r="O38" t="s">
        <v>1131</v>
      </c>
    </row>
    <row r="39" spans="1:15" x14ac:dyDescent="0.25">
      <c r="A39" t="s">
        <v>81</v>
      </c>
      <c r="B39" s="159">
        <v>45309.890277777777</v>
      </c>
      <c r="C39" s="1" t="s">
        <v>37</v>
      </c>
      <c r="D39" s="1" t="s">
        <v>38</v>
      </c>
      <c r="E39" t="s">
        <v>15</v>
      </c>
      <c r="F39" t="s">
        <v>16</v>
      </c>
      <c r="G39" s="114">
        <v>4875.16</v>
      </c>
      <c r="H39" s="1" t="s">
        <v>17</v>
      </c>
      <c r="J39">
        <v>2.5</v>
      </c>
      <c r="K39">
        <v>0.23269999999999999</v>
      </c>
      <c r="L39" s="114">
        <v>0</v>
      </c>
      <c r="M39" s="114">
        <v>0</v>
      </c>
      <c r="N39" s="114">
        <v>0</v>
      </c>
      <c r="O39" t="s">
        <v>1131</v>
      </c>
    </row>
    <row r="40" spans="1:15" x14ac:dyDescent="0.25">
      <c r="A40" t="s">
        <v>82</v>
      </c>
      <c r="B40" s="159">
        <v>45310.188888888886</v>
      </c>
      <c r="C40" s="1" t="s">
        <v>19</v>
      </c>
      <c r="D40" s="1" t="s">
        <v>20</v>
      </c>
      <c r="E40" t="s">
        <v>39</v>
      </c>
      <c r="F40" t="s">
        <v>41</v>
      </c>
      <c r="G40" s="114">
        <v>4372.21</v>
      </c>
      <c r="H40" s="1" t="s">
        <v>34</v>
      </c>
      <c r="I40" t="s">
        <v>78</v>
      </c>
      <c r="J40">
        <v>3.2</v>
      </c>
      <c r="K40">
        <v>8.5999999999999993E-2</v>
      </c>
      <c r="L40" s="114">
        <v>0</v>
      </c>
      <c r="M40" s="114">
        <v>0</v>
      </c>
      <c r="N40" s="114">
        <v>0</v>
      </c>
      <c r="O40" t="s">
        <v>1131</v>
      </c>
    </row>
    <row r="41" spans="1:15" x14ac:dyDescent="0.25">
      <c r="A41" t="s">
        <v>83</v>
      </c>
      <c r="B41" s="159">
        <v>45310.383333333331</v>
      </c>
      <c r="C41" s="1" t="s">
        <v>60</v>
      </c>
      <c r="D41" s="1" t="s">
        <v>25</v>
      </c>
      <c r="E41" t="s">
        <v>44</v>
      </c>
      <c r="F41" t="s">
        <v>41</v>
      </c>
      <c r="G41" s="114">
        <v>1584.82</v>
      </c>
      <c r="H41" s="1" t="s">
        <v>22</v>
      </c>
      <c r="J41">
        <v>2.1</v>
      </c>
      <c r="K41">
        <v>1</v>
      </c>
      <c r="L41" s="114">
        <v>33.28</v>
      </c>
      <c r="M41" s="114">
        <v>1551.54</v>
      </c>
      <c r="N41" s="114">
        <v>1584.82</v>
      </c>
      <c r="O41" t="s">
        <v>1131</v>
      </c>
    </row>
    <row r="42" spans="1:15" x14ac:dyDescent="0.25">
      <c r="A42" t="s">
        <v>84</v>
      </c>
      <c r="B42" s="159">
        <v>45310.488888888889</v>
      </c>
      <c r="C42" s="1" t="s">
        <v>13</v>
      </c>
      <c r="D42" s="1" t="s">
        <v>14</v>
      </c>
      <c r="E42" t="s">
        <v>33</v>
      </c>
      <c r="F42" t="s">
        <v>41</v>
      </c>
      <c r="G42" s="114">
        <v>555.75</v>
      </c>
      <c r="H42" s="1" t="s">
        <v>22</v>
      </c>
      <c r="J42">
        <v>1.9</v>
      </c>
      <c r="K42">
        <v>8.7400000000000005E-2</v>
      </c>
      <c r="L42" s="114">
        <v>0.9229440000000001</v>
      </c>
      <c r="M42" s="114">
        <v>47.649606000000006</v>
      </c>
      <c r="N42" s="114">
        <v>48.572550000000007</v>
      </c>
      <c r="O42" t="s">
        <v>1131</v>
      </c>
    </row>
    <row r="43" spans="1:15" x14ac:dyDescent="0.25">
      <c r="A43" t="s">
        <v>85</v>
      </c>
      <c r="B43" s="159">
        <v>45310.642361111109</v>
      </c>
      <c r="C43" s="1" t="s">
        <v>43</v>
      </c>
      <c r="D43" s="1" t="s">
        <v>25</v>
      </c>
      <c r="E43" t="s">
        <v>33</v>
      </c>
      <c r="F43" t="s">
        <v>45</v>
      </c>
      <c r="G43" s="114">
        <v>3625.82</v>
      </c>
      <c r="H43" s="1" t="s">
        <v>34</v>
      </c>
      <c r="I43" t="s">
        <v>35</v>
      </c>
      <c r="J43">
        <v>1.9</v>
      </c>
      <c r="K43">
        <v>1</v>
      </c>
      <c r="L43" s="114">
        <v>0</v>
      </c>
      <c r="M43" s="114">
        <v>0</v>
      </c>
      <c r="N43" s="114">
        <v>0</v>
      </c>
      <c r="O43" t="s">
        <v>1131</v>
      </c>
    </row>
    <row r="44" spans="1:15" x14ac:dyDescent="0.25">
      <c r="A44" t="s">
        <v>86</v>
      </c>
      <c r="B44" s="159">
        <v>45310.719444444447</v>
      </c>
      <c r="C44" s="1" t="s">
        <v>13</v>
      </c>
      <c r="D44" s="1" t="s">
        <v>14</v>
      </c>
      <c r="E44" t="s">
        <v>33</v>
      </c>
      <c r="F44" t="s">
        <v>16</v>
      </c>
      <c r="G44" s="114">
        <v>3273</v>
      </c>
      <c r="H44" s="1" t="s">
        <v>22</v>
      </c>
      <c r="J44">
        <v>1.9</v>
      </c>
      <c r="K44">
        <v>8.7400000000000005E-2</v>
      </c>
      <c r="L44" s="114">
        <v>5.4354060000000004</v>
      </c>
      <c r="M44" s="114">
        <v>280.62479400000001</v>
      </c>
      <c r="N44" s="114">
        <v>286.06020000000001</v>
      </c>
      <c r="O44" t="s">
        <v>1131</v>
      </c>
    </row>
    <row r="45" spans="1:15" x14ac:dyDescent="0.25">
      <c r="A45" t="s">
        <v>87</v>
      </c>
      <c r="B45" s="159">
        <v>45310.743750000001</v>
      </c>
      <c r="C45" s="1" t="s">
        <v>58</v>
      </c>
      <c r="D45" s="1" t="s">
        <v>25</v>
      </c>
      <c r="E45" t="s">
        <v>44</v>
      </c>
      <c r="F45" t="s">
        <v>21</v>
      </c>
      <c r="G45" s="114">
        <v>1248.83</v>
      </c>
      <c r="H45" s="1" t="s">
        <v>22</v>
      </c>
      <c r="J45">
        <v>2.1</v>
      </c>
      <c r="K45">
        <v>1</v>
      </c>
      <c r="L45" s="114">
        <v>26.23</v>
      </c>
      <c r="M45" s="114">
        <v>1222.5999999999999</v>
      </c>
      <c r="N45" s="114">
        <v>1248.83</v>
      </c>
      <c r="O45" t="s">
        <v>1131</v>
      </c>
    </row>
    <row r="46" spans="1:15" x14ac:dyDescent="0.25">
      <c r="A46" t="s">
        <v>88</v>
      </c>
      <c r="B46" s="159">
        <v>45311.634722222225</v>
      </c>
      <c r="C46" s="1" t="s">
        <v>24</v>
      </c>
      <c r="D46" s="1" t="s">
        <v>25</v>
      </c>
      <c r="E46" t="s">
        <v>15</v>
      </c>
      <c r="F46" t="s">
        <v>21</v>
      </c>
      <c r="G46" s="114">
        <v>1532.9</v>
      </c>
      <c r="H46" s="1" t="s">
        <v>22</v>
      </c>
      <c r="J46">
        <v>2.5</v>
      </c>
      <c r="K46">
        <v>1</v>
      </c>
      <c r="L46" s="114">
        <v>38.32</v>
      </c>
      <c r="M46" s="114">
        <v>1494.58</v>
      </c>
      <c r="N46" s="114">
        <v>1532.8999999999999</v>
      </c>
      <c r="O46" t="s">
        <v>1131</v>
      </c>
    </row>
    <row r="47" spans="1:15" x14ac:dyDescent="0.25">
      <c r="A47" t="s">
        <v>89</v>
      </c>
      <c r="B47" s="159">
        <v>45312.322916666664</v>
      </c>
      <c r="C47" s="1" t="s">
        <v>43</v>
      </c>
      <c r="D47" s="1" t="s">
        <v>25</v>
      </c>
      <c r="E47" t="s">
        <v>15</v>
      </c>
      <c r="F47" t="s">
        <v>45</v>
      </c>
      <c r="G47" s="114">
        <v>2618.5100000000002</v>
      </c>
      <c r="H47" s="1" t="s">
        <v>22</v>
      </c>
      <c r="J47">
        <v>2.5</v>
      </c>
      <c r="K47">
        <v>1</v>
      </c>
      <c r="L47" s="114">
        <v>65.459999999999994</v>
      </c>
      <c r="M47" s="114">
        <v>2553.0500000000002</v>
      </c>
      <c r="N47" s="114">
        <v>2618.5100000000002</v>
      </c>
      <c r="O47" t="s">
        <v>1131</v>
      </c>
    </row>
    <row r="48" spans="1:15" x14ac:dyDescent="0.25">
      <c r="A48" t="s">
        <v>90</v>
      </c>
      <c r="B48" s="159">
        <v>45312.324999999997</v>
      </c>
      <c r="C48" s="1" t="s">
        <v>43</v>
      </c>
      <c r="D48" s="1" t="s">
        <v>25</v>
      </c>
      <c r="E48" t="s">
        <v>44</v>
      </c>
      <c r="F48" t="s">
        <v>41</v>
      </c>
      <c r="G48" s="114">
        <v>1329.14</v>
      </c>
      <c r="H48" s="1" t="s">
        <v>22</v>
      </c>
      <c r="J48">
        <v>2.1</v>
      </c>
      <c r="K48">
        <v>1</v>
      </c>
      <c r="L48" s="114">
        <v>27.91</v>
      </c>
      <c r="M48" s="114">
        <v>1301.23</v>
      </c>
      <c r="N48" s="114">
        <v>1329.14</v>
      </c>
      <c r="O48" t="s">
        <v>1131</v>
      </c>
    </row>
    <row r="49" spans="1:15" x14ac:dyDescent="0.25">
      <c r="A49" t="s">
        <v>91</v>
      </c>
      <c r="B49" s="159">
        <v>45312.913888888892</v>
      </c>
      <c r="C49" s="1" t="s">
        <v>37</v>
      </c>
      <c r="D49" s="1" t="s">
        <v>38</v>
      </c>
      <c r="E49" t="s">
        <v>15</v>
      </c>
      <c r="F49" t="s">
        <v>41</v>
      </c>
      <c r="G49" s="114">
        <v>1935.52</v>
      </c>
      <c r="H49" s="1" t="s">
        <v>17</v>
      </c>
      <c r="J49">
        <v>2.5</v>
      </c>
      <c r="K49">
        <v>0.23269999999999999</v>
      </c>
      <c r="L49" s="114">
        <v>0</v>
      </c>
      <c r="M49" s="114">
        <v>0</v>
      </c>
      <c r="N49" s="114">
        <v>0</v>
      </c>
      <c r="O49" t="s">
        <v>1131</v>
      </c>
    </row>
    <row r="50" spans="1:15" x14ac:dyDescent="0.25">
      <c r="A50" t="s">
        <v>92</v>
      </c>
      <c r="B50" s="159">
        <v>45313.40625</v>
      </c>
      <c r="C50" s="1" t="s">
        <v>31</v>
      </c>
      <c r="D50" s="1" t="s">
        <v>32</v>
      </c>
      <c r="E50" t="s">
        <v>39</v>
      </c>
      <c r="F50" t="s">
        <v>16</v>
      </c>
      <c r="G50" s="114">
        <v>3283.3</v>
      </c>
      <c r="H50" s="1" t="s">
        <v>34</v>
      </c>
      <c r="I50" t="s">
        <v>35</v>
      </c>
      <c r="J50">
        <v>3.2</v>
      </c>
      <c r="K50">
        <v>1.1801999999999999</v>
      </c>
      <c r="L50" s="114">
        <v>0</v>
      </c>
      <c r="M50" s="114">
        <v>0</v>
      </c>
      <c r="N50" s="114">
        <v>0</v>
      </c>
      <c r="O50" t="s">
        <v>1131</v>
      </c>
    </row>
    <row r="51" spans="1:15" x14ac:dyDescent="0.25">
      <c r="A51" t="s">
        <v>93</v>
      </c>
      <c r="B51" s="159">
        <v>45313.585416666669</v>
      </c>
      <c r="C51" s="1" t="s">
        <v>27</v>
      </c>
      <c r="D51" s="1" t="s">
        <v>25</v>
      </c>
      <c r="E51" t="s">
        <v>33</v>
      </c>
      <c r="F51" t="s">
        <v>16</v>
      </c>
      <c r="G51" s="114">
        <v>4110.21</v>
      </c>
      <c r="H51" s="1" t="s">
        <v>34</v>
      </c>
      <c r="I51" t="s">
        <v>55</v>
      </c>
      <c r="J51">
        <v>1.9</v>
      </c>
      <c r="K51">
        <v>1</v>
      </c>
      <c r="L51" s="114">
        <v>0</v>
      </c>
      <c r="M51" s="114">
        <v>0</v>
      </c>
      <c r="N51" s="114">
        <v>0</v>
      </c>
      <c r="O51" t="s">
        <v>1131</v>
      </c>
    </row>
    <row r="52" spans="1:15" x14ac:dyDescent="0.25">
      <c r="A52" t="s">
        <v>94</v>
      </c>
      <c r="B52" s="159">
        <v>45313.784722222219</v>
      </c>
      <c r="C52" s="1" t="s">
        <v>43</v>
      </c>
      <c r="D52" s="1" t="s">
        <v>25</v>
      </c>
      <c r="E52" t="s">
        <v>33</v>
      </c>
      <c r="F52" t="s">
        <v>29</v>
      </c>
      <c r="G52" s="114">
        <v>1863.28</v>
      </c>
      <c r="H52" s="1" t="s">
        <v>22</v>
      </c>
      <c r="J52">
        <v>1.9</v>
      </c>
      <c r="K52">
        <v>1</v>
      </c>
      <c r="L52" s="114">
        <v>35.4</v>
      </c>
      <c r="M52" s="114">
        <v>1827.88</v>
      </c>
      <c r="N52" s="114">
        <v>1863.2800000000002</v>
      </c>
      <c r="O52" t="s">
        <v>1131</v>
      </c>
    </row>
    <row r="53" spans="1:15" x14ac:dyDescent="0.25">
      <c r="A53" t="s">
        <v>95</v>
      </c>
      <c r="B53" s="159">
        <v>45314.010416666664</v>
      </c>
      <c r="C53" s="1" t="s">
        <v>60</v>
      </c>
      <c r="D53" s="1" t="s">
        <v>25</v>
      </c>
      <c r="E53" t="s">
        <v>15</v>
      </c>
      <c r="F53" t="s">
        <v>21</v>
      </c>
      <c r="G53" s="114">
        <v>1921.07</v>
      </c>
      <c r="H53" s="1" t="s">
        <v>22</v>
      </c>
      <c r="J53">
        <v>2.5</v>
      </c>
      <c r="K53">
        <v>1</v>
      </c>
      <c r="L53" s="114">
        <v>48.03</v>
      </c>
      <c r="M53" s="114">
        <v>1873.04</v>
      </c>
      <c r="N53" s="114">
        <v>1921.07</v>
      </c>
      <c r="O53" t="s">
        <v>1131</v>
      </c>
    </row>
    <row r="54" spans="1:15" x14ac:dyDescent="0.25">
      <c r="A54" t="s">
        <v>96</v>
      </c>
      <c r="B54" s="159">
        <v>45314.0625</v>
      </c>
      <c r="C54" s="1" t="s">
        <v>13</v>
      </c>
      <c r="D54" s="1" t="s">
        <v>14</v>
      </c>
      <c r="E54" t="s">
        <v>28</v>
      </c>
      <c r="F54" t="s">
        <v>16</v>
      </c>
      <c r="G54" s="114">
        <v>2660.3</v>
      </c>
      <c r="H54" s="1" t="s">
        <v>34</v>
      </c>
      <c r="I54" t="s">
        <v>78</v>
      </c>
      <c r="J54">
        <v>2.9</v>
      </c>
      <c r="K54">
        <v>8.7400000000000005E-2</v>
      </c>
      <c r="L54" s="114">
        <v>0</v>
      </c>
      <c r="M54" s="114">
        <v>0</v>
      </c>
      <c r="N54" s="114">
        <v>0</v>
      </c>
      <c r="O54" t="s">
        <v>1131</v>
      </c>
    </row>
    <row r="55" spans="1:15" x14ac:dyDescent="0.25">
      <c r="A55" t="s">
        <v>97</v>
      </c>
      <c r="B55" s="159">
        <v>45315.094444444447</v>
      </c>
      <c r="C55" s="1" t="s">
        <v>37</v>
      </c>
      <c r="D55" s="1" t="s">
        <v>38</v>
      </c>
      <c r="E55" t="s">
        <v>28</v>
      </c>
      <c r="F55" t="s">
        <v>45</v>
      </c>
      <c r="G55" s="114">
        <v>3839.97</v>
      </c>
      <c r="H55" s="1" t="s">
        <v>17</v>
      </c>
      <c r="J55">
        <v>2.9</v>
      </c>
      <c r="K55">
        <v>0.23269999999999999</v>
      </c>
      <c r="L55" s="114">
        <v>0</v>
      </c>
      <c r="M55" s="114">
        <v>0</v>
      </c>
      <c r="N55" s="114">
        <v>0</v>
      </c>
      <c r="O55" t="s">
        <v>1131</v>
      </c>
    </row>
    <row r="56" spans="1:15" x14ac:dyDescent="0.25">
      <c r="A56" t="s">
        <v>98</v>
      </c>
      <c r="B56" s="159">
        <v>45315.720138888886</v>
      </c>
      <c r="C56" s="1" t="s">
        <v>27</v>
      </c>
      <c r="D56" s="1" t="s">
        <v>25</v>
      </c>
      <c r="E56" t="s">
        <v>33</v>
      </c>
      <c r="F56" t="s">
        <v>45</v>
      </c>
      <c r="G56" s="114">
        <v>3350.73</v>
      </c>
      <c r="H56" s="1" t="s">
        <v>22</v>
      </c>
      <c r="J56">
        <v>1.9</v>
      </c>
      <c r="K56">
        <v>1</v>
      </c>
      <c r="L56" s="114">
        <v>63.66</v>
      </c>
      <c r="M56" s="114">
        <v>3287.07</v>
      </c>
      <c r="N56" s="114">
        <v>3350.73</v>
      </c>
      <c r="O56" t="s">
        <v>1131</v>
      </c>
    </row>
    <row r="57" spans="1:15" x14ac:dyDescent="0.25">
      <c r="A57" t="s">
        <v>99</v>
      </c>
      <c r="B57" s="159">
        <v>45315.867361111108</v>
      </c>
      <c r="C57" s="1" t="s">
        <v>19</v>
      </c>
      <c r="D57" s="1" t="s">
        <v>20</v>
      </c>
      <c r="E57" t="s">
        <v>39</v>
      </c>
      <c r="F57" t="s">
        <v>29</v>
      </c>
      <c r="G57" s="114">
        <v>3837.13</v>
      </c>
      <c r="H57" s="1" t="s">
        <v>34</v>
      </c>
      <c r="I57" t="s">
        <v>100</v>
      </c>
      <c r="J57">
        <v>3.2</v>
      </c>
      <c r="K57">
        <v>8.5999999999999993E-2</v>
      </c>
      <c r="L57" s="114">
        <v>0</v>
      </c>
      <c r="M57" s="114">
        <v>0</v>
      </c>
      <c r="N57" s="114">
        <v>0</v>
      </c>
      <c r="O57" t="s">
        <v>1131</v>
      </c>
    </row>
    <row r="58" spans="1:15" x14ac:dyDescent="0.25">
      <c r="A58" t="s">
        <v>101</v>
      </c>
      <c r="B58" s="159">
        <v>45316.413888888892</v>
      </c>
      <c r="C58" s="1" t="s">
        <v>47</v>
      </c>
      <c r="D58" s="1" t="s">
        <v>25</v>
      </c>
      <c r="E58" t="s">
        <v>44</v>
      </c>
      <c r="F58" t="s">
        <v>29</v>
      </c>
      <c r="G58" s="114">
        <v>4097.43</v>
      </c>
      <c r="H58" s="1" t="s">
        <v>34</v>
      </c>
      <c r="I58" t="s">
        <v>78</v>
      </c>
      <c r="J58">
        <v>2.1</v>
      </c>
      <c r="K58">
        <v>1</v>
      </c>
      <c r="L58" s="114">
        <v>0</v>
      </c>
      <c r="M58" s="114">
        <v>0</v>
      </c>
      <c r="N58" s="114">
        <v>0</v>
      </c>
      <c r="O58" t="s">
        <v>1131</v>
      </c>
    </row>
    <row r="59" spans="1:15" x14ac:dyDescent="0.25">
      <c r="A59" t="s">
        <v>102</v>
      </c>
      <c r="B59" s="159">
        <v>45317.35</v>
      </c>
      <c r="C59" s="1" t="s">
        <v>37</v>
      </c>
      <c r="D59" s="1" t="s">
        <v>38</v>
      </c>
      <c r="E59" t="s">
        <v>44</v>
      </c>
      <c r="F59" t="s">
        <v>16</v>
      </c>
      <c r="G59" s="114">
        <v>1640.96</v>
      </c>
      <c r="H59" s="1" t="s">
        <v>34</v>
      </c>
      <c r="I59" t="s">
        <v>62</v>
      </c>
      <c r="J59">
        <v>2.1</v>
      </c>
      <c r="K59">
        <v>0.23269999999999999</v>
      </c>
      <c r="L59" s="114">
        <v>0</v>
      </c>
      <c r="M59" s="114">
        <v>0</v>
      </c>
      <c r="N59" s="114">
        <v>0</v>
      </c>
      <c r="O59" t="s">
        <v>1131</v>
      </c>
    </row>
    <row r="60" spans="1:15" x14ac:dyDescent="0.25">
      <c r="A60" t="s">
        <v>103</v>
      </c>
      <c r="B60" s="159">
        <v>45317.71875</v>
      </c>
      <c r="C60" s="1" t="s">
        <v>31</v>
      </c>
      <c r="D60" s="1" t="s">
        <v>32</v>
      </c>
      <c r="E60" t="s">
        <v>15</v>
      </c>
      <c r="F60" t="s">
        <v>29</v>
      </c>
      <c r="G60" s="114">
        <v>4009.07</v>
      </c>
      <c r="H60" s="1" t="s">
        <v>17</v>
      </c>
      <c r="J60">
        <v>2.5</v>
      </c>
      <c r="K60">
        <v>1.1801999999999999</v>
      </c>
      <c r="L60" s="114">
        <v>0</v>
      </c>
      <c r="M60" s="114">
        <v>0</v>
      </c>
      <c r="N60" s="114">
        <v>0</v>
      </c>
      <c r="O60" t="s">
        <v>1131</v>
      </c>
    </row>
    <row r="61" spans="1:15" x14ac:dyDescent="0.25">
      <c r="A61" t="s">
        <v>104</v>
      </c>
      <c r="B61" s="159">
        <v>45317.979166666664</v>
      </c>
      <c r="C61" s="1" t="s">
        <v>47</v>
      </c>
      <c r="D61" s="1" t="s">
        <v>25</v>
      </c>
      <c r="E61" t="s">
        <v>39</v>
      </c>
      <c r="F61" t="s">
        <v>41</v>
      </c>
      <c r="G61" s="114">
        <v>1695.95</v>
      </c>
      <c r="H61" s="1" t="s">
        <v>22</v>
      </c>
      <c r="J61">
        <v>3.2</v>
      </c>
      <c r="K61">
        <v>1</v>
      </c>
      <c r="L61" s="114">
        <v>54.27</v>
      </c>
      <c r="M61" s="114">
        <v>1641.68</v>
      </c>
      <c r="N61" s="114">
        <v>1695.95</v>
      </c>
      <c r="O61" t="s">
        <v>1131</v>
      </c>
    </row>
    <row r="62" spans="1:15" x14ac:dyDescent="0.25">
      <c r="A62" t="s">
        <v>105</v>
      </c>
      <c r="B62" s="159">
        <v>45318.416666666664</v>
      </c>
      <c r="C62" s="1" t="s">
        <v>31</v>
      </c>
      <c r="D62" s="1" t="s">
        <v>32</v>
      </c>
      <c r="E62" t="s">
        <v>15</v>
      </c>
      <c r="F62" t="s">
        <v>16</v>
      </c>
      <c r="G62" s="114">
        <v>4244.6000000000004</v>
      </c>
      <c r="H62" s="1" t="s">
        <v>17</v>
      </c>
      <c r="J62">
        <v>2.5</v>
      </c>
      <c r="K62">
        <v>1.1801999999999999</v>
      </c>
      <c r="L62" s="114">
        <v>0</v>
      </c>
      <c r="M62" s="114">
        <v>0</v>
      </c>
      <c r="N62" s="114">
        <v>0</v>
      </c>
      <c r="O62" t="s">
        <v>1131</v>
      </c>
    </row>
    <row r="63" spans="1:15" x14ac:dyDescent="0.25">
      <c r="A63" t="s">
        <v>106</v>
      </c>
      <c r="B63" s="159">
        <v>45318.457638888889</v>
      </c>
      <c r="C63" s="1" t="s">
        <v>24</v>
      </c>
      <c r="D63" s="1" t="s">
        <v>25</v>
      </c>
      <c r="E63" t="s">
        <v>15</v>
      </c>
      <c r="F63" t="s">
        <v>21</v>
      </c>
      <c r="G63" s="114">
        <v>4983.7299999999996</v>
      </c>
      <c r="H63" s="1" t="s">
        <v>17</v>
      </c>
      <c r="J63">
        <v>2.5</v>
      </c>
      <c r="K63">
        <v>1</v>
      </c>
      <c r="L63" s="114">
        <v>0</v>
      </c>
      <c r="M63" s="114">
        <v>0</v>
      </c>
      <c r="N63" s="114">
        <v>0</v>
      </c>
      <c r="O63" t="s">
        <v>1131</v>
      </c>
    </row>
    <row r="64" spans="1:15" x14ac:dyDescent="0.25">
      <c r="A64" t="s">
        <v>107</v>
      </c>
      <c r="B64" s="159">
        <v>45318.770833333336</v>
      </c>
      <c r="C64" s="1" t="s">
        <v>27</v>
      </c>
      <c r="D64" s="1" t="s">
        <v>25</v>
      </c>
      <c r="E64" t="s">
        <v>33</v>
      </c>
      <c r="F64" t="s">
        <v>45</v>
      </c>
      <c r="G64" s="114">
        <v>3875.28</v>
      </c>
      <c r="H64" s="1" t="s">
        <v>34</v>
      </c>
      <c r="I64" t="s">
        <v>35</v>
      </c>
      <c r="J64">
        <v>1.9</v>
      </c>
      <c r="K64">
        <v>1</v>
      </c>
      <c r="L64" s="114">
        <v>0</v>
      </c>
      <c r="M64" s="114">
        <v>0</v>
      </c>
      <c r="N64" s="114">
        <v>0</v>
      </c>
      <c r="O64" t="s">
        <v>1131</v>
      </c>
    </row>
    <row r="65" spans="1:15" x14ac:dyDescent="0.25">
      <c r="A65" t="s">
        <v>108</v>
      </c>
      <c r="B65" s="159">
        <v>45319.256249999999</v>
      </c>
      <c r="C65" s="1" t="s">
        <v>60</v>
      </c>
      <c r="D65" s="1" t="s">
        <v>25</v>
      </c>
      <c r="E65" t="s">
        <v>44</v>
      </c>
      <c r="F65" t="s">
        <v>29</v>
      </c>
      <c r="G65" s="114">
        <v>188.95</v>
      </c>
      <c r="H65" s="1" t="s">
        <v>22</v>
      </c>
      <c r="J65">
        <v>2.1</v>
      </c>
      <c r="K65">
        <v>1</v>
      </c>
      <c r="L65" s="114">
        <v>3.97</v>
      </c>
      <c r="M65" s="114">
        <v>184.98</v>
      </c>
      <c r="N65" s="114">
        <v>188.95</v>
      </c>
      <c r="O65" t="s">
        <v>1131</v>
      </c>
    </row>
    <row r="66" spans="1:15" x14ac:dyDescent="0.25">
      <c r="A66" t="s">
        <v>109</v>
      </c>
      <c r="B66" s="159">
        <v>45319.458333333336</v>
      </c>
      <c r="C66" s="1" t="s">
        <v>43</v>
      </c>
      <c r="D66" s="1" t="s">
        <v>25</v>
      </c>
      <c r="E66" t="s">
        <v>44</v>
      </c>
      <c r="F66" t="s">
        <v>29</v>
      </c>
      <c r="G66" s="114">
        <v>4077.93</v>
      </c>
      <c r="H66" s="1" t="s">
        <v>17</v>
      </c>
      <c r="J66">
        <v>2.1</v>
      </c>
      <c r="K66">
        <v>1</v>
      </c>
      <c r="L66" s="114">
        <v>0</v>
      </c>
      <c r="M66" s="114">
        <v>0</v>
      </c>
      <c r="N66" s="114">
        <v>0</v>
      </c>
      <c r="O66" t="s">
        <v>1131</v>
      </c>
    </row>
    <row r="67" spans="1:15" x14ac:dyDescent="0.25">
      <c r="A67" t="s">
        <v>110</v>
      </c>
      <c r="B67" s="159">
        <v>45320.009027777778</v>
      </c>
      <c r="C67" s="1" t="s">
        <v>47</v>
      </c>
      <c r="D67" s="1" t="s">
        <v>25</v>
      </c>
      <c r="E67" t="s">
        <v>44</v>
      </c>
      <c r="F67" t="s">
        <v>29</v>
      </c>
      <c r="G67" s="114">
        <v>3823.16</v>
      </c>
      <c r="H67" s="1" t="s">
        <v>22</v>
      </c>
      <c r="J67">
        <v>2.1</v>
      </c>
      <c r="K67">
        <v>1</v>
      </c>
      <c r="L67" s="114">
        <v>80.290000000000006</v>
      </c>
      <c r="M67" s="114">
        <v>3742.87</v>
      </c>
      <c r="N67" s="114">
        <v>3823.16</v>
      </c>
      <c r="O67" t="s">
        <v>1131</v>
      </c>
    </row>
    <row r="68" spans="1:15" x14ac:dyDescent="0.25">
      <c r="A68" t="s">
        <v>111</v>
      </c>
      <c r="B68" s="159">
        <v>45320.097222222219</v>
      </c>
      <c r="C68" s="1" t="s">
        <v>19</v>
      </c>
      <c r="D68" s="1" t="s">
        <v>20</v>
      </c>
      <c r="E68" t="s">
        <v>39</v>
      </c>
      <c r="F68" t="s">
        <v>41</v>
      </c>
      <c r="G68" s="114">
        <v>4503.87</v>
      </c>
      <c r="H68" s="1" t="s">
        <v>34</v>
      </c>
      <c r="I68" t="s">
        <v>62</v>
      </c>
      <c r="J68">
        <v>3.2</v>
      </c>
      <c r="K68">
        <v>8.5999999999999993E-2</v>
      </c>
      <c r="L68" s="114">
        <v>0</v>
      </c>
      <c r="M68" s="114">
        <v>0</v>
      </c>
      <c r="N68" s="114">
        <v>0</v>
      </c>
      <c r="O68" t="s">
        <v>1131</v>
      </c>
    </row>
    <row r="69" spans="1:15" x14ac:dyDescent="0.25">
      <c r="A69" t="s">
        <v>112</v>
      </c>
      <c r="B69" s="159">
        <v>45320.318055555559</v>
      </c>
      <c r="C69" s="1" t="s">
        <v>24</v>
      </c>
      <c r="D69" s="1" t="s">
        <v>25</v>
      </c>
      <c r="E69" t="s">
        <v>28</v>
      </c>
      <c r="F69" t="s">
        <v>45</v>
      </c>
      <c r="G69" s="114">
        <v>2395.17</v>
      </c>
      <c r="H69" s="1" t="s">
        <v>22</v>
      </c>
      <c r="J69">
        <v>2.9</v>
      </c>
      <c r="K69">
        <v>1</v>
      </c>
      <c r="L69" s="114">
        <v>69.459999999999994</v>
      </c>
      <c r="M69" s="114">
        <v>2325.71</v>
      </c>
      <c r="N69" s="114">
        <v>2395.17</v>
      </c>
      <c r="O69" t="s">
        <v>1131</v>
      </c>
    </row>
    <row r="70" spans="1:15" x14ac:dyDescent="0.25">
      <c r="A70" t="s">
        <v>113</v>
      </c>
      <c r="B70" s="159">
        <v>45320.885416666664</v>
      </c>
      <c r="C70" s="1" t="s">
        <v>24</v>
      </c>
      <c r="D70" s="1" t="s">
        <v>25</v>
      </c>
      <c r="E70" t="s">
        <v>44</v>
      </c>
      <c r="F70" t="s">
        <v>21</v>
      </c>
      <c r="G70" s="114">
        <v>2966.73</v>
      </c>
      <c r="H70" s="1" t="s">
        <v>22</v>
      </c>
      <c r="J70">
        <v>2.1</v>
      </c>
      <c r="K70">
        <v>1</v>
      </c>
      <c r="L70" s="114">
        <v>62.3</v>
      </c>
      <c r="M70" s="114">
        <v>2904.43</v>
      </c>
      <c r="N70" s="114">
        <v>2966.73</v>
      </c>
      <c r="O70" t="s">
        <v>1131</v>
      </c>
    </row>
    <row r="71" spans="1:15" x14ac:dyDescent="0.25">
      <c r="A71" t="s">
        <v>114</v>
      </c>
      <c r="B71" s="159">
        <v>45320.961111111108</v>
      </c>
      <c r="C71" s="1" t="s">
        <v>13</v>
      </c>
      <c r="D71" s="1" t="s">
        <v>14</v>
      </c>
      <c r="E71" t="s">
        <v>33</v>
      </c>
      <c r="F71" t="s">
        <v>16</v>
      </c>
      <c r="G71" s="114">
        <v>471.83</v>
      </c>
      <c r="H71" s="1" t="s">
        <v>22</v>
      </c>
      <c r="J71">
        <v>1.9</v>
      </c>
      <c r="K71">
        <v>8.7400000000000005E-2</v>
      </c>
      <c r="L71" s="114">
        <v>0.78310400000000013</v>
      </c>
      <c r="M71" s="114">
        <v>40.454838000000002</v>
      </c>
      <c r="N71" s="114">
        <v>41.237942000000004</v>
      </c>
      <c r="O71" t="s">
        <v>1131</v>
      </c>
    </row>
    <row r="72" spans="1:15" x14ac:dyDescent="0.25">
      <c r="A72" t="s">
        <v>115</v>
      </c>
      <c r="B72" s="159">
        <v>45321.067361111112</v>
      </c>
      <c r="C72" s="1" t="s">
        <v>43</v>
      </c>
      <c r="D72" s="1" t="s">
        <v>25</v>
      </c>
      <c r="E72" t="s">
        <v>33</v>
      </c>
      <c r="F72" t="s">
        <v>45</v>
      </c>
      <c r="G72" s="114">
        <v>795.59</v>
      </c>
      <c r="H72" s="1" t="s">
        <v>17</v>
      </c>
      <c r="J72">
        <v>1.9</v>
      </c>
      <c r="K72">
        <v>1</v>
      </c>
      <c r="L72" s="114">
        <v>0</v>
      </c>
      <c r="M72" s="114">
        <v>0</v>
      </c>
      <c r="N72" s="114">
        <v>0</v>
      </c>
      <c r="O72" t="s">
        <v>1131</v>
      </c>
    </row>
    <row r="73" spans="1:15" x14ac:dyDescent="0.25">
      <c r="A73" t="s">
        <v>116</v>
      </c>
      <c r="B73" s="159">
        <v>45321.330555555556</v>
      </c>
      <c r="C73" s="1" t="s">
        <v>19</v>
      </c>
      <c r="D73" s="1" t="s">
        <v>20</v>
      </c>
      <c r="E73" t="s">
        <v>28</v>
      </c>
      <c r="F73" t="s">
        <v>41</v>
      </c>
      <c r="G73" s="114">
        <v>3662.22</v>
      </c>
      <c r="H73" s="1" t="s">
        <v>22</v>
      </c>
      <c r="J73">
        <v>2.9</v>
      </c>
      <c r="K73">
        <v>8.5999999999999993E-2</v>
      </c>
      <c r="L73" s="114">
        <v>9.1331999999999987</v>
      </c>
      <c r="M73" s="114">
        <v>305.81771999999995</v>
      </c>
      <c r="N73" s="114">
        <v>314.95091999999994</v>
      </c>
      <c r="O73" t="s">
        <v>1131</v>
      </c>
    </row>
    <row r="74" spans="1:15" x14ac:dyDescent="0.25">
      <c r="A74" t="s">
        <v>117</v>
      </c>
      <c r="B74" s="159">
        <v>45321.728472222225</v>
      </c>
      <c r="C74" s="1" t="s">
        <v>47</v>
      </c>
      <c r="D74" s="1" t="s">
        <v>25</v>
      </c>
      <c r="E74" t="s">
        <v>28</v>
      </c>
      <c r="F74" t="s">
        <v>16</v>
      </c>
      <c r="G74" s="114">
        <v>1279.74</v>
      </c>
      <c r="H74" s="1" t="s">
        <v>22</v>
      </c>
      <c r="J74">
        <v>2.9</v>
      </c>
      <c r="K74">
        <v>1</v>
      </c>
      <c r="L74" s="114">
        <v>37.11</v>
      </c>
      <c r="M74" s="114">
        <v>1242.6300000000001</v>
      </c>
      <c r="N74" s="114">
        <v>1279.74</v>
      </c>
      <c r="O74" t="s">
        <v>1131</v>
      </c>
    </row>
    <row r="75" spans="1:15" x14ac:dyDescent="0.25">
      <c r="A75" t="s">
        <v>118</v>
      </c>
      <c r="B75" s="159">
        <v>45323.025694444441</v>
      </c>
      <c r="C75" s="1" t="s">
        <v>60</v>
      </c>
      <c r="D75" s="1" t="s">
        <v>25</v>
      </c>
      <c r="E75" t="s">
        <v>44</v>
      </c>
      <c r="F75" t="s">
        <v>21</v>
      </c>
      <c r="G75" s="114">
        <v>1750.9</v>
      </c>
      <c r="H75" s="1" t="s">
        <v>17</v>
      </c>
      <c r="J75">
        <v>2.1</v>
      </c>
      <c r="K75">
        <v>1</v>
      </c>
      <c r="L75" s="114">
        <v>0</v>
      </c>
      <c r="M75" s="114">
        <v>0</v>
      </c>
      <c r="N75" s="114">
        <v>0</v>
      </c>
      <c r="O75" t="s">
        <v>1132</v>
      </c>
    </row>
    <row r="76" spans="1:15" x14ac:dyDescent="0.25">
      <c r="A76" t="s">
        <v>119</v>
      </c>
      <c r="B76" s="159">
        <v>45323.497916666667</v>
      </c>
      <c r="C76" s="1" t="s">
        <v>13</v>
      </c>
      <c r="D76" s="1" t="s">
        <v>14</v>
      </c>
      <c r="E76" t="s">
        <v>28</v>
      </c>
      <c r="F76" t="s">
        <v>41</v>
      </c>
      <c r="G76" s="114">
        <v>3519.74</v>
      </c>
      <c r="H76" s="1" t="s">
        <v>22</v>
      </c>
      <c r="J76">
        <v>2.9</v>
      </c>
      <c r="K76">
        <v>8.7400000000000005E-2</v>
      </c>
      <c r="L76" s="114">
        <v>8.9209180000000003</v>
      </c>
      <c r="M76" s="114">
        <v>298.70435800000001</v>
      </c>
      <c r="N76" s="114">
        <v>307.62527599999999</v>
      </c>
      <c r="O76" t="s">
        <v>1132</v>
      </c>
    </row>
    <row r="77" spans="1:15" x14ac:dyDescent="0.25">
      <c r="A77" t="s">
        <v>120</v>
      </c>
      <c r="B77" s="159">
        <v>45323.667361111111</v>
      </c>
      <c r="C77" s="1" t="s">
        <v>58</v>
      </c>
      <c r="D77" s="1" t="s">
        <v>25</v>
      </c>
      <c r="E77" t="s">
        <v>33</v>
      </c>
      <c r="F77" t="s">
        <v>21</v>
      </c>
      <c r="G77" s="114">
        <v>2770.75</v>
      </c>
      <c r="H77" s="1" t="s">
        <v>22</v>
      </c>
      <c r="J77">
        <v>1.9</v>
      </c>
      <c r="K77">
        <v>1</v>
      </c>
      <c r="L77" s="114">
        <v>52.64</v>
      </c>
      <c r="M77" s="114">
        <v>2718.11</v>
      </c>
      <c r="N77" s="114">
        <v>2770.75</v>
      </c>
      <c r="O77" t="s">
        <v>1132</v>
      </c>
    </row>
    <row r="78" spans="1:15" x14ac:dyDescent="0.25">
      <c r="A78" t="s">
        <v>121</v>
      </c>
      <c r="B78" s="159">
        <v>45323.854166666664</v>
      </c>
      <c r="C78" s="1" t="s">
        <v>19</v>
      </c>
      <c r="D78" s="1" t="s">
        <v>20</v>
      </c>
      <c r="E78" t="s">
        <v>44</v>
      </c>
      <c r="F78" t="s">
        <v>45</v>
      </c>
      <c r="G78" s="114">
        <v>267.58</v>
      </c>
      <c r="H78" s="1" t="s">
        <v>22</v>
      </c>
      <c r="J78">
        <v>2.1</v>
      </c>
      <c r="K78">
        <v>8.5999999999999993E-2</v>
      </c>
      <c r="L78" s="114">
        <v>0.48331999999999997</v>
      </c>
      <c r="M78" s="114">
        <v>22.528559999999995</v>
      </c>
      <c r="N78" s="114">
        <v>23.011879999999994</v>
      </c>
      <c r="O78" t="s">
        <v>1132</v>
      </c>
    </row>
    <row r="79" spans="1:15" x14ac:dyDescent="0.25">
      <c r="A79" t="s">
        <v>122</v>
      </c>
      <c r="B79" s="159">
        <v>45324.161805555559</v>
      </c>
      <c r="C79" s="1" t="s">
        <v>43</v>
      </c>
      <c r="D79" s="1" t="s">
        <v>25</v>
      </c>
      <c r="E79" t="s">
        <v>33</v>
      </c>
      <c r="F79" t="s">
        <v>45</v>
      </c>
      <c r="G79" s="114">
        <v>92.01</v>
      </c>
      <c r="H79" s="1" t="s">
        <v>17</v>
      </c>
      <c r="J79">
        <v>1.9</v>
      </c>
      <c r="K79">
        <v>1</v>
      </c>
      <c r="L79" s="114">
        <v>0</v>
      </c>
      <c r="M79" s="114">
        <v>0</v>
      </c>
      <c r="N79" s="114">
        <v>0</v>
      </c>
      <c r="O79" t="s">
        <v>1132</v>
      </c>
    </row>
    <row r="80" spans="1:15" x14ac:dyDescent="0.25">
      <c r="A80" t="s">
        <v>123</v>
      </c>
      <c r="B80" s="159">
        <v>45324.268750000003</v>
      </c>
      <c r="C80" s="1" t="s">
        <v>37</v>
      </c>
      <c r="D80" s="1" t="s">
        <v>38</v>
      </c>
      <c r="E80" t="s">
        <v>15</v>
      </c>
      <c r="F80" t="s">
        <v>21</v>
      </c>
      <c r="G80" s="114">
        <v>612.79999999999995</v>
      </c>
      <c r="H80" s="1" t="s">
        <v>17</v>
      </c>
      <c r="J80">
        <v>2.5</v>
      </c>
      <c r="K80">
        <v>0.23269999999999999</v>
      </c>
      <c r="L80" s="114">
        <v>0</v>
      </c>
      <c r="M80" s="114">
        <v>0</v>
      </c>
      <c r="N80" s="114">
        <v>0</v>
      </c>
      <c r="O80" t="s">
        <v>1132</v>
      </c>
    </row>
    <row r="81" spans="1:15" x14ac:dyDescent="0.25">
      <c r="A81" t="s">
        <v>124</v>
      </c>
      <c r="B81" s="159">
        <v>45324.51666666667</v>
      </c>
      <c r="C81" s="1" t="s">
        <v>19</v>
      </c>
      <c r="D81" s="1" t="s">
        <v>20</v>
      </c>
      <c r="E81" t="s">
        <v>15</v>
      </c>
      <c r="F81" t="s">
        <v>45</v>
      </c>
      <c r="G81" s="114">
        <v>1264.56</v>
      </c>
      <c r="H81" s="1" t="s">
        <v>17</v>
      </c>
      <c r="J81">
        <v>2.5</v>
      </c>
      <c r="K81">
        <v>8.5999999999999993E-2</v>
      </c>
      <c r="L81" s="114">
        <v>0</v>
      </c>
      <c r="M81" s="114">
        <v>0</v>
      </c>
      <c r="N81" s="114">
        <v>0</v>
      </c>
      <c r="O81" t="s">
        <v>1132</v>
      </c>
    </row>
    <row r="82" spans="1:15" x14ac:dyDescent="0.25">
      <c r="A82" t="s">
        <v>125</v>
      </c>
      <c r="B82" s="159">
        <v>45324.842361111114</v>
      </c>
      <c r="C82" s="1" t="s">
        <v>58</v>
      </c>
      <c r="D82" s="1" t="s">
        <v>25</v>
      </c>
      <c r="E82" t="s">
        <v>39</v>
      </c>
      <c r="F82" t="s">
        <v>21</v>
      </c>
      <c r="G82" s="114">
        <v>3233.75</v>
      </c>
      <c r="H82" s="1" t="s">
        <v>22</v>
      </c>
      <c r="J82">
        <v>3.2</v>
      </c>
      <c r="K82">
        <v>1</v>
      </c>
      <c r="L82" s="114">
        <v>103.48</v>
      </c>
      <c r="M82" s="114">
        <v>3130.27</v>
      </c>
      <c r="N82" s="114">
        <v>3233.75</v>
      </c>
      <c r="O82" t="s">
        <v>1132</v>
      </c>
    </row>
    <row r="83" spans="1:15" x14ac:dyDescent="0.25">
      <c r="A83" t="s">
        <v>126</v>
      </c>
      <c r="B83" s="159">
        <v>45325.289583333331</v>
      </c>
      <c r="C83" s="1" t="s">
        <v>43</v>
      </c>
      <c r="D83" s="1" t="s">
        <v>25</v>
      </c>
      <c r="E83" t="s">
        <v>44</v>
      </c>
      <c r="F83" t="s">
        <v>41</v>
      </c>
      <c r="G83" s="114">
        <v>4526.34</v>
      </c>
      <c r="H83" s="1" t="s">
        <v>22</v>
      </c>
      <c r="J83">
        <v>2.1</v>
      </c>
      <c r="K83">
        <v>1</v>
      </c>
      <c r="L83" s="114">
        <v>95.05</v>
      </c>
      <c r="M83" s="114">
        <v>4431.29</v>
      </c>
      <c r="N83" s="114">
        <v>4526.34</v>
      </c>
      <c r="O83" t="s">
        <v>1132</v>
      </c>
    </row>
    <row r="84" spans="1:15" x14ac:dyDescent="0.25">
      <c r="A84" t="s">
        <v>127</v>
      </c>
      <c r="B84" s="159">
        <v>45326.376388888886</v>
      </c>
      <c r="C84" s="1" t="s">
        <v>31</v>
      </c>
      <c r="D84" s="1" t="s">
        <v>32</v>
      </c>
      <c r="E84" t="s">
        <v>28</v>
      </c>
      <c r="F84" t="s">
        <v>21</v>
      </c>
      <c r="G84" s="114">
        <v>3243.37</v>
      </c>
      <c r="H84" s="1" t="s">
        <v>22</v>
      </c>
      <c r="J84">
        <v>2.9</v>
      </c>
      <c r="K84">
        <v>1.1801999999999999</v>
      </c>
      <c r="L84" s="114">
        <v>111.00961199999999</v>
      </c>
      <c r="M84" s="114">
        <v>3716.8156619999995</v>
      </c>
      <c r="N84" s="114">
        <v>3827.8252739999994</v>
      </c>
      <c r="O84" t="s">
        <v>1132</v>
      </c>
    </row>
    <row r="85" spans="1:15" x14ac:dyDescent="0.25">
      <c r="A85" t="s">
        <v>128</v>
      </c>
      <c r="B85" s="159">
        <v>45326.529166666667</v>
      </c>
      <c r="C85" s="1" t="s">
        <v>47</v>
      </c>
      <c r="D85" s="1" t="s">
        <v>25</v>
      </c>
      <c r="E85" t="s">
        <v>39</v>
      </c>
      <c r="F85" t="s">
        <v>41</v>
      </c>
      <c r="G85" s="114">
        <v>105.2</v>
      </c>
      <c r="H85" s="1" t="s">
        <v>34</v>
      </c>
      <c r="I85" t="s">
        <v>35</v>
      </c>
      <c r="J85">
        <v>3.2</v>
      </c>
      <c r="K85">
        <v>1</v>
      </c>
      <c r="L85" s="114">
        <v>0</v>
      </c>
      <c r="M85" s="114">
        <v>0</v>
      </c>
      <c r="N85" s="114">
        <v>0</v>
      </c>
      <c r="O85" t="s">
        <v>1132</v>
      </c>
    </row>
    <row r="86" spans="1:15" x14ac:dyDescent="0.25">
      <c r="A86" t="s">
        <v>129</v>
      </c>
      <c r="B86" s="159">
        <v>45327.199305555558</v>
      </c>
      <c r="C86" s="1" t="s">
        <v>60</v>
      </c>
      <c r="D86" s="1" t="s">
        <v>25</v>
      </c>
      <c r="E86" t="s">
        <v>28</v>
      </c>
      <c r="F86" t="s">
        <v>45</v>
      </c>
      <c r="G86" s="114">
        <v>1083.51</v>
      </c>
      <c r="H86" s="1" t="s">
        <v>34</v>
      </c>
      <c r="I86" t="s">
        <v>55</v>
      </c>
      <c r="J86">
        <v>2.9</v>
      </c>
      <c r="K86">
        <v>1</v>
      </c>
      <c r="L86" s="114">
        <v>0</v>
      </c>
      <c r="M86" s="114">
        <v>0</v>
      </c>
      <c r="N86" s="114">
        <v>0</v>
      </c>
      <c r="O86" t="s">
        <v>1132</v>
      </c>
    </row>
    <row r="87" spans="1:15" x14ac:dyDescent="0.25">
      <c r="A87" t="s">
        <v>130</v>
      </c>
      <c r="B87" s="159">
        <v>45327.367361111108</v>
      </c>
      <c r="C87" s="1" t="s">
        <v>58</v>
      </c>
      <c r="D87" s="1" t="s">
        <v>25</v>
      </c>
      <c r="E87" t="s">
        <v>39</v>
      </c>
      <c r="F87" t="s">
        <v>45</v>
      </c>
      <c r="G87" s="114">
        <v>1343.19</v>
      </c>
      <c r="H87" s="1" t="s">
        <v>22</v>
      </c>
      <c r="J87">
        <v>3.2</v>
      </c>
      <c r="K87">
        <v>1</v>
      </c>
      <c r="L87" s="114">
        <v>42.98</v>
      </c>
      <c r="M87" s="114">
        <v>1300.21</v>
      </c>
      <c r="N87" s="114">
        <v>1343.19</v>
      </c>
      <c r="O87" t="s">
        <v>1132</v>
      </c>
    </row>
    <row r="88" spans="1:15" x14ac:dyDescent="0.25">
      <c r="A88" t="s">
        <v>131</v>
      </c>
      <c r="B88" s="159">
        <v>45328.074305555558</v>
      </c>
      <c r="C88" s="1" t="s">
        <v>27</v>
      </c>
      <c r="D88" s="1" t="s">
        <v>25</v>
      </c>
      <c r="E88" t="s">
        <v>15</v>
      </c>
      <c r="F88" t="s">
        <v>41</v>
      </c>
      <c r="G88" s="114">
        <v>2361.39</v>
      </c>
      <c r="H88" s="1" t="s">
        <v>17</v>
      </c>
      <c r="J88">
        <v>2.5</v>
      </c>
      <c r="K88">
        <v>1</v>
      </c>
      <c r="L88" s="114">
        <v>0</v>
      </c>
      <c r="M88" s="114">
        <v>0</v>
      </c>
      <c r="N88" s="114">
        <v>0</v>
      </c>
      <c r="O88" t="s">
        <v>1132</v>
      </c>
    </row>
    <row r="89" spans="1:15" x14ac:dyDescent="0.25">
      <c r="A89" t="s">
        <v>132</v>
      </c>
      <c r="B89" s="159">
        <v>45328.090277777781</v>
      </c>
      <c r="C89" s="1" t="s">
        <v>37</v>
      </c>
      <c r="D89" s="1" t="s">
        <v>38</v>
      </c>
      <c r="E89" t="s">
        <v>44</v>
      </c>
      <c r="F89" t="s">
        <v>21</v>
      </c>
      <c r="G89" s="114">
        <v>1591.22</v>
      </c>
      <c r="H89" s="1" t="s">
        <v>22</v>
      </c>
      <c r="J89">
        <v>2.1</v>
      </c>
      <c r="K89">
        <v>0.23269999999999999</v>
      </c>
      <c r="L89" s="114">
        <v>7.776834</v>
      </c>
      <c r="M89" s="114">
        <v>362.50005999999996</v>
      </c>
      <c r="N89" s="114">
        <v>370.27689399999997</v>
      </c>
      <c r="O89" t="s">
        <v>1132</v>
      </c>
    </row>
    <row r="90" spans="1:15" x14ac:dyDescent="0.25">
      <c r="A90" t="s">
        <v>133</v>
      </c>
      <c r="B90" s="159">
        <v>45328.37777777778</v>
      </c>
      <c r="C90" s="1" t="s">
        <v>24</v>
      </c>
      <c r="D90" s="1" t="s">
        <v>25</v>
      </c>
      <c r="E90" t="s">
        <v>33</v>
      </c>
      <c r="F90" t="s">
        <v>41</v>
      </c>
      <c r="G90" s="114">
        <v>515.11</v>
      </c>
      <c r="H90" s="1" t="s">
        <v>22</v>
      </c>
      <c r="J90">
        <v>1.9</v>
      </c>
      <c r="K90">
        <v>1</v>
      </c>
      <c r="L90" s="114">
        <v>9.7899999999999991</v>
      </c>
      <c r="M90" s="114">
        <v>505.32</v>
      </c>
      <c r="N90" s="114">
        <v>515.11</v>
      </c>
      <c r="O90" t="s">
        <v>1132</v>
      </c>
    </row>
    <row r="91" spans="1:15" x14ac:dyDescent="0.25">
      <c r="A91" t="s">
        <v>134</v>
      </c>
      <c r="B91" s="159">
        <v>45328.538194444445</v>
      </c>
      <c r="C91" s="1" t="s">
        <v>60</v>
      </c>
      <c r="D91" s="1" t="s">
        <v>25</v>
      </c>
      <c r="E91" t="s">
        <v>15</v>
      </c>
      <c r="F91" t="s">
        <v>41</v>
      </c>
      <c r="G91" s="114">
        <v>2304.17</v>
      </c>
      <c r="H91" s="1" t="s">
        <v>22</v>
      </c>
      <c r="J91">
        <v>2.5</v>
      </c>
      <c r="K91">
        <v>1</v>
      </c>
      <c r="L91" s="114">
        <v>57.6</v>
      </c>
      <c r="M91" s="114">
        <v>2246.5700000000002</v>
      </c>
      <c r="N91" s="114">
        <v>2304.17</v>
      </c>
      <c r="O91" t="s">
        <v>1132</v>
      </c>
    </row>
    <row r="92" spans="1:15" x14ac:dyDescent="0.25">
      <c r="A92" t="s">
        <v>135</v>
      </c>
      <c r="B92" s="159">
        <v>45328.677083333336</v>
      </c>
      <c r="C92" s="1" t="s">
        <v>47</v>
      </c>
      <c r="D92" s="1" t="s">
        <v>25</v>
      </c>
      <c r="E92" t="s">
        <v>15</v>
      </c>
      <c r="F92" t="s">
        <v>29</v>
      </c>
      <c r="G92" s="114">
        <v>2700.78</v>
      </c>
      <c r="H92" s="1" t="s">
        <v>17</v>
      </c>
      <c r="J92">
        <v>2.5</v>
      </c>
      <c r="K92">
        <v>1</v>
      </c>
      <c r="L92" s="114">
        <v>0</v>
      </c>
      <c r="M92" s="114">
        <v>0</v>
      </c>
      <c r="N92" s="114">
        <v>0</v>
      </c>
      <c r="O92" t="s">
        <v>1132</v>
      </c>
    </row>
    <row r="93" spans="1:15" x14ac:dyDescent="0.25">
      <c r="A93" t="s">
        <v>136</v>
      </c>
      <c r="B93" s="159">
        <v>45328.705555555556</v>
      </c>
      <c r="C93" s="1" t="s">
        <v>60</v>
      </c>
      <c r="D93" s="1" t="s">
        <v>25</v>
      </c>
      <c r="E93" t="s">
        <v>39</v>
      </c>
      <c r="F93" t="s">
        <v>21</v>
      </c>
      <c r="G93" s="114">
        <v>668.59</v>
      </c>
      <c r="H93" s="1" t="s">
        <v>17</v>
      </c>
      <c r="J93">
        <v>3.2</v>
      </c>
      <c r="K93">
        <v>1</v>
      </c>
      <c r="L93" s="114">
        <v>0</v>
      </c>
      <c r="M93" s="114">
        <v>0</v>
      </c>
      <c r="N93" s="114">
        <v>0</v>
      </c>
      <c r="O93" t="s">
        <v>1132</v>
      </c>
    </row>
    <row r="94" spans="1:15" x14ac:dyDescent="0.25">
      <c r="A94" t="s">
        <v>137</v>
      </c>
      <c r="B94" s="159">
        <v>45329.095138888886</v>
      </c>
      <c r="C94" s="1" t="s">
        <v>27</v>
      </c>
      <c r="D94" s="1" t="s">
        <v>25</v>
      </c>
      <c r="E94" t="s">
        <v>15</v>
      </c>
      <c r="F94" t="s">
        <v>29</v>
      </c>
      <c r="G94" s="114">
        <v>3700.88</v>
      </c>
      <c r="H94" s="1" t="s">
        <v>22</v>
      </c>
      <c r="J94">
        <v>2.5</v>
      </c>
      <c r="K94">
        <v>1</v>
      </c>
      <c r="L94" s="114">
        <v>92.52</v>
      </c>
      <c r="M94" s="114">
        <v>3608.36</v>
      </c>
      <c r="N94" s="114">
        <v>3700.88</v>
      </c>
      <c r="O94" t="s">
        <v>1132</v>
      </c>
    </row>
    <row r="95" spans="1:15" x14ac:dyDescent="0.25">
      <c r="A95" t="s">
        <v>138</v>
      </c>
      <c r="B95" s="159">
        <v>45329.180555555555</v>
      </c>
      <c r="C95" s="1" t="s">
        <v>31</v>
      </c>
      <c r="D95" s="1" t="s">
        <v>32</v>
      </c>
      <c r="E95" t="s">
        <v>15</v>
      </c>
      <c r="F95" t="s">
        <v>16</v>
      </c>
      <c r="G95" s="114">
        <v>3403.74</v>
      </c>
      <c r="H95" s="1" t="s">
        <v>22</v>
      </c>
      <c r="J95">
        <v>2.5</v>
      </c>
      <c r="K95">
        <v>1.1801999999999999</v>
      </c>
      <c r="L95" s="114">
        <v>100.42321799999999</v>
      </c>
      <c r="M95" s="114">
        <v>3916.6707299999998</v>
      </c>
      <c r="N95" s="114">
        <v>4017.0939479999997</v>
      </c>
      <c r="O95" t="s">
        <v>1132</v>
      </c>
    </row>
    <row r="96" spans="1:15" x14ac:dyDescent="0.25">
      <c r="A96" t="s">
        <v>139</v>
      </c>
      <c r="B96" s="159">
        <v>45329.285416666666</v>
      </c>
      <c r="C96" s="1" t="s">
        <v>19</v>
      </c>
      <c r="D96" s="1" t="s">
        <v>20</v>
      </c>
      <c r="E96" t="s">
        <v>33</v>
      </c>
      <c r="F96" t="s">
        <v>29</v>
      </c>
      <c r="G96" s="114">
        <v>2402.1799999999998</v>
      </c>
      <c r="H96" s="1" t="s">
        <v>22</v>
      </c>
      <c r="J96">
        <v>1.9</v>
      </c>
      <c r="K96">
        <v>8.5999999999999993E-2</v>
      </c>
      <c r="L96" s="114">
        <v>3.9250399999999996</v>
      </c>
      <c r="M96" s="114">
        <v>202.66243999999998</v>
      </c>
      <c r="N96" s="114">
        <v>206.58747999999997</v>
      </c>
      <c r="O96" t="s">
        <v>1132</v>
      </c>
    </row>
    <row r="97" spans="1:15" x14ac:dyDescent="0.25">
      <c r="A97" t="s">
        <v>140</v>
      </c>
      <c r="B97" s="159">
        <v>45329.522222222222</v>
      </c>
      <c r="C97" s="1" t="s">
        <v>43</v>
      </c>
      <c r="D97" s="1" t="s">
        <v>25</v>
      </c>
      <c r="E97" t="s">
        <v>33</v>
      </c>
      <c r="F97" t="s">
        <v>21</v>
      </c>
      <c r="G97" s="114">
        <v>4128.3</v>
      </c>
      <c r="H97" s="1" t="s">
        <v>17</v>
      </c>
      <c r="J97">
        <v>1.9</v>
      </c>
      <c r="K97">
        <v>1</v>
      </c>
      <c r="L97" s="114">
        <v>0</v>
      </c>
      <c r="M97" s="114">
        <v>0</v>
      </c>
      <c r="N97" s="114">
        <v>0</v>
      </c>
      <c r="O97" t="s">
        <v>1132</v>
      </c>
    </row>
    <row r="98" spans="1:15" x14ac:dyDescent="0.25">
      <c r="A98" t="s">
        <v>141</v>
      </c>
      <c r="B98" s="159">
        <v>45330.747916666667</v>
      </c>
      <c r="C98" s="1" t="s">
        <v>31</v>
      </c>
      <c r="D98" s="1" t="s">
        <v>32</v>
      </c>
      <c r="E98" t="s">
        <v>39</v>
      </c>
      <c r="F98" t="s">
        <v>45</v>
      </c>
      <c r="G98" s="114">
        <v>4926.53</v>
      </c>
      <c r="H98" s="1" t="s">
        <v>34</v>
      </c>
      <c r="I98" t="s">
        <v>78</v>
      </c>
      <c r="J98">
        <v>3.2</v>
      </c>
      <c r="K98">
        <v>1.1801999999999999</v>
      </c>
      <c r="L98" s="114">
        <v>0</v>
      </c>
      <c r="M98" s="114">
        <v>0</v>
      </c>
      <c r="N98" s="114">
        <v>0</v>
      </c>
      <c r="O98" t="s">
        <v>1132</v>
      </c>
    </row>
    <row r="99" spans="1:15" x14ac:dyDescent="0.25">
      <c r="A99" t="s">
        <v>142</v>
      </c>
      <c r="B99" s="159">
        <v>45330.868055555555</v>
      </c>
      <c r="C99" s="1" t="s">
        <v>31</v>
      </c>
      <c r="D99" s="1" t="s">
        <v>32</v>
      </c>
      <c r="E99" t="s">
        <v>15</v>
      </c>
      <c r="F99" t="s">
        <v>45</v>
      </c>
      <c r="G99" s="114">
        <v>3751.51</v>
      </c>
      <c r="H99" s="1" t="s">
        <v>22</v>
      </c>
      <c r="J99">
        <v>2.5</v>
      </c>
      <c r="K99">
        <v>1.1801999999999999</v>
      </c>
      <c r="L99" s="114">
        <v>110.69095799999999</v>
      </c>
      <c r="M99" s="114">
        <v>4316.8411439999991</v>
      </c>
      <c r="N99" s="114">
        <v>4427.5321019999992</v>
      </c>
      <c r="O99" t="s">
        <v>1132</v>
      </c>
    </row>
    <row r="100" spans="1:15" x14ac:dyDescent="0.25">
      <c r="A100" t="s">
        <v>143</v>
      </c>
      <c r="B100" s="159">
        <v>45330.877083333333</v>
      </c>
      <c r="C100" s="1" t="s">
        <v>60</v>
      </c>
      <c r="D100" s="1" t="s">
        <v>25</v>
      </c>
      <c r="E100" t="s">
        <v>15</v>
      </c>
      <c r="F100" t="s">
        <v>29</v>
      </c>
      <c r="G100" s="114">
        <v>4214.3</v>
      </c>
      <c r="H100" s="1" t="s">
        <v>22</v>
      </c>
      <c r="J100">
        <v>2.5</v>
      </c>
      <c r="K100">
        <v>1</v>
      </c>
      <c r="L100" s="114">
        <v>105.36</v>
      </c>
      <c r="M100" s="114">
        <v>4108.9399999999996</v>
      </c>
      <c r="N100" s="114">
        <v>4214.2999999999993</v>
      </c>
      <c r="O100" t="s">
        <v>1132</v>
      </c>
    </row>
    <row r="101" spans="1:15" x14ac:dyDescent="0.25">
      <c r="A101" t="s">
        <v>144</v>
      </c>
      <c r="B101" s="159">
        <v>45331.412499999999</v>
      </c>
      <c r="C101" s="1" t="s">
        <v>31</v>
      </c>
      <c r="D101" s="1" t="s">
        <v>32</v>
      </c>
      <c r="E101" t="s">
        <v>33</v>
      </c>
      <c r="F101" t="s">
        <v>45</v>
      </c>
      <c r="G101" s="114">
        <v>4177.25</v>
      </c>
      <c r="H101" s="1" t="s">
        <v>17</v>
      </c>
      <c r="J101">
        <v>1.9</v>
      </c>
      <c r="K101">
        <v>1.1801999999999999</v>
      </c>
      <c r="L101" s="114">
        <v>0</v>
      </c>
      <c r="M101" s="114">
        <v>0</v>
      </c>
      <c r="N101" s="114">
        <v>0</v>
      </c>
      <c r="O101" t="s">
        <v>1132</v>
      </c>
    </row>
    <row r="102" spans="1:15" x14ac:dyDescent="0.25">
      <c r="A102" t="s">
        <v>145</v>
      </c>
      <c r="B102" s="159">
        <v>45331.765972222223</v>
      </c>
      <c r="C102" s="1" t="s">
        <v>31</v>
      </c>
      <c r="D102" s="1" t="s">
        <v>32</v>
      </c>
      <c r="E102" t="s">
        <v>33</v>
      </c>
      <c r="F102" t="s">
        <v>41</v>
      </c>
      <c r="G102" s="114">
        <v>904.93</v>
      </c>
      <c r="H102" s="1" t="s">
        <v>17</v>
      </c>
      <c r="J102">
        <v>1.9</v>
      </c>
      <c r="K102">
        <v>1.1801999999999999</v>
      </c>
      <c r="L102" s="114">
        <v>0</v>
      </c>
      <c r="M102" s="114">
        <v>0</v>
      </c>
      <c r="N102" s="114">
        <v>0</v>
      </c>
      <c r="O102" t="s">
        <v>1132</v>
      </c>
    </row>
    <row r="103" spans="1:15" x14ac:dyDescent="0.25">
      <c r="A103" t="s">
        <v>146</v>
      </c>
      <c r="B103" s="159">
        <v>45331.869444444441</v>
      </c>
      <c r="C103" s="1" t="s">
        <v>47</v>
      </c>
      <c r="D103" s="1" t="s">
        <v>25</v>
      </c>
      <c r="E103" t="s">
        <v>33</v>
      </c>
      <c r="F103" t="s">
        <v>21</v>
      </c>
      <c r="G103" s="114">
        <v>2170.2199999999998</v>
      </c>
      <c r="H103" s="1" t="s">
        <v>17</v>
      </c>
      <c r="J103">
        <v>1.9</v>
      </c>
      <c r="K103">
        <v>1</v>
      </c>
      <c r="L103" s="114">
        <v>0</v>
      </c>
      <c r="M103" s="114">
        <v>0</v>
      </c>
      <c r="N103" s="114">
        <v>0</v>
      </c>
      <c r="O103" t="s">
        <v>1132</v>
      </c>
    </row>
    <row r="104" spans="1:15" x14ac:dyDescent="0.25">
      <c r="A104" t="s">
        <v>147</v>
      </c>
      <c r="B104" s="159">
        <v>45332.568055555559</v>
      </c>
      <c r="C104" s="1" t="s">
        <v>27</v>
      </c>
      <c r="D104" s="1" t="s">
        <v>25</v>
      </c>
      <c r="E104" t="s">
        <v>33</v>
      </c>
      <c r="F104" t="s">
        <v>21</v>
      </c>
      <c r="G104" s="114">
        <v>1612.85</v>
      </c>
      <c r="H104" s="1" t="s">
        <v>22</v>
      </c>
      <c r="J104">
        <v>1.9</v>
      </c>
      <c r="K104">
        <v>1</v>
      </c>
      <c r="L104" s="114">
        <v>30.64</v>
      </c>
      <c r="M104" s="114">
        <v>1582.21</v>
      </c>
      <c r="N104" s="114">
        <v>1612.8500000000001</v>
      </c>
      <c r="O104" t="s">
        <v>1132</v>
      </c>
    </row>
    <row r="105" spans="1:15" x14ac:dyDescent="0.25">
      <c r="A105" t="s">
        <v>148</v>
      </c>
      <c r="B105" s="159">
        <v>45332.793055555558</v>
      </c>
      <c r="C105" s="1" t="s">
        <v>58</v>
      </c>
      <c r="D105" s="1" t="s">
        <v>25</v>
      </c>
      <c r="E105" t="s">
        <v>15</v>
      </c>
      <c r="F105" t="s">
        <v>45</v>
      </c>
      <c r="G105" s="114">
        <v>3284.31</v>
      </c>
      <c r="H105" s="1" t="s">
        <v>22</v>
      </c>
      <c r="J105">
        <v>2.5</v>
      </c>
      <c r="K105">
        <v>1</v>
      </c>
      <c r="L105" s="114">
        <v>82.11</v>
      </c>
      <c r="M105" s="114">
        <v>3202.2</v>
      </c>
      <c r="N105" s="114">
        <v>3284.31</v>
      </c>
      <c r="O105" t="s">
        <v>1132</v>
      </c>
    </row>
    <row r="106" spans="1:15" x14ac:dyDescent="0.25">
      <c r="A106" t="s">
        <v>149</v>
      </c>
      <c r="B106" s="159">
        <v>45333.085416666669</v>
      </c>
      <c r="C106" s="1" t="s">
        <v>58</v>
      </c>
      <c r="D106" s="1" t="s">
        <v>25</v>
      </c>
      <c r="E106" t="s">
        <v>44</v>
      </c>
      <c r="F106" t="s">
        <v>16</v>
      </c>
      <c r="G106" s="114">
        <v>1081.77</v>
      </c>
      <c r="H106" s="1" t="s">
        <v>22</v>
      </c>
      <c r="J106">
        <v>2.1</v>
      </c>
      <c r="K106">
        <v>1</v>
      </c>
      <c r="L106" s="114">
        <v>22.72</v>
      </c>
      <c r="M106" s="114">
        <v>1059.05</v>
      </c>
      <c r="N106" s="114">
        <v>1081.77</v>
      </c>
      <c r="O106" t="s">
        <v>1132</v>
      </c>
    </row>
    <row r="107" spans="1:15" x14ac:dyDescent="0.25">
      <c r="A107" t="s">
        <v>150</v>
      </c>
      <c r="B107" s="159">
        <v>45333.168749999997</v>
      </c>
      <c r="C107" s="1" t="s">
        <v>47</v>
      </c>
      <c r="D107" s="1" t="s">
        <v>25</v>
      </c>
      <c r="E107" t="s">
        <v>15</v>
      </c>
      <c r="F107" t="s">
        <v>41</v>
      </c>
      <c r="G107" s="114">
        <v>2720.53</v>
      </c>
      <c r="H107" s="1" t="s">
        <v>22</v>
      </c>
      <c r="J107">
        <v>2.5</v>
      </c>
      <c r="K107">
        <v>1</v>
      </c>
      <c r="L107" s="114">
        <v>68.010000000000005</v>
      </c>
      <c r="M107" s="114">
        <v>2652.52</v>
      </c>
      <c r="N107" s="114">
        <v>2720.53</v>
      </c>
      <c r="O107" t="s">
        <v>1132</v>
      </c>
    </row>
    <row r="108" spans="1:15" x14ac:dyDescent="0.25">
      <c r="A108" t="s">
        <v>151</v>
      </c>
      <c r="B108" s="159">
        <v>45334.401388888888</v>
      </c>
      <c r="C108" s="1" t="s">
        <v>13</v>
      </c>
      <c r="D108" s="1" t="s">
        <v>14</v>
      </c>
      <c r="E108" t="s">
        <v>15</v>
      </c>
      <c r="F108" t="s">
        <v>21</v>
      </c>
      <c r="G108" s="114">
        <v>953.21</v>
      </c>
      <c r="H108" s="1" t="s">
        <v>22</v>
      </c>
      <c r="J108">
        <v>2.5</v>
      </c>
      <c r="K108">
        <v>8.7400000000000005E-2</v>
      </c>
      <c r="L108" s="114">
        <v>2.0827420000000001</v>
      </c>
      <c r="M108" s="114">
        <v>81.227812</v>
      </c>
      <c r="N108" s="114">
        <v>83.310553999999996</v>
      </c>
      <c r="O108" t="s">
        <v>1132</v>
      </c>
    </row>
    <row r="109" spans="1:15" x14ac:dyDescent="0.25">
      <c r="A109" t="s">
        <v>152</v>
      </c>
      <c r="B109" s="159">
        <v>45334.662499999999</v>
      </c>
      <c r="C109" s="1" t="s">
        <v>58</v>
      </c>
      <c r="D109" s="1" t="s">
        <v>25</v>
      </c>
      <c r="E109" t="s">
        <v>39</v>
      </c>
      <c r="F109" t="s">
        <v>45</v>
      </c>
      <c r="G109" s="114">
        <v>4886.87</v>
      </c>
      <c r="H109" s="1" t="s">
        <v>22</v>
      </c>
      <c r="J109">
        <v>3.2</v>
      </c>
      <c r="K109">
        <v>1</v>
      </c>
      <c r="L109" s="114">
        <v>156.38</v>
      </c>
      <c r="M109" s="114">
        <v>4730.49</v>
      </c>
      <c r="N109" s="114">
        <v>4886.87</v>
      </c>
      <c r="O109" t="s">
        <v>1132</v>
      </c>
    </row>
    <row r="110" spans="1:15" x14ac:dyDescent="0.25">
      <c r="A110" t="s">
        <v>153</v>
      </c>
      <c r="B110" s="159">
        <v>45335.349305555559</v>
      </c>
      <c r="C110" s="1" t="s">
        <v>58</v>
      </c>
      <c r="D110" s="1" t="s">
        <v>25</v>
      </c>
      <c r="E110" t="s">
        <v>39</v>
      </c>
      <c r="F110" t="s">
        <v>29</v>
      </c>
      <c r="G110" s="114">
        <v>766.54</v>
      </c>
      <c r="H110" s="1" t="s">
        <v>17</v>
      </c>
      <c r="J110">
        <v>3.2</v>
      </c>
      <c r="K110">
        <v>1</v>
      </c>
      <c r="L110" s="114">
        <v>0</v>
      </c>
      <c r="M110" s="114">
        <v>0</v>
      </c>
      <c r="N110" s="114">
        <v>0</v>
      </c>
      <c r="O110" t="s">
        <v>1132</v>
      </c>
    </row>
    <row r="111" spans="1:15" x14ac:dyDescent="0.25">
      <c r="A111" t="s">
        <v>154</v>
      </c>
      <c r="B111" s="159">
        <v>45335.754166666666</v>
      </c>
      <c r="C111" s="1" t="s">
        <v>13</v>
      </c>
      <c r="D111" s="1" t="s">
        <v>14</v>
      </c>
      <c r="E111" t="s">
        <v>44</v>
      </c>
      <c r="F111" t="s">
        <v>16</v>
      </c>
      <c r="G111" s="114">
        <v>383.4</v>
      </c>
      <c r="H111" s="1" t="s">
        <v>17</v>
      </c>
      <c r="J111">
        <v>2.1</v>
      </c>
      <c r="K111">
        <v>8.7400000000000005E-2</v>
      </c>
      <c r="L111" s="114">
        <v>0</v>
      </c>
      <c r="M111" s="114">
        <v>0</v>
      </c>
      <c r="N111" s="114">
        <v>0</v>
      </c>
      <c r="O111" t="s">
        <v>1132</v>
      </c>
    </row>
    <row r="112" spans="1:15" x14ac:dyDescent="0.25">
      <c r="A112" t="s">
        <v>155</v>
      </c>
      <c r="B112" s="159">
        <v>45336.04583333333</v>
      </c>
      <c r="C112" s="1" t="s">
        <v>58</v>
      </c>
      <c r="D112" s="1" t="s">
        <v>25</v>
      </c>
      <c r="E112" t="s">
        <v>44</v>
      </c>
      <c r="F112" t="s">
        <v>29</v>
      </c>
      <c r="G112" s="114">
        <v>3363.73</v>
      </c>
      <c r="H112" s="1" t="s">
        <v>17</v>
      </c>
      <c r="J112">
        <v>2.1</v>
      </c>
      <c r="K112">
        <v>1</v>
      </c>
      <c r="L112" s="114">
        <v>0</v>
      </c>
      <c r="M112" s="114">
        <v>0</v>
      </c>
      <c r="N112" s="114">
        <v>0</v>
      </c>
      <c r="O112" t="s">
        <v>1132</v>
      </c>
    </row>
    <row r="113" spans="1:15" x14ac:dyDescent="0.25">
      <c r="A113" t="s">
        <v>156</v>
      </c>
      <c r="B113" s="159">
        <v>45336.130555555559</v>
      </c>
      <c r="C113" s="1" t="s">
        <v>31</v>
      </c>
      <c r="D113" s="1" t="s">
        <v>32</v>
      </c>
      <c r="E113" t="s">
        <v>33</v>
      </c>
      <c r="F113" t="s">
        <v>16</v>
      </c>
      <c r="G113" s="114">
        <v>1764.16</v>
      </c>
      <c r="H113" s="1" t="s">
        <v>34</v>
      </c>
      <c r="I113" t="s">
        <v>62</v>
      </c>
      <c r="J113">
        <v>1.9</v>
      </c>
      <c r="K113">
        <v>1.1801999999999999</v>
      </c>
      <c r="L113" s="114">
        <v>0</v>
      </c>
      <c r="M113" s="114">
        <v>0</v>
      </c>
      <c r="N113" s="114">
        <v>0</v>
      </c>
      <c r="O113" t="s">
        <v>1132</v>
      </c>
    </row>
    <row r="114" spans="1:15" x14ac:dyDescent="0.25">
      <c r="A114" t="s">
        <v>157</v>
      </c>
      <c r="B114" s="159">
        <v>45336.227083333331</v>
      </c>
      <c r="C114" s="1" t="s">
        <v>43</v>
      </c>
      <c r="D114" s="1" t="s">
        <v>25</v>
      </c>
      <c r="E114" t="s">
        <v>33</v>
      </c>
      <c r="F114" t="s">
        <v>45</v>
      </c>
      <c r="G114" s="114">
        <v>2567.08</v>
      </c>
      <c r="H114" s="1" t="s">
        <v>22</v>
      </c>
      <c r="J114">
        <v>1.9</v>
      </c>
      <c r="K114">
        <v>1</v>
      </c>
      <c r="L114" s="114">
        <v>48.77</v>
      </c>
      <c r="M114" s="114">
        <v>2518.31</v>
      </c>
      <c r="N114" s="114">
        <v>2567.08</v>
      </c>
      <c r="O114" t="s">
        <v>1132</v>
      </c>
    </row>
    <row r="115" spans="1:15" x14ac:dyDescent="0.25">
      <c r="A115" t="s">
        <v>158</v>
      </c>
      <c r="B115" s="159">
        <v>45337.018055555556</v>
      </c>
      <c r="C115" s="1" t="s">
        <v>47</v>
      </c>
      <c r="D115" s="1" t="s">
        <v>25</v>
      </c>
      <c r="E115" t="s">
        <v>15</v>
      </c>
      <c r="F115" t="s">
        <v>29</v>
      </c>
      <c r="G115" s="114">
        <v>2783.51</v>
      </c>
      <c r="H115" s="1" t="s">
        <v>17</v>
      </c>
      <c r="J115">
        <v>2.5</v>
      </c>
      <c r="K115">
        <v>1</v>
      </c>
      <c r="L115" s="114">
        <v>0</v>
      </c>
      <c r="M115" s="114">
        <v>0</v>
      </c>
      <c r="N115" s="114">
        <v>0</v>
      </c>
      <c r="O115" t="s">
        <v>1132</v>
      </c>
    </row>
    <row r="116" spans="1:15" x14ac:dyDescent="0.25">
      <c r="A116" t="s">
        <v>159</v>
      </c>
      <c r="B116" s="159">
        <v>45337.482638888891</v>
      </c>
      <c r="C116" s="1" t="s">
        <v>31</v>
      </c>
      <c r="D116" s="1" t="s">
        <v>32</v>
      </c>
      <c r="E116" t="s">
        <v>33</v>
      </c>
      <c r="F116" t="s">
        <v>45</v>
      </c>
      <c r="G116" s="114">
        <v>3924.35</v>
      </c>
      <c r="H116" s="1" t="s">
        <v>34</v>
      </c>
      <c r="I116" t="s">
        <v>78</v>
      </c>
      <c r="J116">
        <v>1.9</v>
      </c>
      <c r="K116">
        <v>1.1801999999999999</v>
      </c>
      <c r="L116" s="114">
        <v>0</v>
      </c>
      <c r="M116" s="114">
        <v>0</v>
      </c>
      <c r="N116" s="114">
        <v>0</v>
      </c>
      <c r="O116" t="s">
        <v>1132</v>
      </c>
    </row>
    <row r="117" spans="1:15" x14ac:dyDescent="0.25">
      <c r="A117" t="s">
        <v>160</v>
      </c>
      <c r="B117" s="159">
        <v>45338.079861111109</v>
      </c>
      <c r="C117" s="1" t="s">
        <v>31</v>
      </c>
      <c r="D117" s="1" t="s">
        <v>32</v>
      </c>
      <c r="E117" t="s">
        <v>44</v>
      </c>
      <c r="F117" t="s">
        <v>29</v>
      </c>
      <c r="G117" s="114">
        <v>3962.48</v>
      </c>
      <c r="H117" s="1" t="s">
        <v>34</v>
      </c>
      <c r="I117" t="s">
        <v>100</v>
      </c>
      <c r="J117">
        <v>2.1</v>
      </c>
      <c r="K117">
        <v>1.1801999999999999</v>
      </c>
      <c r="L117" s="114">
        <v>0</v>
      </c>
      <c r="M117" s="114">
        <v>0</v>
      </c>
      <c r="N117" s="114">
        <v>0</v>
      </c>
      <c r="O117" t="s">
        <v>1132</v>
      </c>
    </row>
    <row r="118" spans="1:15" x14ac:dyDescent="0.25">
      <c r="A118" t="s">
        <v>161</v>
      </c>
      <c r="B118" s="159">
        <v>45338.086805555555</v>
      </c>
      <c r="C118" s="1" t="s">
        <v>58</v>
      </c>
      <c r="D118" s="1" t="s">
        <v>25</v>
      </c>
      <c r="E118" t="s">
        <v>28</v>
      </c>
      <c r="F118" t="s">
        <v>21</v>
      </c>
      <c r="G118" s="114">
        <v>4060.73</v>
      </c>
      <c r="H118" s="1" t="s">
        <v>17</v>
      </c>
      <c r="J118">
        <v>2.9</v>
      </c>
      <c r="K118">
        <v>1</v>
      </c>
      <c r="L118" s="114">
        <v>0</v>
      </c>
      <c r="M118" s="114">
        <v>0</v>
      </c>
      <c r="N118" s="114">
        <v>0</v>
      </c>
      <c r="O118" t="s">
        <v>1132</v>
      </c>
    </row>
    <row r="119" spans="1:15" x14ac:dyDescent="0.25">
      <c r="A119" t="s">
        <v>162</v>
      </c>
      <c r="B119" s="159">
        <v>45338.15625</v>
      </c>
      <c r="C119" s="1" t="s">
        <v>43</v>
      </c>
      <c r="D119" s="1" t="s">
        <v>25</v>
      </c>
      <c r="E119" t="s">
        <v>39</v>
      </c>
      <c r="F119" t="s">
        <v>41</v>
      </c>
      <c r="G119" s="114">
        <v>2623.85</v>
      </c>
      <c r="H119" s="1" t="s">
        <v>34</v>
      </c>
      <c r="I119" t="s">
        <v>100</v>
      </c>
      <c r="J119">
        <v>3.2</v>
      </c>
      <c r="K119">
        <v>1</v>
      </c>
      <c r="L119" s="114">
        <v>0</v>
      </c>
      <c r="M119" s="114">
        <v>0</v>
      </c>
      <c r="N119" s="114">
        <v>0</v>
      </c>
      <c r="O119" t="s">
        <v>1132</v>
      </c>
    </row>
    <row r="120" spans="1:15" x14ac:dyDescent="0.25">
      <c r="A120" t="s">
        <v>163</v>
      </c>
      <c r="B120" s="159">
        <v>45338.669444444444</v>
      </c>
      <c r="C120" s="1" t="s">
        <v>31</v>
      </c>
      <c r="D120" s="1" t="s">
        <v>32</v>
      </c>
      <c r="E120" t="s">
        <v>39</v>
      </c>
      <c r="F120" t="s">
        <v>29</v>
      </c>
      <c r="G120" s="114">
        <v>2289.19</v>
      </c>
      <c r="H120" s="1" t="s">
        <v>22</v>
      </c>
      <c r="J120">
        <v>3.2</v>
      </c>
      <c r="K120">
        <v>1.1801999999999999</v>
      </c>
      <c r="L120" s="114">
        <v>86.449649999999991</v>
      </c>
      <c r="M120" s="114">
        <v>2615.2523879999999</v>
      </c>
      <c r="N120" s="114">
        <v>2701.7020379999999</v>
      </c>
      <c r="O120" t="s">
        <v>1132</v>
      </c>
    </row>
    <row r="121" spans="1:15" x14ac:dyDescent="0.25">
      <c r="A121" t="s">
        <v>164</v>
      </c>
      <c r="B121" s="159">
        <v>45338.686111111114</v>
      </c>
      <c r="C121" s="1" t="s">
        <v>60</v>
      </c>
      <c r="D121" s="1" t="s">
        <v>25</v>
      </c>
      <c r="E121" t="s">
        <v>15</v>
      </c>
      <c r="F121" t="s">
        <v>29</v>
      </c>
      <c r="G121" s="114">
        <v>2571.11</v>
      </c>
      <c r="H121" s="1" t="s">
        <v>34</v>
      </c>
      <c r="I121" t="s">
        <v>100</v>
      </c>
      <c r="J121">
        <v>2.5</v>
      </c>
      <c r="K121">
        <v>1</v>
      </c>
      <c r="L121" s="114">
        <v>0</v>
      </c>
      <c r="M121" s="114">
        <v>0</v>
      </c>
      <c r="N121" s="114">
        <v>0</v>
      </c>
      <c r="O121" t="s">
        <v>1132</v>
      </c>
    </row>
    <row r="122" spans="1:15" x14ac:dyDescent="0.25">
      <c r="A122" t="s">
        <v>165</v>
      </c>
      <c r="B122" s="159">
        <v>45338.818749999999</v>
      </c>
      <c r="C122" s="1" t="s">
        <v>47</v>
      </c>
      <c r="D122" s="1" t="s">
        <v>25</v>
      </c>
      <c r="E122" t="s">
        <v>33</v>
      </c>
      <c r="F122" t="s">
        <v>45</v>
      </c>
      <c r="G122" s="114">
        <v>1042.19</v>
      </c>
      <c r="H122" s="1" t="s">
        <v>34</v>
      </c>
      <c r="I122" t="s">
        <v>62</v>
      </c>
      <c r="J122">
        <v>1.9</v>
      </c>
      <c r="K122">
        <v>1</v>
      </c>
      <c r="L122" s="114">
        <v>0</v>
      </c>
      <c r="M122" s="114">
        <v>0</v>
      </c>
      <c r="N122" s="114">
        <v>0</v>
      </c>
      <c r="O122" t="s">
        <v>1132</v>
      </c>
    </row>
    <row r="123" spans="1:15" x14ac:dyDescent="0.25">
      <c r="A123" t="s">
        <v>166</v>
      </c>
      <c r="B123" s="159">
        <v>45338.884027777778</v>
      </c>
      <c r="C123" s="1" t="s">
        <v>19</v>
      </c>
      <c r="D123" s="1" t="s">
        <v>20</v>
      </c>
      <c r="E123" t="s">
        <v>28</v>
      </c>
      <c r="F123" t="s">
        <v>41</v>
      </c>
      <c r="G123" s="114">
        <v>3936.11</v>
      </c>
      <c r="H123" s="1" t="s">
        <v>22</v>
      </c>
      <c r="J123">
        <v>2.9</v>
      </c>
      <c r="K123">
        <v>8.5999999999999993E-2</v>
      </c>
      <c r="L123" s="114">
        <v>9.8169000000000004</v>
      </c>
      <c r="M123" s="114">
        <v>328.68856</v>
      </c>
      <c r="N123" s="114">
        <v>338.50545999999997</v>
      </c>
      <c r="O123" t="s">
        <v>1132</v>
      </c>
    </row>
    <row r="124" spans="1:15" x14ac:dyDescent="0.25">
      <c r="A124" t="s">
        <v>167</v>
      </c>
      <c r="B124" s="159">
        <v>45339.081944444442</v>
      </c>
      <c r="C124" s="1" t="s">
        <v>24</v>
      </c>
      <c r="D124" s="1" t="s">
        <v>25</v>
      </c>
      <c r="E124" t="s">
        <v>33</v>
      </c>
      <c r="F124" t="s">
        <v>16</v>
      </c>
      <c r="G124" s="114">
        <v>3507.23</v>
      </c>
      <c r="H124" s="1" t="s">
        <v>22</v>
      </c>
      <c r="J124">
        <v>1.9</v>
      </c>
      <c r="K124">
        <v>1</v>
      </c>
      <c r="L124" s="114">
        <v>66.64</v>
      </c>
      <c r="M124" s="114">
        <v>3440.59</v>
      </c>
      <c r="N124" s="114">
        <v>3507.23</v>
      </c>
      <c r="O124" t="s">
        <v>1132</v>
      </c>
    </row>
    <row r="125" spans="1:15" x14ac:dyDescent="0.25">
      <c r="A125" t="s">
        <v>168</v>
      </c>
      <c r="B125" s="159">
        <v>45339.298611111109</v>
      </c>
      <c r="C125" s="1" t="s">
        <v>58</v>
      </c>
      <c r="D125" s="1" t="s">
        <v>25</v>
      </c>
      <c r="E125" t="s">
        <v>15</v>
      </c>
      <c r="F125" t="s">
        <v>16</v>
      </c>
      <c r="G125" s="114">
        <v>1076.5999999999999</v>
      </c>
      <c r="H125" s="1" t="s">
        <v>34</v>
      </c>
      <c r="I125" t="s">
        <v>78</v>
      </c>
      <c r="J125">
        <v>2.5</v>
      </c>
      <c r="K125">
        <v>1</v>
      </c>
      <c r="L125" s="114">
        <v>0</v>
      </c>
      <c r="M125" s="114">
        <v>0</v>
      </c>
      <c r="N125" s="114">
        <v>0</v>
      </c>
      <c r="O125" t="s">
        <v>1132</v>
      </c>
    </row>
    <row r="126" spans="1:15" x14ac:dyDescent="0.25">
      <c r="A126" t="s">
        <v>169</v>
      </c>
      <c r="B126" s="159">
        <v>45339.468055555553</v>
      </c>
      <c r="C126" s="1" t="s">
        <v>24</v>
      </c>
      <c r="D126" s="1" t="s">
        <v>25</v>
      </c>
      <c r="E126" t="s">
        <v>39</v>
      </c>
      <c r="F126" t="s">
        <v>21</v>
      </c>
      <c r="G126" s="114">
        <v>1810.38</v>
      </c>
      <c r="H126" s="1" t="s">
        <v>22</v>
      </c>
      <c r="J126">
        <v>3.2</v>
      </c>
      <c r="K126">
        <v>1</v>
      </c>
      <c r="L126" s="114">
        <v>57.93</v>
      </c>
      <c r="M126" s="114">
        <v>1752.45</v>
      </c>
      <c r="N126" s="114">
        <v>1810.38</v>
      </c>
      <c r="O126" t="s">
        <v>1132</v>
      </c>
    </row>
    <row r="127" spans="1:15" x14ac:dyDescent="0.25">
      <c r="A127" t="s">
        <v>170</v>
      </c>
      <c r="B127" s="159">
        <v>45339.504166666666</v>
      </c>
      <c r="C127" s="1" t="s">
        <v>37</v>
      </c>
      <c r="D127" s="1" t="s">
        <v>38</v>
      </c>
      <c r="E127" t="s">
        <v>39</v>
      </c>
      <c r="F127" t="s">
        <v>45</v>
      </c>
      <c r="G127" s="114">
        <v>1329.96</v>
      </c>
      <c r="H127" s="1" t="s">
        <v>22</v>
      </c>
      <c r="J127">
        <v>3.2</v>
      </c>
      <c r="K127">
        <v>0.23269999999999999</v>
      </c>
      <c r="L127" s="114">
        <v>9.9037120000000005</v>
      </c>
      <c r="M127" s="114">
        <v>299.57798000000003</v>
      </c>
      <c r="N127" s="114">
        <v>309.48169200000001</v>
      </c>
      <c r="O127" t="s">
        <v>1132</v>
      </c>
    </row>
    <row r="128" spans="1:15" x14ac:dyDescent="0.25">
      <c r="A128" t="s">
        <v>171</v>
      </c>
      <c r="B128" s="159">
        <v>45339.51666666667</v>
      </c>
      <c r="C128" s="1" t="s">
        <v>58</v>
      </c>
      <c r="D128" s="1" t="s">
        <v>25</v>
      </c>
      <c r="E128" t="s">
        <v>33</v>
      </c>
      <c r="F128" t="s">
        <v>16</v>
      </c>
      <c r="G128" s="114">
        <v>290.01</v>
      </c>
      <c r="H128" s="1" t="s">
        <v>22</v>
      </c>
      <c r="J128">
        <v>1.9</v>
      </c>
      <c r="K128">
        <v>1</v>
      </c>
      <c r="L128" s="114">
        <v>5.51</v>
      </c>
      <c r="M128" s="114">
        <v>284.5</v>
      </c>
      <c r="N128" s="114">
        <v>290.01</v>
      </c>
      <c r="O128" t="s">
        <v>1132</v>
      </c>
    </row>
    <row r="129" spans="1:15" x14ac:dyDescent="0.25">
      <c r="A129" t="s">
        <v>172</v>
      </c>
      <c r="B129" s="159">
        <v>45339.605555555558</v>
      </c>
      <c r="C129" s="1" t="s">
        <v>60</v>
      </c>
      <c r="D129" s="1" t="s">
        <v>25</v>
      </c>
      <c r="E129" t="s">
        <v>15</v>
      </c>
      <c r="F129" t="s">
        <v>45</v>
      </c>
      <c r="G129" s="114">
        <v>778.85</v>
      </c>
      <c r="H129" s="1" t="s">
        <v>22</v>
      </c>
      <c r="J129">
        <v>2.5</v>
      </c>
      <c r="K129">
        <v>1</v>
      </c>
      <c r="L129" s="114">
        <v>19.47</v>
      </c>
      <c r="M129" s="114">
        <v>759.38</v>
      </c>
      <c r="N129" s="114">
        <v>778.85</v>
      </c>
      <c r="O129" t="s">
        <v>1132</v>
      </c>
    </row>
    <row r="130" spans="1:15" x14ac:dyDescent="0.25">
      <c r="A130" t="s">
        <v>173</v>
      </c>
      <c r="B130" s="159">
        <v>45339.654166666667</v>
      </c>
      <c r="C130" s="1" t="s">
        <v>27</v>
      </c>
      <c r="D130" s="1" t="s">
        <v>25</v>
      </c>
      <c r="E130" t="s">
        <v>33</v>
      </c>
      <c r="F130" t="s">
        <v>45</v>
      </c>
      <c r="G130" s="114">
        <v>4139.33</v>
      </c>
      <c r="H130" s="1" t="s">
        <v>34</v>
      </c>
      <c r="I130" t="s">
        <v>100</v>
      </c>
      <c r="J130">
        <v>1.9</v>
      </c>
      <c r="K130">
        <v>1</v>
      </c>
      <c r="L130" s="114">
        <v>0</v>
      </c>
      <c r="M130" s="114">
        <v>0</v>
      </c>
      <c r="N130" s="114">
        <v>0</v>
      </c>
      <c r="O130" t="s">
        <v>1132</v>
      </c>
    </row>
    <row r="131" spans="1:15" x14ac:dyDescent="0.25">
      <c r="A131" t="s">
        <v>174</v>
      </c>
      <c r="B131" s="159">
        <v>45340.061805555553</v>
      </c>
      <c r="C131" s="1" t="s">
        <v>37</v>
      </c>
      <c r="D131" s="1" t="s">
        <v>38</v>
      </c>
      <c r="E131" t="s">
        <v>44</v>
      </c>
      <c r="F131" t="s">
        <v>29</v>
      </c>
      <c r="G131" s="114">
        <v>1332.29</v>
      </c>
      <c r="H131" s="1" t="s">
        <v>17</v>
      </c>
      <c r="J131">
        <v>2.1</v>
      </c>
      <c r="K131">
        <v>0.23269999999999999</v>
      </c>
      <c r="L131" s="114">
        <v>0</v>
      </c>
      <c r="M131" s="114">
        <v>0</v>
      </c>
      <c r="N131" s="114">
        <v>0</v>
      </c>
      <c r="O131" t="s">
        <v>1132</v>
      </c>
    </row>
    <row r="132" spans="1:15" x14ac:dyDescent="0.25">
      <c r="A132" t="s">
        <v>175</v>
      </c>
      <c r="B132" s="159">
        <v>45340.435416666667</v>
      </c>
      <c r="C132" s="1" t="s">
        <v>37</v>
      </c>
      <c r="D132" s="1" t="s">
        <v>38</v>
      </c>
      <c r="E132" t="s">
        <v>39</v>
      </c>
      <c r="F132" t="s">
        <v>21</v>
      </c>
      <c r="G132" s="114">
        <v>4768.43</v>
      </c>
      <c r="H132" s="1" t="s">
        <v>34</v>
      </c>
      <c r="I132" t="s">
        <v>78</v>
      </c>
      <c r="J132">
        <v>3.2</v>
      </c>
      <c r="K132">
        <v>0.23269999999999999</v>
      </c>
      <c r="L132" s="114">
        <v>0</v>
      </c>
      <c r="M132" s="114">
        <v>0</v>
      </c>
      <c r="N132" s="114">
        <v>0</v>
      </c>
      <c r="O132" t="s">
        <v>1132</v>
      </c>
    </row>
    <row r="133" spans="1:15" x14ac:dyDescent="0.25">
      <c r="A133" t="s">
        <v>176</v>
      </c>
      <c r="B133" s="159">
        <v>45341.059027777781</v>
      </c>
      <c r="C133" s="1" t="s">
        <v>19</v>
      </c>
      <c r="D133" s="1" t="s">
        <v>20</v>
      </c>
      <c r="E133" t="s">
        <v>33</v>
      </c>
      <c r="F133" t="s">
        <v>16</v>
      </c>
      <c r="G133" s="114">
        <v>776.41</v>
      </c>
      <c r="H133" s="1" t="s">
        <v>22</v>
      </c>
      <c r="J133">
        <v>1.9</v>
      </c>
      <c r="K133">
        <v>8.5999999999999993E-2</v>
      </c>
      <c r="L133" s="114">
        <v>1.2685</v>
      </c>
      <c r="M133" s="114">
        <v>65.502759999999995</v>
      </c>
      <c r="N133" s="114">
        <v>66.771259999999998</v>
      </c>
      <c r="O133" t="s">
        <v>1132</v>
      </c>
    </row>
    <row r="134" spans="1:15" x14ac:dyDescent="0.25">
      <c r="A134" t="s">
        <v>177</v>
      </c>
      <c r="B134" s="159">
        <v>45342.324305555558</v>
      </c>
      <c r="C134" s="1" t="s">
        <v>58</v>
      </c>
      <c r="D134" s="1" t="s">
        <v>25</v>
      </c>
      <c r="E134" t="s">
        <v>44</v>
      </c>
      <c r="F134" t="s">
        <v>16</v>
      </c>
      <c r="G134" s="114">
        <v>4457.91</v>
      </c>
      <c r="H134" s="1" t="s">
        <v>22</v>
      </c>
      <c r="J134">
        <v>2.1</v>
      </c>
      <c r="K134">
        <v>1</v>
      </c>
      <c r="L134" s="114">
        <v>93.62</v>
      </c>
      <c r="M134" s="114">
        <v>4364.29</v>
      </c>
      <c r="N134" s="114">
        <v>4457.91</v>
      </c>
      <c r="O134" t="s">
        <v>1132</v>
      </c>
    </row>
    <row r="135" spans="1:15" x14ac:dyDescent="0.25">
      <c r="A135" t="s">
        <v>178</v>
      </c>
      <c r="B135" s="159">
        <v>45342.551388888889</v>
      </c>
      <c r="C135" s="1" t="s">
        <v>31</v>
      </c>
      <c r="D135" s="1" t="s">
        <v>32</v>
      </c>
      <c r="E135" t="s">
        <v>39</v>
      </c>
      <c r="F135" t="s">
        <v>45</v>
      </c>
      <c r="G135" s="114">
        <v>3847.34</v>
      </c>
      <c r="H135" s="1" t="s">
        <v>17</v>
      </c>
      <c r="J135">
        <v>3.2</v>
      </c>
      <c r="K135">
        <v>1.1801999999999999</v>
      </c>
      <c r="L135" s="114">
        <v>0</v>
      </c>
      <c r="M135" s="114">
        <v>0</v>
      </c>
      <c r="N135" s="114">
        <v>0</v>
      </c>
      <c r="O135" t="s">
        <v>1132</v>
      </c>
    </row>
    <row r="136" spans="1:15" x14ac:dyDescent="0.25">
      <c r="A136" t="s">
        <v>179</v>
      </c>
      <c r="B136" s="159">
        <v>45342.864583333336</v>
      </c>
      <c r="C136" s="1" t="s">
        <v>31</v>
      </c>
      <c r="D136" s="1" t="s">
        <v>32</v>
      </c>
      <c r="E136" t="s">
        <v>15</v>
      </c>
      <c r="F136" t="s">
        <v>29</v>
      </c>
      <c r="G136" s="114">
        <v>3473.07</v>
      </c>
      <c r="H136" s="1" t="s">
        <v>22</v>
      </c>
      <c r="J136">
        <v>2.5</v>
      </c>
      <c r="K136">
        <v>1.1801999999999999</v>
      </c>
      <c r="L136" s="114">
        <v>102.47676599999998</v>
      </c>
      <c r="M136" s="114">
        <v>3996.4404479999994</v>
      </c>
      <c r="N136" s="114">
        <v>4098.9172139999991</v>
      </c>
      <c r="O136" t="s">
        <v>1132</v>
      </c>
    </row>
    <row r="137" spans="1:15" x14ac:dyDescent="0.25">
      <c r="A137" t="s">
        <v>180</v>
      </c>
      <c r="B137" s="159">
        <v>45342.868055555555</v>
      </c>
      <c r="C137" s="1" t="s">
        <v>43</v>
      </c>
      <c r="D137" s="1" t="s">
        <v>25</v>
      </c>
      <c r="E137" t="s">
        <v>28</v>
      </c>
      <c r="F137" t="s">
        <v>41</v>
      </c>
      <c r="G137" s="114">
        <v>4647.87</v>
      </c>
      <c r="H137" s="1" t="s">
        <v>22</v>
      </c>
      <c r="J137">
        <v>2.9</v>
      </c>
      <c r="K137">
        <v>1</v>
      </c>
      <c r="L137" s="114">
        <v>134.79</v>
      </c>
      <c r="M137" s="114">
        <v>4513.08</v>
      </c>
      <c r="N137" s="114">
        <v>4647.87</v>
      </c>
      <c r="O137" t="s">
        <v>1132</v>
      </c>
    </row>
    <row r="138" spans="1:15" x14ac:dyDescent="0.25">
      <c r="A138" t="s">
        <v>181</v>
      </c>
      <c r="B138" s="159">
        <v>45343.429861111108</v>
      </c>
      <c r="C138" s="1" t="s">
        <v>37</v>
      </c>
      <c r="D138" s="1" t="s">
        <v>38</v>
      </c>
      <c r="E138" t="s">
        <v>44</v>
      </c>
      <c r="F138" t="s">
        <v>29</v>
      </c>
      <c r="G138" s="114">
        <v>3664.44</v>
      </c>
      <c r="H138" s="1" t="s">
        <v>34</v>
      </c>
      <c r="I138" t="s">
        <v>55</v>
      </c>
      <c r="J138">
        <v>2.1</v>
      </c>
      <c r="K138">
        <v>0.23269999999999999</v>
      </c>
      <c r="L138" s="114">
        <v>0</v>
      </c>
      <c r="M138" s="114">
        <v>0</v>
      </c>
      <c r="N138" s="114">
        <v>0</v>
      </c>
      <c r="O138" t="s">
        <v>1132</v>
      </c>
    </row>
    <row r="139" spans="1:15" x14ac:dyDescent="0.25">
      <c r="A139" t="s">
        <v>182</v>
      </c>
      <c r="B139" s="159">
        <v>45343.511805555558</v>
      </c>
      <c r="C139" s="1" t="s">
        <v>43</v>
      </c>
      <c r="D139" s="1" t="s">
        <v>25</v>
      </c>
      <c r="E139" t="s">
        <v>39</v>
      </c>
      <c r="F139" t="s">
        <v>29</v>
      </c>
      <c r="G139" s="114">
        <v>1857.2</v>
      </c>
      <c r="H139" s="1" t="s">
        <v>22</v>
      </c>
      <c r="J139">
        <v>3.2</v>
      </c>
      <c r="K139">
        <v>1</v>
      </c>
      <c r="L139" s="114">
        <v>59.43</v>
      </c>
      <c r="M139" s="114">
        <v>1797.77</v>
      </c>
      <c r="N139" s="114">
        <v>1857.2</v>
      </c>
      <c r="O139" t="s">
        <v>1132</v>
      </c>
    </row>
    <row r="140" spans="1:15" x14ac:dyDescent="0.25">
      <c r="A140" t="s">
        <v>183</v>
      </c>
      <c r="B140" s="159">
        <v>45345.272916666669</v>
      </c>
      <c r="C140" s="1" t="s">
        <v>24</v>
      </c>
      <c r="D140" s="1" t="s">
        <v>25</v>
      </c>
      <c r="E140" t="s">
        <v>15</v>
      </c>
      <c r="F140" t="s">
        <v>16</v>
      </c>
      <c r="G140" s="114">
        <v>4806.3100000000004</v>
      </c>
      <c r="H140" s="1" t="s">
        <v>22</v>
      </c>
      <c r="J140">
        <v>2.5</v>
      </c>
      <c r="K140">
        <v>1</v>
      </c>
      <c r="L140" s="114">
        <v>120.16</v>
      </c>
      <c r="M140" s="114">
        <v>4686.1499999999996</v>
      </c>
      <c r="N140" s="114">
        <v>4806.3099999999995</v>
      </c>
      <c r="O140" t="s">
        <v>1132</v>
      </c>
    </row>
    <row r="141" spans="1:15" x14ac:dyDescent="0.25">
      <c r="A141" t="s">
        <v>184</v>
      </c>
      <c r="B141" s="159">
        <v>45345.393055555556</v>
      </c>
      <c r="C141" s="1" t="s">
        <v>31</v>
      </c>
      <c r="D141" s="1" t="s">
        <v>32</v>
      </c>
      <c r="E141" t="s">
        <v>28</v>
      </c>
      <c r="F141" t="s">
        <v>29</v>
      </c>
      <c r="G141" s="114">
        <v>1748.16</v>
      </c>
      <c r="H141" s="1" t="s">
        <v>22</v>
      </c>
      <c r="J141">
        <v>2.9</v>
      </c>
      <c r="K141">
        <v>1.1801999999999999</v>
      </c>
      <c r="L141" s="114">
        <v>59.83614</v>
      </c>
      <c r="M141" s="114">
        <v>2003.3422919999998</v>
      </c>
      <c r="N141" s="114">
        <v>2063.1784319999997</v>
      </c>
      <c r="O141" t="s">
        <v>1132</v>
      </c>
    </row>
    <row r="142" spans="1:15" x14ac:dyDescent="0.25">
      <c r="A142" t="s">
        <v>185</v>
      </c>
      <c r="B142" s="159">
        <v>45346.004166666666</v>
      </c>
      <c r="C142" s="1" t="s">
        <v>47</v>
      </c>
      <c r="D142" s="1" t="s">
        <v>25</v>
      </c>
      <c r="E142" t="s">
        <v>44</v>
      </c>
      <c r="F142" t="s">
        <v>45</v>
      </c>
      <c r="G142" s="114">
        <v>3736.8</v>
      </c>
      <c r="H142" s="1" t="s">
        <v>17</v>
      </c>
      <c r="J142">
        <v>2.1</v>
      </c>
      <c r="K142">
        <v>1</v>
      </c>
      <c r="L142" s="114">
        <v>0</v>
      </c>
      <c r="M142" s="114">
        <v>0</v>
      </c>
      <c r="N142" s="114">
        <v>0</v>
      </c>
      <c r="O142" t="s">
        <v>1132</v>
      </c>
    </row>
    <row r="143" spans="1:15" x14ac:dyDescent="0.25">
      <c r="A143" t="s">
        <v>186</v>
      </c>
      <c r="B143" s="159">
        <v>45346.083333333336</v>
      </c>
      <c r="C143" s="1" t="s">
        <v>47</v>
      </c>
      <c r="D143" s="1" t="s">
        <v>25</v>
      </c>
      <c r="E143" t="s">
        <v>15</v>
      </c>
      <c r="F143" t="s">
        <v>21</v>
      </c>
      <c r="G143" s="114">
        <v>3809.12</v>
      </c>
      <c r="H143" s="1" t="s">
        <v>22</v>
      </c>
      <c r="J143">
        <v>2.5</v>
      </c>
      <c r="K143">
        <v>1</v>
      </c>
      <c r="L143" s="114">
        <v>95.23</v>
      </c>
      <c r="M143" s="114">
        <v>3713.89</v>
      </c>
      <c r="N143" s="114">
        <v>3809.12</v>
      </c>
      <c r="O143" t="s">
        <v>1132</v>
      </c>
    </row>
    <row r="144" spans="1:15" x14ac:dyDescent="0.25">
      <c r="A144" t="s">
        <v>187</v>
      </c>
      <c r="B144" s="159">
        <v>45346.711111111108</v>
      </c>
      <c r="C144" s="1" t="s">
        <v>13</v>
      </c>
      <c r="D144" s="1" t="s">
        <v>14</v>
      </c>
      <c r="E144" t="s">
        <v>39</v>
      </c>
      <c r="F144" t="s">
        <v>21</v>
      </c>
      <c r="G144" s="114">
        <v>4735.6099999999997</v>
      </c>
      <c r="H144" s="1" t="s">
        <v>17</v>
      </c>
      <c r="J144">
        <v>3.2</v>
      </c>
      <c r="K144">
        <v>8.7400000000000005E-2</v>
      </c>
      <c r="L144" s="114">
        <v>0</v>
      </c>
      <c r="M144" s="114">
        <v>0</v>
      </c>
      <c r="N144" s="114">
        <v>0</v>
      </c>
      <c r="O144" t="s">
        <v>1132</v>
      </c>
    </row>
    <row r="145" spans="1:15" x14ac:dyDescent="0.25">
      <c r="A145" t="s">
        <v>188</v>
      </c>
      <c r="B145" s="159">
        <v>45346.85833333333</v>
      </c>
      <c r="C145" s="1" t="s">
        <v>37</v>
      </c>
      <c r="D145" s="1" t="s">
        <v>38</v>
      </c>
      <c r="E145" t="s">
        <v>15</v>
      </c>
      <c r="F145" t="s">
        <v>16</v>
      </c>
      <c r="G145" s="114">
        <v>4415.29</v>
      </c>
      <c r="H145" s="1" t="s">
        <v>22</v>
      </c>
      <c r="J145">
        <v>2.5</v>
      </c>
      <c r="K145">
        <v>0.23269999999999999</v>
      </c>
      <c r="L145" s="114">
        <v>25.685425999999996</v>
      </c>
      <c r="M145" s="114">
        <v>1001.7525569999999</v>
      </c>
      <c r="N145" s="114">
        <v>1027.4379829999998</v>
      </c>
      <c r="O145" t="s">
        <v>1132</v>
      </c>
    </row>
    <row r="146" spans="1:15" x14ac:dyDescent="0.25">
      <c r="A146" t="s">
        <v>189</v>
      </c>
      <c r="B146" s="159">
        <v>45347.781944444447</v>
      </c>
      <c r="C146" s="1" t="s">
        <v>13</v>
      </c>
      <c r="D146" s="1" t="s">
        <v>14</v>
      </c>
      <c r="E146" t="s">
        <v>28</v>
      </c>
      <c r="F146" t="s">
        <v>16</v>
      </c>
      <c r="G146" s="114">
        <v>3623.13</v>
      </c>
      <c r="H146" s="1" t="s">
        <v>17</v>
      </c>
      <c r="J146">
        <v>2.9</v>
      </c>
      <c r="K146">
        <v>8.7400000000000005E-2</v>
      </c>
      <c r="L146" s="114">
        <v>0</v>
      </c>
      <c r="M146" s="114">
        <v>0</v>
      </c>
      <c r="N146" s="114">
        <v>0</v>
      </c>
      <c r="O146" t="s">
        <v>1132</v>
      </c>
    </row>
    <row r="147" spans="1:15" x14ac:dyDescent="0.25">
      <c r="A147" t="s">
        <v>190</v>
      </c>
      <c r="B147" s="159">
        <v>45348.515972222223</v>
      </c>
      <c r="C147" s="1" t="s">
        <v>43</v>
      </c>
      <c r="D147" s="1" t="s">
        <v>25</v>
      </c>
      <c r="E147" t="s">
        <v>33</v>
      </c>
      <c r="F147" t="s">
        <v>41</v>
      </c>
      <c r="G147" s="114">
        <v>1834.2</v>
      </c>
      <c r="H147" s="1" t="s">
        <v>22</v>
      </c>
      <c r="J147">
        <v>1.9</v>
      </c>
      <c r="K147">
        <v>1</v>
      </c>
      <c r="L147" s="114">
        <v>34.85</v>
      </c>
      <c r="M147" s="114">
        <v>1799.35</v>
      </c>
      <c r="N147" s="114">
        <v>1834.1999999999998</v>
      </c>
      <c r="O147" t="s">
        <v>1132</v>
      </c>
    </row>
    <row r="148" spans="1:15" x14ac:dyDescent="0.25">
      <c r="A148" t="s">
        <v>191</v>
      </c>
      <c r="B148" s="159">
        <v>45348.704861111109</v>
      </c>
      <c r="C148" s="1" t="s">
        <v>37</v>
      </c>
      <c r="D148" s="1" t="s">
        <v>38</v>
      </c>
      <c r="E148" t="s">
        <v>28</v>
      </c>
      <c r="F148" t="s">
        <v>21</v>
      </c>
      <c r="G148" s="114">
        <v>3525.64</v>
      </c>
      <c r="H148" s="1" t="s">
        <v>34</v>
      </c>
      <c r="I148" t="s">
        <v>100</v>
      </c>
      <c r="J148">
        <v>2.9</v>
      </c>
      <c r="K148">
        <v>0.23269999999999999</v>
      </c>
      <c r="L148" s="114">
        <v>0</v>
      </c>
      <c r="M148" s="114">
        <v>0</v>
      </c>
      <c r="N148" s="114">
        <v>0</v>
      </c>
      <c r="O148" t="s">
        <v>1132</v>
      </c>
    </row>
    <row r="149" spans="1:15" x14ac:dyDescent="0.25">
      <c r="A149" t="s">
        <v>192</v>
      </c>
      <c r="B149" s="159">
        <v>45348.924305555556</v>
      </c>
      <c r="C149" s="1" t="s">
        <v>47</v>
      </c>
      <c r="D149" s="1" t="s">
        <v>25</v>
      </c>
      <c r="E149" t="s">
        <v>39</v>
      </c>
      <c r="F149" t="s">
        <v>16</v>
      </c>
      <c r="G149" s="114">
        <v>3305.78</v>
      </c>
      <c r="H149" s="1" t="s">
        <v>22</v>
      </c>
      <c r="J149">
        <v>3.2</v>
      </c>
      <c r="K149">
        <v>1</v>
      </c>
      <c r="L149" s="114">
        <v>105.78</v>
      </c>
      <c r="M149" s="114">
        <v>3200</v>
      </c>
      <c r="N149" s="114">
        <v>3305.78</v>
      </c>
      <c r="O149" t="s">
        <v>1132</v>
      </c>
    </row>
    <row r="150" spans="1:15" x14ac:dyDescent="0.25">
      <c r="A150" t="s">
        <v>193</v>
      </c>
      <c r="B150" s="159">
        <v>45349.030555555553</v>
      </c>
      <c r="C150" s="1" t="s">
        <v>24</v>
      </c>
      <c r="D150" s="1" t="s">
        <v>25</v>
      </c>
      <c r="E150" t="s">
        <v>28</v>
      </c>
      <c r="F150" t="s">
        <v>29</v>
      </c>
      <c r="G150" s="114">
        <v>2410.77</v>
      </c>
      <c r="H150" s="1" t="s">
        <v>22</v>
      </c>
      <c r="J150">
        <v>2.9</v>
      </c>
      <c r="K150">
        <v>1</v>
      </c>
      <c r="L150" s="114">
        <v>69.91</v>
      </c>
      <c r="M150" s="114">
        <v>2340.86</v>
      </c>
      <c r="N150" s="114">
        <v>2410.77</v>
      </c>
      <c r="O150" t="s">
        <v>1132</v>
      </c>
    </row>
    <row r="151" spans="1:15" x14ac:dyDescent="0.25">
      <c r="A151" t="s">
        <v>194</v>
      </c>
      <c r="B151" s="159">
        <v>45349.54791666667</v>
      </c>
      <c r="C151" s="1" t="s">
        <v>27</v>
      </c>
      <c r="D151" s="1" t="s">
        <v>25</v>
      </c>
      <c r="E151" t="s">
        <v>33</v>
      </c>
      <c r="F151" t="s">
        <v>45</v>
      </c>
      <c r="G151" s="114">
        <v>2917.56</v>
      </c>
      <c r="H151" s="1" t="s">
        <v>22</v>
      </c>
      <c r="J151">
        <v>1.9</v>
      </c>
      <c r="K151">
        <v>1</v>
      </c>
      <c r="L151" s="114">
        <v>55.43</v>
      </c>
      <c r="M151" s="114">
        <v>2862.13</v>
      </c>
      <c r="N151" s="114">
        <v>2917.56</v>
      </c>
      <c r="O151" t="s">
        <v>1132</v>
      </c>
    </row>
    <row r="152" spans="1:15" x14ac:dyDescent="0.25">
      <c r="A152" t="s">
        <v>195</v>
      </c>
      <c r="B152" s="159">
        <v>45350.423611111109</v>
      </c>
      <c r="C152" s="1" t="s">
        <v>60</v>
      </c>
      <c r="D152" s="1" t="s">
        <v>25</v>
      </c>
      <c r="E152" t="s">
        <v>33</v>
      </c>
      <c r="F152" t="s">
        <v>21</v>
      </c>
      <c r="G152" s="114">
        <v>196.51</v>
      </c>
      <c r="H152" s="1" t="s">
        <v>34</v>
      </c>
      <c r="I152" t="s">
        <v>100</v>
      </c>
      <c r="J152">
        <v>1.9</v>
      </c>
      <c r="K152">
        <v>1</v>
      </c>
      <c r="L152" s="114">
        <v>0</v>
      </c>
      <c r="M152" s="114">
        <v>0</v>
      </c>
      <c r="N152" s="114">
        <v>0</v>
      </c>
      <c r="O152" t="s">
        <v>1132</v>
      </c>
    </row>
    <row r="153" spans="1:15" x14ac:dyDescent="0.25">
      <c r="A153" t="s">
        <v>196</v>
      </c>
      <c r="B153" s="159">
        <v>45350.776388888888</v>
      </c>
      <c r="C153" s="1" t="s">
        <v>43</v>
      </c>
      <c r="D153" s="1" t="s">
        <v>25</v>
      </c>
      <c r="E153" t="s">
        <v>39</v>
      </c>
      <c r="F153" t="s">
        <v>45</v>
      </c>
      <c r="G153" s="114">
        <v>497.29</v>
      </c>
      <c r="H153" s="1" t="s">
        <v>34</v>
      </c>
      <c r="I153" t="s">
        <v>35</v>
      </c>
      <c r="J153">
        <v>3.2</v>
      </c>
      <c r="K153">
        <v>1</v>
      </c>
      <c r="L153" s="114">
        <v>0</v>
      </c>
      <c r="M153" s="114">
        <v>0</v>
      </c>
      <c r="N153" s="114">
        <v>0</v>
      </c>
      <c r="O153" t="s">
        <v>1132</v>
      </c>
    </row>
    <row r="154" spans="1:15" x14ac:dyDescent="0.25">
      <c r="A154" t="s">
        <v>197</v>
      </c>
      <c r="B154" s="159">
        <v>45350.801388888889</v>
      </c>
      <c r="C154" s="1" t="s">
        <v>31</v>
      </c>
      <c r="D154" s="1" t="s">
        <v>32</v>
      </c>
      <c r="E154" t="s">
        <v>33</v>
      </c>
      <c r="F154" t="s">
        <v>29</v>
      </c>
      <c r="G154" s="114">
        <v>2436.96</v>
      </c>
      <c r="H154" s="1" t="s">
        <v>22</v>
      </c>
      <c r="J154">
        <v>1.9</v>
      </c>
      <c r="K154">
        <v>1.1801999999999999</v>
      </c>
      <c r="L154" s="114">
        <v>54.643259999999991</v>
      </c>
      <c r="M154" s="114">
        <v>2821.4569319999996</v>
      </c>
      <c r="N154" s="114">
        <v>2876.1001919999994</v>
      </c>
      <c r="O154" t="s">
        <v>1132</v>
      </c>
    </row>
    <row r="155" spans="1:15" x14ac:dyDescent="0.25">
      <c r="A155" t="s">
        <v>198</v>
      </c>
      <c r="B155" s="159">
        <v>45351.162499999999</v>
      </c>
      <c r="C155" s="1" t="s">
        <v>60</v>
      </c>
      <c r="D155" s="1" t="s">
        <v>25</v>
      </c>
      <c r="E155" t="s">
        <v>28</v>
      </c>
      <c r="F155" t="s">
        <v>29</v>
      </c>
      <c r="G155" s="114">
        <v>3320.14</v>
      </c>
      <c r="H155" s="1" t="s">
        <v>22</v>
      </c>
      <c r="J155">
        <v>2.9</v>
      </c>
      <c r="K155">
        <v>1</v>
      </c>
      <c r="L155" s="114">
        <v>96.28</v>
      </c>
      <c r="M155" s="114">
        <v>3223.86</v>
      </c>
      <c r="N155" s="114">
        <v>3320.1400000000003</v>
      </c>
      <c r="O155" t="s">
        <v>1132</v>
      </c>
    </row>
    <row r="156" spans="1:15" x14ac:dyDescent="0.25">
      <c r="A156" t="s">
        <v>199</v>
      </c>
      <c r="B156" s="159">
        <v>45352.01458333333</v>
      </c>
      <c r="C156" s="1" t="s">
        <v>58</v>
      </c>
      <c r="D156" s="1" t="s">
        <v>25</v>
      </c>
      <c r="E156" t="s">
        <v>39</v>
      </c>
      <c r="F156" t="s">
        <v>45</v>
      </c>
      <c r="G156" s="114">
        <v>328.72</v>
      </c>
      <c r="H156" s="1" t="s">
        <v>17</v>
      </c>
      <c r="J156">
        <v>3.2</v>
      </c>
      <c r="K156">
        <v>1</v>
      </c>
      <c r="L156" s="114">
        <v>0</v>
      </c>
      <c r="M156" s="114">
        <v>0</v>
      </c>
      <c r="N156" s="114">
        <v>0</v>
      </c>
      <c r="O156" t="s">
        <v>1133</v>
      </c>
    </row>
    <row r="157" spans="1:15" x14ac:dyDescent="0.25">
      <c r="A157" t="s">
        <v>200</v>
      </c>
      <c r="B157" s="159">
        <v>45352.304861111108</v>
      </c>
      <c r="C157" s="1" t="s">
        <v>31</v>
      </c>
      <c r="D157" s="1" t="s">
        <v>32</v>
      </c>
      <c r="E157" t="s">
        <v>44</v>
      </c>
      <c r="F157" t="s">
        <v>21</v>
      </c>
      <c r="G157" s="114">
        <v>3470.25</v>
      </c>
      <c r="H157" s="1" t="s">
        <v>17</v>
      </c>
      <c r="J157">
        <v>2.1</v>
      </c>
      <c r="K157">
        <v>1.1801999999999999</v>
      </c>
      <c r="L157" s="114">
        <v>0</v>
      </c>
      <c r="M157" s="114">
        <v>0</v>
      </c>
      <c r="N157" s="114">
        <v>0</v>
      </c>
      <c r="O157" t="s">
        <v>1133</v>
      </c>
    </row>
    <row r="158" spans="1:15" x14ac:dyDescent="0.25">
      <c r="A158" t="s">
        <v>201</v>
      </c>
      <c r="B158" s="159">
        <v>45352.870138888888</v>
      </c>
      <c r="C158" s="1" t="s">
        <v>27</v>
      </c>
      <c r="D158" s="1" t="s">
        <v>25</v>
      </c>
      <c r="E158" t="s">
        <v>15</v>
      </c>
      <c r="F158" t="s">
        <v>21</v>
      </c>
      <c r="G158" s="114">
        <v>2549.27</v>
      </c>
      <c r="H158" s="1" t="s">
        <v>22</v>
      </c>
      <c r="J158">
        <v>2.5</v>
      </c>
      <c r="K158">
        <v>1</v>
      </c>
      <c r="L158" s="114">
        <v>63.73</v>
      </c>
      <c r="M158" s="114">
        <v>2485.54</v>
      </c>
      <c r="N158" s="114">
        <v>2549.27</v>
      </c>
      <c r="O158" t="s">
        <v>1133</v>
      </c>
    </row>
    <row r="159" spans="1:15" x14ac:dyDescent="0.25">
      <c r="A159" t="s">
        <v>202</v>
      </c>
      <c r="B159" s="159">
        <v>45353.021527777775</v>
      </c>
      <c r="C159" s="1" t="s">
        <v>58</v>
      </c>
      <c r="D159" s="1" t="s">
        <v>25</v>
      </c>
      <c r="E159" t="s">
        <v>44</v>
      </c>
      <c r="F159" t="s">
        <v>29</v>
      </c>
      <c r="G159" s="114">
        <v>1907.24</v>
      </c>
      <c r="H159" s="1" t="s">
        <v>22</v>
      </c>
      <c r="J159">
        <v>2.1</v>
      </c>
      <c r="K159">
        <v>1</v>
      </c>
      <c r="L159" s="114">
        <v>40.049999999999997</v>
      </c>
      <c r="M159" s="114">
        <v>1867.19</v>
      </c>
      <c r="N159" s="114">
        <v>1907.24</v>
      </c>
      <c r="O159" t="s">
        <v>1133</v>
      </c>
    </row>
    <row r="160" spans="1:15" x14ac:dyDescent="0.25">
      <c r="A160" t="s">
        <v>203</v>
      </c>
      <c r="B160" s="159">
        <v>45353.324305555558</v>
      </c>
      <c r="C160" s="1" t="s">
        <v>19</v>
      </c>
      <c r="D160" s="1" t="s">
        <v>20</v>
      </c>
      <c r="E160" t="s">
        <v>28</v>
      </c>
      <c r="F160" t="s">
        <v>16</v>
      </c>
      <c r="G160" s="114">
        <v>280.10000000000002</v>
      </c>
      <c r="H160" s="1" t="s">
        <v>17</v>
      </c>
      <c r="J160">
        <v>2.9</v>
      </c>
      <c r="K160">
        <v>8.5999999999999993E-2</v>
      </c>
      <c r="L160" s="114">
        <v>0</v>
      </c>
      <c r="M160" s="114">
        <v>0</v>
      </c>
      <c r="N160" s="114">
        <v>0</v>
      </c>
      <c r="O160" t="s">
        <v>1133</v>
      </c>
    </row>
    <row r="161" spans="1:15" x14ac:dyDescent="0.25">
      <c r="A161" t="s">
        <v>204</v>
      </c>
      <c r="B161" s="159">
        <v>45353.48333333333</v>
      </c>
      <c r="C161" s="1" t="s">
        <v>47</v>
      </c>
      <c r="D161" s="1" t="s">
        <v>25</v>
      </c>
      <c r="E161" t="s">
        <v>28</v>
      </c>
      <c r="F161" t="s">
        <v>45</v>
      </c>
      <c r="G161" s="114">
        <v>774.99</v>
      </c>
      <c r="H161" s="1" t="s">
        <v>22</v>
      </c>
      <c r="J161">
        <v>2.9</v>
      </c>
      <c r="K161">
        <v>1</v>
      </c>
      <c r="L161" s="114">
        <v>22.47</v>
      </c>
      <c r="M161" s="114">
        <v>752.52</v>
      </c>
      <c r="N161" s="114">
        <v>774.99</v>
      </c>
      <c r="O161" t="s">
        <v>1133</v>
      </c>
    </row>
    <row r="162" spans="1:15" x14ac:dyDescent="0.25">
      <c r="A162" t="s">
        <v>205</v>
      </c>
      <c r="B162" s="159">
        <v>45353.59097222222</v>
      </c>
      <c r="C162" s="1" t="s">
        <v>27</v>
      </c>
      <c r="D162" s="1" t="s">
        <v>25</v>
      </c>
      <c r="E162" t="s">
        <v>44</v>
      </c>
      <c r="F162" t="s">
        <v>29</v>
      </c>
      <c r="G162" s="114">
        <v>639.66999999999996</v>
      </c>
      <c r="H162" s="1" t="s">
        <v>34</v>
      </c>
      <c r="I162" t="s">
        <v>78</v>
      </c>
      <c r="J162">
        <v>2.1</v>
      </c>
      <c r="K162">
        <v>1</v>
      </c>
      <c r="L162" s="114">
        <v>0</v>
      </c>
      <c r="M162" s="114">
        <v>0</v>
      </c>
      <c r="N162" s="114">
        <v>0</v>
      </c>
      <c r="O162" t="s">
        <v>1133</v>
      </c>
    </row>
    <row r="163" spans="1:15" x14ac:dyDescent="0.25">
      <c r="A163" t="s">
        <v>206</v>
      </c>
      <c r="B163" s="159">
        <v>45354.017361111109</v>
      </c>
      <c r="C163" s="1" t="s">
        <v>43</v>
      </c>
      <c r="D163" s="1" t="s">
        <v>25</v>
      </c>
      <c r="E163" t="s">
        <v>44</v>
      </c>
      <c r="F163" t="s">
        <v>16</v>
      </c>
      <c r="G163" s="114">
        <v>4639.78</v>
      </c>
      <c r="H163" s="1" t="s">
        <v>22</v>
      </c>
      <c r="J163">
        <v>2.1</v>
      </c>
      <c r="K163">
        <v>1</v>
      </c>
      <c r="L163" s="114">
        <v>97.44</v>
      </c>
      <c r="M163" s="114">
        <v>4542.34</v>
      </c>
      <c r="N163" s="114">
        <v>4639.78</v>
      </c>
      <c r="O163" t="s">
        <v>1133</v>
      </c>
    </row>
    <row r="164" spans="1:15" x14ac:dyDescent="0.25">
      <c r="A164" t="s">
        <v>207</v>
      </c>
      <c r="B164" s="159">
        <v>45354.354861111111</v>
      </c>
      <c r="C164" s="1" t="s">
        <v>43</v>
      </c>
      <c r="D164" s="1" t="s">
        <v>25</v>
      </c>
      <c r="E164" t="s">
        <v>44</v>
      </c>
      <c r="F164" t="s">
        <v>29</v>
      </c>
      <c r="G164" s="114">
        <v>158.32</v>
      </c>
      <c r="H164" s="1" t="s">
        <v>22</v>
      </c>
      <c r="J164">
        <v>2.1</v>
      </c>
      <c r="K164">
        <v>1</v>
      </c>
      <c r="L164" s="114">
        <v>3.32</v>
      </c>
      <c r="M164" s="114">
        <v>155</v>
      </c>
      <c r="N164" s="114">
        <v>158.32</v>
      </c>
      <c r="O164" t="s">
        <v>1133</v>
      </c>
    </row>
    <row r="165" spans="1:15" x14ac:dyDescent="0.25">
      <c r="A165" t="s">
        <v>208</v>
      </c>
      <c r="B165" s="159">
        <v>45354.723611111112</v>
      </c>
      <c r="C165" s="1" t="s">
        <v>31</v>
      </c>
      <c r="D165" s="1" t="s">
        <v>32</v>
      </c>
      <c r="E165" t="s">
        <v>28</v>
      </c>
      <c r="F165" t="s">
        <v>16</v>
      </c>
      <c r="G165" s="114">
        <v>2411.0700000000002</v>
      </c>
      <c r="H165" s="1" t="s">
        <v>22</v>
      </c>
      <c r="J165">
        <v>2.9</v>
      </c>
      <c r="K165">
        <v>1.1801999999999999</v>
      </c>
      <c r="L165" s="114">
        <v>82.519583999999995</v>
      </c>
      <c r="M165" s="114">
        <v>2763.0252299999997</v>
      </c>
      <c r="N165" s="114">
        <v>2845.5448139999999</v>
      </c>
      <c r="O165" t="s">
        <v>1133</v>
      </c>
    </row>
    <row r="166" spans="1:15" x14ac:dyDescent="0.25">
      <c r="A166" t="s">
        <v>209</v>
      </c>
      <c r="B166" s="159">
        <v>45354.779861111114</v>
      </c>
      <c r="C166" s="1" t="s">
        <v>13</v>
      </c>
      <c r="D166" s="1" t="s">
        <v>14</v>
      </c>
      <c r="E166" t="s">
        <v>15</v>
      </c>
      <c r="F166" t="s">
        <v>16</v>
      </c>
      <c r="G166" s="114">
        <v>4093.7</v>
      </c>
      <c r="H166" s="1" t="s">
        <v>22</v>
      </c>
      <c r="J166">
        <v>2.5</v>
      </c>
      <c r="K166">
        <v>8.7400000000000005E-2</v>
      </c>
      <c r="L166" s="114">
        <v>8.9445160000000001</v>
      </c>
      <c r="M166" s="114">
        <v>348.84486400000003</v>
      </c>
      <c r="N166" s="114">
        <v>357.78938000000005</v>
      </c>
      <c r="O166" t="s">
        <v>1133</v>
      </c>
    </row>
    <row r="167" spans="1:15" x14ac:dyDescent="0.25">
      <c r="A167" t="s">
        <v>210</v>
      </c>
      <c r="B167" s="159">
        <v>45355.041666666664</v>
      </c>
      <c r="C167" s="1" t="s">
        <v>19</v>
      </c>
      <c r="D167" s="1" t="s">
        <v>20</v>
      </c>
      <c r="E167" t="s">
        <v>33</v>
      </c>
      <c r="F167" t="s">
        <v>16</v>
      </c>
      <c r="G167" s="114">
        <v>2690.39</v>
      </c>
      <c r="H167" s="1" t="s">
        <v>22</v>
      </c>
      <c r="J167">
        <v>1.9</v>
      </c>
      <c r="K167">
        <v>8.5999999999999993E-2</v>
      </c>
      <c r="L167" s="114">
        <v>4.3963199999999993</v>
      </c>
      <c r="M167" s="114">
        <v>226.97721999999999</v>
      </c>
      <c r="N167" s="114">
        <v>231.37353999999999</v>
      </c>
      <c r="O167" t="s">
        <v>1133</v>
      </c>
    </row>
    <row r="168" spans="1:15" x14ac:dyDescent="0.25">
      <c r="A168" t="s">
        <v>211</v>
      </c>
      <c r="B168" s="159">
        <v>45355.800694444442</v>
      </c>
      <c r="C168" s="1" t="s">
        <v>19</v>
      </c>
      <c r="D168" s="1" t="s">
        <v>20</v>
      </c>
      <c r="E168" t="s">
        <v>44</v>
      </c>
      <c r="F168" t="s">
        <v>29</v>
      </c>
      <c r="G168" s="114">
        <v>3356.3</v>
      </c>
      <c r="H168" s="1" t="s">
        <v>22</v>
      </c>
      <c r="J168">
        <v>2.1</v>
      </c>
      <c r="K168">
        <v>8.5999999999999993E-2</v>
      </c>
      <c r="L168" s="114">
        <v>6.06128</v>
      </c>
      <c r="M168" s="114">
        <v>282.58051999999998</v>
      </c>
      <c r="N168" s="114">
        <v>288.64179999999999</v>
      </c>
      <c r="O168" t="s">
        <v>1133</v>
      </c>
    </row>
    <row r="169" spans="1:15" x14ac:dyDescent="0.25">
      <c r="A169" t="s">
        <v>212</v>
      </c>
      <c r="B169" s="159">
        <v>45356.36041666667</v>
      </c>
      <c r="C169" s="1" t="s">
        <v>19</v>
      </c>
      <c r="D169" s="1" t="s">
        <v>20</v>
      </c>
      <c r="E169" t="s">
        <v>33</v>
      </c>
      <c r="F169" t="s">
        <v>21</v>
      </c>
      <c r="G169" s="114">
        <v>1910.71</v>
      </c>
      <c r="H169" s="1" t="s">
        <v>17</v>
      </c>
      <c r="J169">
        <v>1.9</v>
      </c>
      <c r="K169">
        <v>8.5999999999999993E-2</v>
      </c>
      <c r="L169" s="114">
        <v>0</v>
      </c>
      <c r="M169" s="114">
        <v>0</v>
      </c>
      <c r="N169" s="114">
        <v>0</v>
      </c>
      <c r="O169" t="s">
        <v>1133</v>
      </c>
    </row>
    <row r="170" spans="1:15" x14ac:dyDescent="0.25">
      <c r="A170" t="s">
        <v>213</v>
      </c>
      <c r="B170" s="159">
        <v>45356.634722222225</v>
      </c>
      <c r="C170" s="1" t="s">
        <v>37</v>
      </c>
      <c r="D170" s="1" t="s">
        <v>38</v>
      </c>
      <c r="E170" t="s">
        <v>33</v>
      </c>
      <c r="F170" t="s">
        <v>21</v>
      </c>
      <c r="G170" s="114">
        <v>4029.57</v>
      </c>
      <c r="H170" s="1" t="s">
        <v>34</v>
      </c>
      <c r="I170" t="s">
        <v>35</v>
      </c>
      <c r="J170">
        <v>1.9</v>
      </c>
      <c r="K170">
        <v>0.23269999999999999</v>
      </c>
      <c r="L170" s="114">
        <v>0</v>
      </c>
      <c r="M170" s="114">
        <v>0</v>
      </c>
      <c r="N170" s="114">
        <v>0</v>
      </c>
      <c r="O170" t="s">
        <v>1133</v>
      </c>
    </row>
    <row r="171" spans="1:15" x14ac:dyDescent="0.25">
      <c r="A171" t="s">
        <v>214</v>
      </c>
      <c r="B171" s="159">
        <v>45356.84652777778</v>
      </c>
      <c r="C171" s="1" t="s">
        <v>19</v>
      </c>
      <c r="D171" s="1" t="s">
        <v>20</v>
      </c>
      <c r="E171" t="s">
        <v>33</v>
      </c>
      <c r="F171" t="s">
        <v>41</v>
      </c>
      <c r="G171" s="114">
        <v>2517.84</v>
      </c>
      <c r="H171" s="1" t="s">
        <v>22</v>
      </c>
      <c r="J171">
        <v>1.9</v>
      </c>
      <c r="K171">
        <v>8.5999999999999993E-2</v>
      </c>
      <c r="L171" s="114">
        <v>4.1142399999999997</v>
      </c>
      <c r="M171" s="114">
        <v>212.42</v>
      </c>
      <c r="N171" s="114">
        <v>216.53423999999998</v>
      </c>
      <c r="O171" t="s">
        <v>1133</v>
      </c>
    </row>
    <row r="172" spans="1:15" x14ac:dyDescent="0.25">
      <c r="A172" t="s">
        <v>215</v>
      </c>
      <c r="B172" s="159">
        <v>45357.072222222225</v>
      </c>
      <c r="C172" s="1" t="s">
        <v>19</v>
      </c>
      <c r="D172" s="1" t="s">
        <v>20</v>
      </c>
      <c r="E172" t="s">
        <v>28</v>
      </c>
      <c r="F172" t="s">
        <v>21</v>
      </c>
      <c r="G172" s="114">
        <v>691.14</v>
      </c>
      <c r="H172" s="1" t="s">
        <v>34</v>
      </c>
      <c r="I172" t="s">
        <v>55</v>
      </c>
      <c r="J172">
        <v>2.9</v>
      </c>
      <c r="K172">
        <v>8.5999999999999993E-2</v>
      </c>
      <c r="L172" s="114">
        <v>0</v>
      </c>
      <c r="M172" s="114">
        <v>0</v>
      </c>
      <c r="N172" s="114">
        <v>0</v>
      </c>
      <c r="O172" t="s">
        <v>1133</v>
      </c>
    </row>
    <row r="173" spans="1:15" x14ac:dyDescent="0.25">
      <c r="A173" t="s">
        <v>216</v>
      </c>
      <c r="B173" s="159">
        <v>45357.14166666667</v>
      </c>
      <c r="C173" s="1" t="s">
        <v>19</v>
      </c>
      <c r="D173" s="1" t="s">
        <v>20</v>
      </c>
      <c r="E173" t="s">
        <v>33</v>
      </c>
      <c r="F173" t="s">
        <v>21</v>
      </c>
      <c r="G173" s="114">
        <v>2525.5100000000002</v>
      </c>
      <c r="H173" s="1" t="s">
        <v>34</v>
      </c>
      <c r="I173" t="s">
        <v>55</v>
      </c>
      <c r="J173">
        <v>1.9</v>
      </c>
      <c r="K173">
        <v>8.5999999999999993E-2</v>
      </c>
      <c r="L173" s="114">
        <v>0</v>
      </c>
      <c r="M173" s="114">
        <v>0</v>
      </c>
      <c r="N173" s="114">
        <v>0</v>
      </c>
      <c r="O173" t="s">
        <v>1133</v>
      </c>
    </row>
    <row r="174" spans="1:15" x14ac:dyDescent="0.25">
      <c r="A174" t="s">
        <v>217</v>
      </c>
      <c r="B174" s="159">
        <v>45357.142361111109</v>
      </c>
      <c r="C174" s="1" t="s">
        <v>37</v>
      </c>
      <c r="D174" s="1" t="s">
        <v>38</v>
      </c>
      <c r="E174" t="s">
        <v>39</v>
      </c>
      <c r="F174" t="s">
        <v>45</v>
      </c>
      <c r="G174" s="114">
        <v>4695.3500000000004</v>
      </c>
      <c r="H174" s="1" t="s">
        <v>22</v>
      </c>
      <c r="J174">
        <v>3.2</v>
      </c>
      <c r="K174">
        <v>0.23269999999999999</v>
      </c>
      <c r="L174" s="114">
        <v>34.963175</v>
      </c>
      <c r="M174" s="114">
        <v>1057.6447700000001</v>
      </c>
      <c r="N174" s="114">
        <v>1092.6079450000002</v>
      </c>
      <c r="O174" t="s">
        <v>1133</v>
      </c>
    </row>
    <row r="175" spans="1:15" x14ac:dyDescent="0.25">
      <c r="A175" t="s">
        <v>218</v>
      </c>
      <c r="B175" s="159">
        <v>45357.663194444445</v>
      </c>
      <c r="C175" s="1" t="s">
        <v>47</v>
      </c>
      <c r="D175" s="1" t="s">
        <v>25</v>
      </c>
      <c r="E175" t="s">
        <v>39</v>
      </c>
      <c r="F175" t="s">
        <v>16</v>
      </c>
      <c r="G175" s="114">
        <v>1421.8</v>
      </c>
      <c r="H175" s="1" t="s">
        <v>22</v>
      </c>
      <c r="J175">
        <v>3.2</v>
      </c>
      <c r="K175">
        <v>1</v>
      </c>
      <c r="L175" s="114">
        <v>45.5</v>
      </c>
      <c r="M175" s="114">
        <v>1376.3</v>
      </c>
      <c r="N175" s="114">
        <v>1421.8</v>
      </c>
      <c r="O175" t="s">
        <v>1133</v>
      </c>
    </row>
    <row r="176" spans="1:15" x14ac:dyDescent="0.25">
      <c r="A176" t="s">
        <v>219</v>
      </c>
      <c r="B176" s="159">
        <v>45357.895833333336</v>
      </c>
      <c r="C176" s="1" t="s">
        <v>13</v>
      </c>
      <c r="D176" s="1" t="s">
        <v>14</v>
      </c>
      <c r="E176" t="s">
        <v>44</v>
      </c>
      <c r="F176" t="s">
        <v>21</v>
      </c>
      <c r="G176" s="114">
        <v>2643.09</v>
      </c>
      <c r="H176" s="1" t="s">
        <v>17</v>
      </c>
      <c r="J176">
        <v>2.1</v>
      </c>
      <c r="K176">
        <v>8.7400000000000005E-2</v>
      </c>
      <c r="L176" s="114">
        <v>0</v>
      </c>
      <c r="M176" s="114">
        <v>0</v>
      </c>
      <c r="N176" s="114">
        <v>0</v>
      </c>
      <c r="O176" t="s">
        <v>1133</v>
      </c>
    </row>
    <row r="177" spans="1:15" x14ac:dyDescent="0.25">
      <c r="A177" t="s">
        <v>220</v>
      </c>
      <c r="B177" s="159">
        <v>45358.14166666667</v>
      </c>
      <c r="C177" s="1" t="s">
        <v>13</v>
      </c>
      <c r="D177" s="1" t="s">
        <v>14</v>
      </c>
      <c r="E177" t="s">
        <v>33</v>
      </c>
      <c r="F177" t="s">
        <v>21</v>
      </c>
      <c r="G177" s="114">
        <v>843.43</v>
      </c>
      <c r="H177" s="1" t="s">
        <v>22</v>
      </c>
      <c r="J177">
        <v>1.9</v>
      </c>
      <c r="K177">
        <v>8.7400000000000005E-2</v>
      </c>
      <c r="L177" s="114">
        <v>1.4010220000000002</v>
      </c>
      <c r="M177" s="114">
        <v>72.314760000000007</v>
      </c>
      <c r="N177" s="114">
        <v>73.715782000000004</v>
      </c>
      <c r="O177" t="s">
        <v>1133</v>
      </c>
    </row>
    <row r="178" spans="1:15" x14ac:dyDescent="0.25">
      <c r="A178" t="s">
        <v>221</v>
      </c>
      <c r="B178" s="159">
        <v>45358.447916666664</v>
      </c>
      <c r="C178" s="1" t="s">
        <v>27</v>
      </c>
      <c r="D178" s="1" t="s">
        <v>25</v>
      </c>
      <c r="E178" t="s">
        <v>39</v>
      </c>
      <c r="F178" t="s">
        <v>41</v>
      </c>
      <c r="G178" s="114">
        <v>119.35</v>
      </c>
      <c r="H178" s="1" t="s">
        <v>17</v>
      </c>
      <c r="J178">
        <v>3.2</v>
      </c>
      <c r="K178">
        <v>1</v>
      </c>
      <c r="L178" s="114">
        <v>0</v>
      </c>
      <c r="M178" s="114">
        <v>0</v>
      </c>
      <c r="N178" s="114">
        <v>0</v>
      </c>
      <c r="O178" t="s">
        <v>1133</v>
      </c>
    </row>
    <row r="179" spans="1:15" x14ac:dyDescent="0.25">
      <c r="A179" t="s">
        <v>222</v>
      </c>
      <c r="B179" s="159">
        <v>45358.816666666666</v>
      </c>
      <c r="C179" s="1" t="s">
        <v>43</v>
      </c>
      <c r="D179" s="1" t="s">
        <v>25</v>
      </c>
      <c r="E179" t="s">
        <v>33</v>
      </c>
      <c r="F179" t="s">
        <v>16</v>
      </c>
      <c r="G179" s="114">
        <v>2467.6</v>
      </c>
      <c r="H179" s="1" t="s">
        <v>22</v>
      </c>
      <c r="J179">
        <v>1.9</v>
      </c>
      <c r="K179">
        <v>1</v>
      </c>
      <c r="L179" s="114">
        <v>46.88</v>
      </c>
      <c r="M179" s="114">
        <v>2420.7199999999998</v>
      </c>
      <c r="N179" s="114">
        <v>2467.6</v>
      </c>
      <c r="O179" t="s">
        <v>1133</v>
      </c>
    </row>
    <row r="180" spans="1:15" x14ac:dyDescent="0.25">
      <c r="A180" t="s">
        <v>223</v>
      </c>
      <c r="B180" s="159">
        <v>45359.097222222219</v>
      </c>
      <c r="C180" s="1" t="s">
        <v>13</v>
      </c>
      <c r="D180" s="1" t="s">
        <v>14</v>
      </c>
      <c r="E180" t="s">
        <v>15</v>
      </c>
      <c r="F180" t="s">
        <v>29</v>
      </c>
      <c r="G180" s="114">
        <v>1309.43</v>
      </c>
      <c r="H180" s="1" t="s">
        <v>22</v>
      </c>
      <c r="J180">
        <v>2.5</v>
      </c>
      <c r="K180">
        <v>8.7400000000000005E-2</v>
      </c>
      <c r="L180" s="114">
        <v>2.8614760000000006</v>
      </c>
      <c r="M180" s="114">
        <v>111.58270600000002</v>
      </c>
      <c r="N180" s="114">
        <v>114.44418200000001</v>
      </c>
      <c r="O180" t="s">
        <v>1133</v>
      </c>
    </row>
    <row r="181" spans="1:15" x14ac:dyDescent="0.25">
      <c r="A181" t="s">
        <v>224</v>
      </c>
      <c r="B181" s="159">
        <v>45359.119444444441</v>
      </c>
      <c r="C181" s="1" t="s">
        <v>43</v>
      </c>
      <c r="D181" s="1" t="s">
        <v>25</v>
      </c>
      <c r="E181" t="s">
        <v>28</v>
      </c>
      <c r="F181" t="s">
        <v>16</v>
      </c>
      <c r="G181" s="114">
        <v>1558.85</v>
      </c>
      <c r="H181" s="1" t="s">
        <v>34</v>
      </c>
      <c r="I181" t="s">
        <v>55</v>
      </c>
      <c r="J181">
        <v>2.9</v>
      </c>
      <c r="K181">
        <v>1</v>
      </c>
      <c r="L181" s="114">
        <v>0</v>
      </c>
      <c r="M181" s="114">
        <v>0</v>
      </c>
      <c r="N181" s="114">
        <v>0</v>
      </c>
      <c r="O181" t="s">
        <v>1133</v>
      </c>
    </row>
    <row r="182" spans="1:15" x14ac:dyDescent="0.25">
      <c r="A182" t="s">
        <v>225</v>
      </c>
      <c r="B182" s="159">
        <v>45359.209027777775</v>
      </c>
      <c r="C182" s="1" t="s">
        <v>19</v>
      </c>
      <c r="D182" s="1" t="s">
        <v>20</v>
      </c>
      <c r="E182" t="s">
        <v>33</v>
      </c>
      <c r="F182" t="s">
        <v>21</v>
      </c>
      <c r="G182" s="114">
        <v>3031.97</v>
      </c>
      <c r="H182" s="1" t="s">
        <v>17</v>
      </c>
      <c r="J182">
        <v>1.9</v>
      </c>
      <c r="K182">
        <v>8.5999999999999993E-2</v>
      </c>
      <c r="L182" s="114">
        <v>0</v>
      </c>
      <c r="M182" s="114">
        <v>0</v>
      </c>
      <c r="N182" s="114">
        <v>0</v>
      </c>
      <c r="O182" t="s">
        <v>1133</v>
      </c>
    </row>
    <row r="183" spans="1:15" x14ac:dyDescent="0.25">
      <c r="A183" t="s">
        <v>226</v>
      </c>
      <c r="B183" s="159">
        <v>45359.470833333333</v>
      </c>
      <c r="C183" s="1" t="s">
        <v>24</v>
      </c>
      <c r="D183" s="1" t="s">
        <v>25</v>
      </c>
      <c r="E183" t="s">
        <v>28</v>
      </c>
      <c r="F183" t="s">
        <v>41</v>
      </c>
      <c r="G183" s="114">
        <v>2404.12</v>
      </c>
      <c r="H183" s="1" t="s">
        <v>22</v>
      </c>
      <c r="J183">
        <v>2.9</v>
      </c>
      <c r="K183">
        <v>1</v>
      </c>
      <c r="L183" s="114">
        <v>69.72</v>
      </c>
      <c r="M183" s="114">
        <v>2334.4</v>
      </c>
      <c r="N183" s="114">
        <v>2404.12</v>
      </c>
      <c r="O183" t="s">
        <v>1133</v>
      </c>
    </row>
    <row r="184" spans="1:15" x14ac:dyDescent="0.25">
      <c r="A184" t="s">
        <v>227</v>
      </c>
      <c r="B184" s="159">
        <v>45359.803472222222</v>
      </c>
      <c r="C184" s="1" t="s">
        <v>47</v>
      </c>
      <c r="D184" s="1" t="s">
        <v>25</v>
      </c>
      <c r="E184" t="s">
        <v>39</v>
      </c>
      <c r="F184" t="s">
        <v>41</v>
      </c>
      <c r="G184" s="114">
        <v>3709.73</v>
      </c>
      <c r="H184" s="1" t="s">
        <v>17</v>
      </c>
      <c r="J184">
        <v>3.2</v>
      </c>
      <c r="K184">
        <v>1</v>
      </c>
      <c r="L184" s="114">
        <v>0</v>
      </c>
      <c r="M184" s="114">
        <v>0</v>
      </c>
      <c r="N184" s="114">
        <v>0</v>
      </c>
      <c r="O184" t="s">
        <v>1133</v>
      </c>
    </row>
    <row r="185" spans="1:15" x14ac:dyDescent="0.25">
      <c r="A185" t="s">
        <v>228</v>
      </c>
      <c r="B185" s="159">
        <v>45359.84097222222</v>
      </c>
      <c r="C185" s="1" t="s">
        <v>19</v>
      </c>
      <c r="D185" s="1" t="s">
        <v>20</v>
      </c>
      <c r="E185" t="s">
        <v>28</v>
      </c>
      <c r="F185" t="s">
        <v>29</v>
      </c>
      <c r="G185" s="114">
        <v>1269.43</v>
      </c>
      <c r="H185" s="1" t="s">
        <v>22</v>
      </c>
      <c r="J185">
        <v>2.9</v>
      </c>
      <c r="K185">
        <v>8.5999999999999993E-2</v>
      </c>
      <c r="L185" s="114">
        <v>3.1656599999999999</v>
      </c>
      <c r="M185" s="114">
        <v>106.00531999999998</v>
      </c>
      <c r="N185" s="114">
        <v>109.17097999999999</v>
      </c>
      <c r="O185" t="s">
        <v>1133</v>
      </c>
    </row>
    <row r="186" spans="1:15" x14ac:dyDescent="0.25">
      <c r="A186" t="s">
        <v>229</v>
      </c>
      <c r="B186" s="159">
        <v>45359.948611111111</v>
      </c>
      <c r="C186" s="1" t="s">
        <v>60</v>
      </c>
      <c r="D186" s="1" t="s">
        <v>25</v>
      </c>
      <c r="E186" t="s">
        <v>44</v>
      </c>
      <c r="F186" t="s">
        <v>41</v>
      </c>
      <c r="G186" s="114">
        <v>2085.98</v>
      </c>
      <c r="H186" s="1" t="s">
        <v>17</v>
      </c>
      <c r="J186">
        <v>2.1</v>
      </c>
      <c r="K186">
        <v>1</v>
      </c>
      <c r="L186" s="114">
        <v>0</v>
      </c>
      <c r="M186" s="114">
        <v>0</v>
      </c>
      <c r="N186" s="114">
        <v>0</v>
      </c>
      <c r="O186" t="s">
        <v>1133</v>
      </c>
    </row>
    <row r="187" spans="1:15" x14ac:dyDescent="0.25">
      <c r="A187" t="s">
        <v>230</v>
      </c>
      <c r="B187" s="159">
        <v>45360.159722222219</v>
      </c>
      <c r="C187" s="1" t="s">
        <v>19</v>
      </c>
      <c r="D187" s="1" t="s">
        <v>20</v>
      </c>
      <c r="E187" t="s">
        <v>15</v>
      </c>
      <c r="F187" t="s">
        <v>29</v>
      </c>
      <c r="G187" s="114">
        <v>88</v>
      </c>
      <c r="H187" s="1" t="s">
        <v>34</v>
      </c>
      <c r="I187" t="s">
        <v>78</v>
      </c>
      <c r="J187">
        <v>2.5</v>
      </c>
      <c r="K187">
        <v>8.5999999999999993E-2</v>
      </c>
      <c r="L187" s="114">
        <v>0</v>
      </c>
      <c r="M187" s="114">
        <v>0</v>
      </c>
      <c r="N187" s="114">
        <v>0</v>
      </c>
      <c r="O187" t="s">
        <v>1133</v>
      </c>
    </row>
    <row r="188" spans="1:15" x14ac:dyDescent="0.25">
      <c r="A188" t="s">
        <v>231</v>
      </c>
      <c r="B188" s="159">
        <v>45360.18472222222</v>
      </c>
      <c r="C188" s="1" t="s">
        <v>19</v>
      </c>
      <c r="D188" s="1" t="s">
        <v>20</v>
      </c>
      <c r="E188" t="s">
        <v>33</v>
      </c>
      <c r="F188" t="s">
        <v>21</v>
      </c>
      <c r="G188" s="114">
        <v>4216.9399999999996</v>
      </c>
      <c r="H188" s="1" t="s">
        <v>17</v>
      </c>
      <c r="J188">
        <v>1.9</v>
      </c>
      <c r="K188">
        <v>8.5999999999999993E-2</v>
      </c>
      <c r="L188" s="114">
        <v>0</v>
      </c>
      <c r="M188" s="114">
        <v>0</v>
      </c>
      <c r="N188" s="114">
        <v>0</v>
      </c>
      <c r="O188" t="s">
        <v>1133</v>
      </c>
    </row>
    <row r="189" spans="1:15" x14ac:dyDescent="0.25">
      <c r="A189" t="s">
        <v>232</v>
      </c>
      <c r="B189" s="159">
        <v>45361.379861111112</v>
      </c>
      <c r="C189" s="1" t="s">
        <v>43</v>
      </c>
      <c r="D189" s="1" t="s">
        <v>25</v>
      </c>
      <c r="E189" t="s">
        <v>33</v>
      </c>
      <c r="F189" t="s">
        <v>16</v>
      </c>
      <c r="G189" s="114">
        <v>1367.95</v>
      </c>
      <c r="H189" s="1" t="s">
        <v>17</v>
      </c>
      <c r="J189">
        <v>1.9</v>
      </c>
      <c r="K189">
        <v>1</v>
      </c>
      <c r="L189" s="114">
        <v>0</v>
      </c>
      <c r="M189" s="114">
        <v>0</v>
      </c>
      <c r="N189" s="114">
        <v>0</v>
      </c>
      <c r="O189" t="s">
        <v>1133</v>
      </c>
    </row>
    <row r="190" spans="1:15" x14ac:dyDescent="0.25">
      <c r="A190" t="s">
        <v>233</v>
      </c>
      <c r="B190" s="159">
        <v>45361.705555555556</v>
      </c>
      <c r="C190" s="1" t="s">
        <v>19</v>
      </c>
      <c r="D190" s="1" t="s">
        <v>20</v>
      </c>
      <c r="E190" t="s">
        <v>28</v>
      </c>
      <c r="F190" t="s">
        <v>29</v>
      </c>
      <c r="G190" s="114">
        <v>971.89</v>
      </c>
      <c r="H190" s="1" t="s">
        <v>22</v>
      </c>
      <c r="J190">
        <v>2.9</v>
      </c>
      <c r="K190">
        <v>8.5999999999999993E-2</v>
      </c>
      <c r="L190" s="114">
        <v>2.4234799999999996</v>
      </c>
      <c r="M190" s="114">
        <v>81.159059999999997</v>
      </c>
      <c r="N190" s="114">
        <v>83.582539999999995</v>
      </c>
      <c r="O190" t="s">
        <v>1133</v>
      </c>
    </row>
    <row r="191" spans="1:15" x14ac:dyDescent="0.25">
      <c r="A191" t="s">
        <v>234</v>
      </c>
      <c r="B191" s="159">
        <v>45362.176388888889</v>
      </c>
      <c r="C191" s="1" t="s">
        <v>58</v>
      </c>
      <c r="D191" s="1" t="s">
        <v>25</v>
      </c>
      <c r="E191" t="s">
        <v>44</v>
      </c>
      <c r="F191" t="s">
        <v>29</v>
      </c>
      <c r="G191" s="114">
        <v>330.5</v>
      </c>
      <c r="H191" s="1" t="s">
        <v>34</v>
      </c>
      <c r="I191" t="s">
        <v>62</v>
      </c>
      <c r="J191">
        <v>2.1</v>
      </c>
      <c r="K191">
        <v>1</v>
      </c>
      <c r="L191" s="114">
        <v>0</v>
      </c>
      <c r="M191" s="114">
        <v>0</v>
      </c>
      <c r="N191" s="114">
        <v>0</v>
      </c>
      <c r="O191" t="s">
        <v>1133</v>
      </c>
    </row>
    <row r="192" spans="1:15" x14ac:dyDescent="0.25">
      <c r="A192" t="s">
        <v>235</v>
      </c>
      <c r="B192" s="159">
        <v>45362.26458333333</v>
      </c>
      <c r="C192" s="1" t="s">
        <v>58</v>
      </c>
      <c r="D192" s="1" t="s">
        <v>25</v>
      </c>
      <c r="E192" t="s">
        <v>33</v>
      </c>
      <c r="F192" t="s">
        <v>16</v>
      </c>
      <c r="G192" s="114">
        <v>724.69</v>
      </c>
      <c r="H192" s="1" t="s">
        <v>22</v>
      </c>
      <c r="J192">
        <v>1.9</v>
      </c>
      <c r="K192">
        <v>1</v>
      </c>
      <c r="L192" s="114">
        <v>13.77</v>
      </c>
      <c r="M192" s="114">
        <v>710.92</v>
      </c>
      <c r="N192" s="114">
        <v>724.68999999999994</v>
      </c>
      <c r="O192" t="s">
        <v>1133</v>
      </c>
    </row>
    <row r="193" spans="1:15" x14ac:dyDescent="0.25">
      <c r="A193" t="s">
        <v>236</v>
      </c>
      <c r="B193" s="159">
        <v>45362.53402777778</v>
      </c>
      <c r="C193" s="1" t="s">
        <v>27</v>
      </c>
      <c r="D193" s="1" t="s">
        <v>25</v>
      </c>
      <c r="E193" t="s">
        <v>44</v>
      </c>
      <c r="F193" t="s">
        <v>41</v>
      </c>
      <c r="G193" s="114">
        <v>2657.24</v>
      </c>
      <c r="H193" s="1" t="s">
        <v>22</v>
      </c>
      <c r="J193">
        <v>2.1</v>
      </c>
      <c r="K193">
        <v>1</v>
      </c>
      <c r="L193" s="114">
        <v>55.8</v>
      </c>
      <c r="M193" s="114">
        <v>2601.44</v>
      </c>
      <c r="N193" s="114">
        <v>2657.2400000000002</v>
      </c>
      <c r="O193" t="s">
        <v>1133</v>
      </c>
    </row>
    <row r="194" spans="1:15" x14ac:dyDescent="0.25">
      <c r="A194" t="s">
        <v>237</v>
      </c>
      <c r="B194" s="159">
        <v>45363.05</v>
      </c>
      <c r="C194" s="1" t="s">
        <v>60</v>
      </c>
      <c r="D194" s="1" t="s">
        <v>25</v>
      </c>
      <c r="E194" t="s">
        <v>33</v>
      </c>
      <c r="F194" t="s">
        <v>29</v>
      </c>
      <c r="G194" s="114">
        <v>2451.27</v>
      </c>
      <c r="H194" s="1" t="s">
        <v>22</v>
      </c>
      <c r="J194">
        <v>1.9</v>
      </c>
      <c r="K194">
        <v>1</v>
      </c>
      <c r="L194" s="114">
        <v>46.57</v>
      </c>
      <c r="M194" s="114">
        <v>2404.6999999999998</v>
      </c>
      <c r="N194" s="114">
        <v>2451.27</v>
      </c>
      <c r="O194" t="s">
        <v>1133</v>
      </c>
    </row>
    <row r="195" spans="1:15" x14ac:dyDescent="0.25">
      <c r="A195" t="s">
        <v>238</v>
      </c>
      <c r="B195" s="159">
        <v>45363.303472222222</v>
      </c>
      <c r="C195" s="1" t="s">
        <v>31</v>
      </c>
      <c r="D195" s="1" t="s">
        <v>32</v>
      </c>
      <c r="E195" t="s">
        <v>44</v>
      </c>
      <c r="F195" t="s">
        <v>45</v>
      </c>
      <c r="G195" s="114">
        <v>3008.99</v>
      </c>
      <c r="H195" s="1" t="s">
        <v>17</v>
      </c>
      <c r="J195">
        <v>2.1</v>
      </c>
      <c r="K195">
        <v>1.1801999999999999</v>
      </c>
      <c r="L195" s="114">
        <v>0</v>
      </c>
      <c r="M195" s="114">
        <v>0</v>
      </c>
      <c r="N195" s="114">
        <v>0</v>
      </c>
      <c r="O195" t="s">
        <v>1133</v>
      </c>
    </row>
    <row r="196" spans="1:15" x14ac:dyDescent="0.25">
      <c r="A196" t="s">
        <v>239</v>
      </c>
      <c r="B196" s="159">
        <v>45363.84652777778</v>
      </c>
      <c r="C196" s="1" t="s">
        <v>24</v>
      </c>
      <c r="D196" s="1" t="s">
        <v>25</v>
      </c>
      <c r="E196" t="s">
        <v>39</v>
      </c>
      <c r="F196" t="s">
        <v>29</v>
      </c>
      <c r="G196" s="114">
        <v>3579.03</v>
      </c>
      <c r="H196" s="1" t="s">
        <v>34</v>
      </c>
      <c r="I196" t="s">
        <v>78</v>
      </c>
      <c r="J196">
        <v>3.2</v>
      </c>
      <c r="K196">
        <v>1</v>
      </c>
      <c r="L196" s="114">
        <v>0</v>
      </c>
      <c r="M196" s="114">
        <v>0</v>
      </c>
      <c r="N196" s="114">
        <v>0</v>
      </c>
      <c r="O196" t="s">
        <v>1133</v>
      </c>
    </row>
    <row r="197" spans="1:15" x14ac:dyDescent="0.25">
      <c r="A197" t="s">
        <v>240</v>
      </c>
      <c r="B197" s="159">
        <v>45363.981944444444</v>
      </c>
      <c r="C197" s="1" t="s">
        <v>43</v>
      </c>
      <c r="D197" s="1" t="s">
        <v>25</v>
      </c>
      <c r="E197" t="s">
        <v>44</v>
      </c>
      <c r="F197" t="s">
        <v>45</v>
      </c>
      <c r="G197" s="114">
        <v>4951.71</v>
      </c>
      <c r="H197" s="1" t="s">
        <v>22</v>
      </c>
      <c r="J197">
        <v>2.1</v>
      </c>
      <c r="K197">
        <v>1</v>
      </c>
      <c r="L197" s="114">
        <v>103.99</v>
      </c>
      <c r="M197" s="114">
        <v>4847.72</v>
      </c>
      <c r="N197" s="114">
        <v>4951.71</v>
      </c>
      <c r="O197" t="s">
        <v>1133</v>
      </c>
    </row>
    <row r="198" spans="1:15" x14ac:dyDescent="0.25">
      <c r="A198" t="s">
        <v>241</v>
      </c>
      <c r="B198" s="159">
        <v>45364.127083333333</v>
      </c>
      <c r="C198" s="1" t="s">
        <v>47</v>
      </c>
      <c r="D198" s="1" t="s">
        <v>25</v>
      </c>
      <c r="E198" t="s">
        <v>15</v>
      </c>
      <c r="F198" t="s">
        <v>45</v>
      </c>
      <c r="G198" s="114">
        <v>2096.4899999999998</v>
      </c>
      <c r="H198" s="1" t="s">
        <v>22</v>
      </c>
      <c r="J198">
        <v>2.5</v>
      </c>
      <c r="K198">
        <v>1</v>
      </c>
      <c r="L198" s="114">
        <v>52.41</v>
      </c>
      <c r="M198" s="114">
        <v>2044.08</v>
      </c>
      <c r="N198" s="114">
        <v>2096.4899999999998</v>
      </c>
      <c r="O198" t="s">
        <v>1133</v>
      </c>
    </row>
    <row r="199" spans="1:15" x14ac:dyDescent="0.25">
      <c r="A199" t="s">
        <v>242</v>
      </c>
      <c r="B199" s="159">
        <v>45364.548611111109</v>
      </c>
      <c r="C199" s="1" t="s">
        <v>37</v>
      </c>
      <c r="D199" s="1" t="s">
        <v>38</v>
      </c>
      <c r="E199" t="s">
        <v>33</v>
      </c>
      <c r="F199" t="s">
        <v>29</v>
      </c>
      <c r="G199" s="114">
        <v>2198.92</v>
      </c>
      <c r="H199" s="1" t="s">
        <v>17</v>
      </c>
      <c r="J199">
        <v>1.9</v>
      </c>
      <c r="K199">
        <v>0.23269999999999999</v>
      </c>
      <c r="L199" s="114">
        <v>0</v>
      </c>
      <c r="M199" s="114">
        <v>0</v>
      </c>
      <c r="N199" s="114">
        <v>0</v>
      </c>
      <c r="O199" t="s">
        <v>1133</v>
      </c>
    </row>
    <row r="200" spans="1:15" x14ac:dyDescent="0.25">
      <c r="A200" t="s">
        <v>243</v>
      </c>
      <c r="B200" s="159">
        <v>45365.005555555559</v>
      </c>
      <c r="C200" s="1" t="s">
        <v>13</v>
      </c>
      <c r="D200" s="1" t="s">
        <v>14</v>
      </c>
      <c r="E200" t="s">
        <v>39</v>
      </c>
      <c r="F200" t="s">
        <v>21</v>
      </c>
      <c r="G200" s="114">
        <v>3896.25</v>
      </c>
      <c r="H200" s="1" t="s">
        <v>34</v>
      </c>
      <c r="I200" t="s">
        <v>62</v>
      </c>
      <c r="J200">
        <v>3.2</v>
      </c>
      <c r="K200">
        <v>8.7400000000000005E-2</v>
      </c>
      <c r="L200" s="114">
        <v>0</v>
      </c>
      <c r="M200" s="114">
        <v>0</v>
      </c>
      <c r="N200" s="114">
        <v>0</v>
      </c>
      <c r="O200" t="s">
        <v>1133</v>
      </c>
    </row>
    <row r="201" spans="1:15" x14ac:dyDescent="0.25">
      <c r="A201" t="s">
        <v>244</v>
      </c>
      <c r="B201" s="159">
        <v>45365.263194444444</v>
      </c>
      <c r="C201" s="1" t="s">
        <v>43</v>
      </c>
      <c r="D201" s="1" t="s">
        <v>25</v>
      </c>
      <c r="E201" t="s">
        <v>33</v>
      </c>
      <c r="F201" t="s">
        <v>21</v>
      </c>
      <c r="G201" s="114">
        <v>339.92</v>
      </c>
      <c r="H201" s="1" t="s">
        <v>17</v>
      </c>
      <c r="J201">
        <v>1.9</v>
      </c>
      <c r="K201">
        <v>1</v>
      </c>
      <c r="L201" s="114">
        <v>0</v>
      </c>
      <c r="M201" s="114">
        <v>0</v>
      </c>
      <c r="N201" s="114">
        <v>0</v>
      </c>
      <c r="O201" t="s">
        <v>1133</v>
      </c>
    </row>
    <row r="202" spans="1:15" x14ac:dyDescent="0.25">
      <c r="A202" t="s">
        <v>245</v>
      </c>
      <c r="B202" s="159">
        <v>45365.393750000003</v>
      </c>
      <c r="C202" s="1" t="s">
        <v>60</v>
      </c>
      <c r="D202" s="1" t="s">
        <v>25</v>
      </c>
      <c r="E202" t="s">
        <v>33</v>
      </c>
      <c r="F202" t="s">
        <v>21</v>
      </c>
      <c r="G202" s="114">
        <v>1210.42</v>
      </c>
      <c r="H202" s="1" t="s">
        <v>34</v>
      </c>
      <c r="I202" t="s">
        <v>35</v>
      </c>
      <c r="J202">
        <v>1.9</v>
      </c>
      <c r="K202">
        <v>1</v>
      </c>
      <c r="L202" s="114">
        <v>0</v>
      </c>
      <c r="M202" s="114">
        <v>0</v>
      </c>
      <c r="N202" s="114">
        <v>0</v>
      </c>
      <c r="O202" t="s">
        <v>1133</v>
      </c>
    </row>
    <row r="203" spans="1:15" x14ac:dyDescent="0.25">
      <c r="A203" t="s">
        <v>246</v>
      </c>
      <c r="B203" s="159">
        <v>45366.479166666664</v>
      </c>
      <c r="C203" s="1" t="s">
        <v>37</v>
      </c>
      <c r="D203" s="1" t="s">
        <v>38</v>
      </c>
      <c r="E203" t="s">
        <v>39</v>
      </c>
      <c r="F203" t="s">
        <v>41</v>
      </c>
      <c r="G203" s="114">
        <v>3230.53</v>
      </c>
      <c r="H203" s="1" t="s">
        <v>17</v>
      </c>
      <c r="J203">
        <v>3.2</v>
      </c>
      <c r="K203">
        <v>0.23269999999999999</v>
      </c>
      <c r="L203" s="114">
        <v>0</v>
      </c>
      <c r="M203" s="114">
        <v>0</v>
      </c>
      <c r="N203" s="114">
        <v>0</v>
      </c>
      <c r="O203" t="s">
        <v>1133</v>
      </c>
    </row>
    <row r="204" spans="1:15" x14ac:dyDescent="0.25">
      <c r="A204" t="s">
        <v>247</v>
      </c>
      <c r="B204" s="159">
        <v>45366.665972222225</v>
      </c>
      <c r="C204" s="1" t="s">
        <v>19</v>
      </c>
      <c r="D204" s="1" t="s">
        <v>20</v>
      </c>
      <c r="E204" t="s">
        <v>15</v>
      </c>
      <c r="F204" t="s">
        <v>41</v>
      </c>
      <c r="G204" s="114">
        <v>329.76</v>
      </c>
      <c r="H204" s="1" t="s">
        <v>22</v>
      </c>
      <c r="J204">
        <v>2.5</v>
      </c>
      <c r="K204">
        <v>8.5999999999999993E-2</v>
      </c>
      <c r="L204" s="114">
        <v>0.70863999999999994</v>
      </c>
      <c r="M204" s="114">
        <v>27.650719999999996</v>
      </c>
      <c r="N204" s="114">
        <v>28.359359999999995</v>
      </c>
      <c r="O204" t="s">
        <v>1133</v>
      </c>
    </row>
    <row r="205" spans="1:15" x14ac:dyDescent="0.25">
      <c r="A205" t="s">
        <v>248</v>
      </c>
      <c r="B205" s="159">
        <v>45366.970138888886</v>
      </c>
      <c r="C205" s="1" t="s">
        <v>19</v>
      </c>
      <c r="D205" s="1" t="s">
        <v>20</v>
      </c>
      <c r="E205" t="s">
        <v>39</v>
      </c>
      <c r="F205" t="s">
        <v>21</v>
      </c>
      <c r="G205" s="114">
        <v>811.18</v>
      </c>
      <c r="H205" s="1" t="s">
        <v>17</v>
      </c>
      <c r="J205">
        <v>3.2</v>
      </c>
      <c r="K205">
        <v>8.5999999999999993E-2</v>
      </c>
      <c r="L205" s="114">
        <v>0</v>
      </c>
      <c r="M205" s="114">
        <v>0</v>
      </c>
      <c r="N205" s="114">
        <v>0</v>
      </c>
      <c r="O205" t="s">
        <v>1133</v>
      </c>
    </row>
    <row r="206" spans="1:15" x14ac:dyDescent="0.25">
      <c r="A206" t="s">
        <v>249</v>
      </c>
      <c r="B206" s="159">
        <v>45367.791666666664</v>
      </c>
      <c r="C206" s="1" t="s">
        <v>47</v>
      </c>
      <c r="D206" s="1" t="s">
        <v>25</v>
      </c>
      <c r="E206" t="s">
        <v>44</v>
      </c>
      <c r="F206" t="s">
        <v>29</v>
      </c>
      <c r="G206" s="114">
        <v>2705.68</v>
      </c>
      <c r="H206" s="1" t="s">
        <v>22</v>
      </c>
      <c r="J206">
        <v>2.1</v>
      </c>
      <c r="K206">
        <v>1</v>
      </c>
      <c r="L206" s="114">
        <v>56.82</v>
      </c>
      <c r="M206" s="114">
        <v>2648.86</v>
      </c>
      <c r="N206" s="114">
        <v>2705.6800000000003</v>
      </c>
      <c r="O206" t="s">
        <v>1133</v>
      </c>
    </row>
    <row r="207" spans="1:15" x14ac:dyDescent="0.25">
      <c r="A207" t="s">
        <v>250</v>
      </c>
      <c r="B207" s="159">
        <v>45367.881249999999</v>
      </c>
      <c r="C207" s="1" t="s">
        <v>43</v>
      </c>
      <c r="D207" s="1" t="s">
        <v>25</v>
      </c>
      <c r="E207" t="s">
        <v>33</v>
      </c>
      <c r="F207" t="s">
        <v>21</v>
      </c>
      <c r="G207" s="114">
        <v>1956.01</v>
      </c>
      <c r="H207" s="1" t="s">
        <v>17</v>
      </c>
      <c r="J207">
        <v>1.9</v>
      </c>
      <c r="K207">
        <v>1</v>
      </c>
      <c r="L207" s="114">
        <v>0</v>
      </c>
      <c r="M207" s="114">
        <v>0</v>
      </c>
      <c r="N207" s="114">
        <v>0</v>
      </c>
      <c r="O207" t="s">
        <v>1133</v>
      </c>
    </row>
    <row r="208" spans="1:15" x14ac:dyDescent="0.25">
      <c r="A208" t="s">
        <v>251</v>
      </c>
      <c r="B208" s="159">
        <v>45367.95416666667</v>
      </c>
      <c r="C208" s="1" t="s">
        <v>58</v>
      </c>
      <c r="D208" s="1" t="s">
        <v>25</v>
      </c>
      <c r="E208" t="s">
        <v>39</v>
      </c>
      <c r="F208" t="s">
        <v>16</v>
      </c>
      <c r="G208" s="114">
        <v>1870.43</v>
      </c>
      <c r="H208" s="1" t="s">
        <v>22</v>
      </c>
      <c r="J208">
        <v>3.2</v>
      </c>
      <c r="K208">
        <v>1</v>
      </c>
      <c r="L208" s="114">
        <v>59.85</v>
      </c>
      <c r="M208" s="114">
        <v>1810.58</v>
      </c>
      <c r="N208" s="114">
        <v>1870.4299999999998</v>
      </c>
      <c r="O208" t="s">
        <v>1133</v>
      </c>
    </row>
    <row r="209" spans="1:15" x14ac:dyDescent="0.25">
      <c r="A209" t="s">
        <v>252</v>
      </c>
      <c r="B209" s="159">
        <v>45368.099305555559</v>
      </c>
      <c r="C209" s="1" t="s">
        <v>27</v>
      </c>
      <c r="D209" s="1" t="s">
        <v>25</v>
      </c>
      <c r="E209" t="s">
        <v>33</v>
      </c>
      <c r="F209" t="s">
        <v>41</v>
      </c>
      <c r="G209" s="114">
        <v>80.430000000000007</v>
      </c>
      <c r="H209" s="1" t="s">
        <v>17</v>
      </c>
      <c r="J209">
        <v>1.9</v>
      </c>
      <c r="K209">
        <v>1</v>
      </c>
      <c r="L209" s="114">
        <v>0</v>
      </c>
      <c r="M209" s="114">
        <v>0</v>
      </c>
      <c r="N209" s="114">
        <v>0</v>
      </c>
      <c r="O209" t="s">
        <v>1133</v>
      </c>
    </row>
    <row r="210" spans="1:15" x14ac:dyDescent="0.25">
      <c r="A210" t="s">
        <v>253</v>
      </c>
      <c r="B210" s="159">
        <v>45368.79583333333</v>
      </c>
      <c r="C210" s="1" t="s">
        <v>27</v>
      </c>
      <c r="D210" s="1" t="s">
        <v>25</v>
      </c>
      <c r="E210" t="s">
        <v>15</v>
      </c>
      <c r="F210" t="s">
        <v>45</v>
      </c>
      <c r="G210" s="114">
        <v>3003.07</v>
      </c>
      <c r="H210" s="1" t="s">
        <v>17</v>
      </c>
      <c r="J210">
        <v>2.5</v>
      </c>
      <c r="K210">
        <v>1</v>
      </c>
      <c r="L210" s="114">
        <v>0</v>
      </c>
      <c r="M210" s="114">
        <v>0</v>
      </c>
      <c r="N210" s="114">
        <v>0</v>
      </c>
      <c r="O210" t="s">
        <v>1133</v>
      </c>
    </row>
    <row r="211" spans="1:15" x14ac:dyDescent="0.25">
      <c r="A211" t="s">
        <v>254</v>
      </c>
      <c r="B211" s="159">
        <v>45369.572222222225</v>
      </c>
      <c r="C211" s="1" t="s">
        <v>24</v>
      </c>
      <c r="D211" s="1" t="s">
        <v>25</v>
      </c>
      <c r="E211" t="s">
        <v>15</v>
      </c>
      <c r="F211" t="s">
        <v>45</v>
      </c>
      <c r="G211" s="114">
        <v>3877.11</v>
      </c>
      <c r="H211" s="1" t="s">
        <v>34</v>
      </c>
      <c r="I211" t="s">
        <v>78</v>
      </c>
      <c r="J211">
        <v>2.5</v>
      </c>
      <c r="K211">
        <v>1</v>
      </c>
      <c r="L211" s="114">
        <v>0</v>
      </c>
      <c r="M211" s="114">
        <v>0</v>
      </c>
      <c r="N211" s="114">
        <v>0</v>
      </c>
      <c r="O211" t="s">
        <v>1133</v>
      </c>
    </row>
    <row r="212" spans="1:15" x14ac:dyDescent="0.25">
      <c r="A212" t="s">
        <v>255</v>
      </c>
      <c r="B212" s="159">
        <v>45369.931250000001</v>
      </c>
      <c r="C212" s="1" t="s">
        <v>58</v>
      </c>
      <c r="D212" s="1" t="s">
        <v>25</v>
      </c>
      <c r="E212" t="s">
        <v>33</v>
      </c>
      <c r="F212" t="s">
        <v>41</v>
      </c>
      <c r="G212" s="114">
        <v>2581.7600000000002</v>
      </c>
      <c r="H212" s="1" t="s">
        <v>34</v>
      </c>
      <c r="I212" t="s">
        <v>55</v>
      </c>
      <c r="J212">
        <v>1.9</v>
      </c>
      <c r="K212">
        <v>1</v>
      </c>
      <c r="L212" s="114">
        <v>0</v>
      </c>
      <c r="M212" s="114">
        <v>0</v>
      </c>
      <c r="N212" s="114">
        <v>0</v>
      </c>
      <c r="O212" t="s">
        <v>1133</v>
      </c>
    </row>
    <row r="213" spans="1:15" x14ac:dyDescent="0.25">
      <c r="A213" t="s">
        <v>256</v>
      </c>
      <c r="B213" s="159">
        <v>45369.945833333331</v>
      </c>
      <c r="C213" s="1" t="s">
        <v>31</v>
      </c>
      <c r="D213" s="1" t="s">
        <v>32</v>
      </c>
      <c r="E213" t="s">
        <v>28</v>
      </c>
      <c r="F213" t="s">
        <v>21</v>
      </c>
      <c r="G213" s="114">
        <v>4042.82</v>
      </c>
      <c r="H213" s="1" t="s">
        <v>34</v>
      </c>
      <c r="I213" t="s">
        <v>100</v>
      </c>
      <c r="J213">
        <v>2.9</v>
      </c>
      <c r="K213">
        <v>1.1801999999999999</v>
      </c>
      <c r="L213" s="114">
        <v>0</v>
      </c>
      <c r="M213" s="114">
        <v>0</v>
      </c>
      <c r="N213" s="114">
        <v>0</v>
      </c>
      <c r="O213" t="s">
        <v>1133</v>
      </c>
    </row>
    <row r="214" spans="1:15" x14ac:dyDescent="0.25">
      <c r="A214" t="s">
        <v>257</v>
      </c>
      <c r="B214" s="159">
        <v>45371.131944444445</v>
      </c>
      <c r="C214" s="1" t="s">
        <v>43</v>
      </c>
      <c r="D214" s="1" t="s">
        <v>25</v>
      </c>
      <c r="E214" t="s">
        <v>15</v>
      </c>
      <c r="F214" t="s">
        <v>21</v>
      </c>
      <c r="G214" s="114">
        <v>2038.5</v>
      </c>
      <c r="H214" s="1" t="s">
        <v>17</v>
      </c>
      <c r="J214">
        <v>2.5</v>
      </c>
      <c r="K214">
        <v>1</v>
      </c>
      <c r="L214" s="114">
        <v>0</v>
      </c>
      <c r="M214" s="114">
        <v>0</v>
      </c>
      <c r="N214" s="114">
        <v>0</v>
      </c>
      <c r="O214" t="s">
        <v>1133</v>
      </c>
    </row>
    <row r="215" spans="1:15" x14ac:dyDescent="0.25">
      <c r="A215" t="s">
        <v>258</v>
      </c>
      <c r="B215" s="159">
        <v>45371.262499999997</v>
      </c>
      <c r="C215" s="1" t="s">
        <v>24</v>
      </c>
      <c r="D215" s="1" t="s">
        <v>25</v>
      </c>
      <c r="E215" t="s">
        <v>28</v>
      </c>
      <c r="F215" t="s">
        <v>45</v>
      </c>
      <c r="G215" s="114">
        <v>3681.33</v>
      </c>
      <c r="H215" s="1" t="s">
        <v>22</v>
      </c>
      <c r="J215">
        <v>2.9</v>
      </c>
      <c r="K215">
        <v>1</v>
      </c>
      <c r="L215" s="114">
        <v>106.76</v>
      </c>
      <c r="M215" s="114">
        <v>3574.57</v>
      </c>
      <c r="N215" s="114">
        <v>3681.3300000000004</v>
      </c>
      <c r="O215" t="s">
        <v>1133</v>
      </c>
    </row>
    <row r="216" spans="1:15" x14ac:dyDescent="0.25">
      <c r="A216" t="s">
        <v>259</v>
      </c>
      <c r="B216" s="159">
        <v>45371.853472222225</v>
      </c>
      <c r="C216" s="1" t="s">
        <v>13</v>
      </c>
      <c r="D216" s="1" t="s">
        <v>14</v>
      </c>
      <c r="E216" t="s">
        <v>39</v>
      </c>
      <c r="F216" t="s">
        <v>16</v>
      </c>
      <c r="G216" s="114">
        <v>3922.11</v>
      </c>
      <c r="H216" s="1" t="s">
        <v>34</v>
      </c>
      <c r="I216" t="s">
        <v>78</v>
      </c>
      <c r="J216">
        <v>3.2</v>
      </c>
      <c r="K216">
        <v>8.7400000000000005E-2</v>
      </c>
      <c r="L216" s="114">
        <v>0</v>
      </c>
      <c r="M216" s="114">
        <v>0</v>
      </c>
      <c r="N216" s="114">
        <v>0</v>
      </c>
      <c r="O216" t="s">
        <v>1133</v>
      </c>
    </row>
    <row r="217" spans="1:15" x14ac:dyDescent="0.25">
      <c r="A217" t="s">
        <v>260</v>
      </c>
      <c r="B217" s="159">
        <v>45372.018055555556</v>
      </c>
      <c r="C217" s="1" t="s">
        <v>43</v>
      </c>
      <c r="D217" s="1" t="s">
        <v>25</v>
      </c>
      <c r="E217" t="s">
        <v>33</v>
      </c>
      <c r="F217" t="s">
        <v>16</v>
      </c>
      <c r="G217" s="114">
        <v>1463.38</v>
      </c>
      <c r="H217" s="1" t="s">
        <v>22</v>
      </c>
      <c r="J217">
        <v>1.9</v>
      </c>
      <c r="K217">
        <v>1</v>
      </c>
      <c r="L217" s="114">
        <v>27.8</v>
      </c>
      <c r="M217" s="114">
        <v>1435.58</v>
      </c>
      <c r="N217" s="114">
        <v>1463.3799999999999</v>
      </c>
      <c r="O217" t="s">
        <v>1133</v>
      </c>
    </row>
    <row r="218" spans="1:15" x14ac:dyDescent="0.25">
      <c r="A218" t="s">
        <v>261</v>
      </c>
      <c r="B218" s="159">
        <v>45372.021527777775</v>
      </c>
      <c r="C218" s="1" t="s">
        <v>13</v>
      </c>
      <c r="D218" s="1" t="s">
        <v>14</v>
      </c>
      <c r="E218" t="s">
        <v>28</v>
      </c>
      <c r="F218" t="s">
        <v>41</v>
      </c>
      <c r="G218" s="114">
        <v>4476.45</v>
      </c>
      <c r="H218" s="1" t="s">
        <v>34</v>
      </c>
      <c r="I218" t="s">
        <v>100</v>
      </c>
      <c r="J218">
        <v>2.9</v>
      </c>
      <c r="K218">
        <v>8.7400000000000005E-2</v>
      </c>
      <c r="L218" s="114">
        <v>0</v>
      </c>
      <c r="M218" s="114">
        <v>0</v>
      </c>
      <c r="N218" s="114">
        <v>0</v>
      </c>
      <c r="O218" t="s">
        <v>1133</v>
      </c>
    </row>
    <row r="219" spans="1:15" x14ac:dyDescent="0.25">
      <c r="A219" t="s">
        <v>262</v>
      </c>
      <c r="B219" s="159">
        <v>45372.367361111108</v>
      </c>
      <c r="C219" s="1" t="s">
        <v>31</v>
      </c>
      <c r="D219" s="1" t="s">
        <v>32</v>
      </c>
      <c r="E219" t="s">
        <v>33</v>
      </c>
      <c r="F219" t="s">
        <v>41</v>
      </c>
      <c r="G219" s="114">
        <v>1149.74</v>
      </c>
      <c r="H219" s="1" t="s">
        <v>17</v>
      </c>
      <c r="J219">
        <v>1.9</v>
      </c>
      <c r="K219">
        <v>1.1801999999999999</v>
      </c>
      <c r="L219" s="114">
        <v>0</v>
      </c>
      <c r="M219" s="114">
        <v>0</v>
      </c>
      <c r="N219" s="114">
        <v>0</v>
      </c>
      <c r="O219" t="s">
        <v>1133</v>
      </c>
    </row>
    <row r="220" spans="1:15" x14ac:dyDescent="0.25">
      <c r="A220" t="s">
        <v>263</v>
      </c>
      <c r="B220" s="159">
        <v>45372.628472222219</v>
      </c>
      <c r="C220" s="1" t="s">
        <v>19</v>
      </c>
      <c r="D220" s="1" t="s">
        <v>20</v>
      </c>
      <c r="E220" t="s">
        <v>39</v>
      </c>
      <c r="F220" t="s">
        <v>41</v>
      </c>
      <c r="G220" s="114">
        <v>308.27999999999997</v>
      </c>
      <c r="H220" s="1" t="s">
        <v>22</v>
      </c>
      <c r="J220">
        <v>3.2</v>
      </c>
      <c r="K220">
        <v>8.5999999999999993E-2</v>
      </c>
      <c r="L220" s="114">
        <v>0.84795999999999994</v>
      </c>
      <c r="M220" s="114">
        <v>25.66412</v>
      </c>
      <c r="N220" s="114">
        <v>26.512080000000001</v>
      </c>
      <c r="O220" t="s">
        <v>1133</v>
      </c>
    </row>
    <row r="221" spans="1:15" x14ac:dyDescent="0.25">
      <c r="A221" t="s">
        <v>264</v>
      </c>
      <c r="B221" s="159">
        <v>45372.793749999997</v>
      </c>
      <c r="C221" s="1" t="s">
        <v>31</v>
      </c>
      <c r="D221" s="1" t="s">
        <v>32</v>
      </c>
      <c r="E221" t="s">
        <v>39</v>
      </c>
      <c r="F221" t="s">
        <v>16</v>
      </c>
      <c r="G221" s="114">
        <v>3313.07</v>
      </c>
      <c r="H221" s="1" t="s">
        <v>34</v>
      </c>
      <c r="I221" t="s">
        <v>100</v>
      </c>
      <c r="J221">
        <v>3.2</v>
      </c>
      <c r="K221">
        <v>1.1801999999999999</v>
      </c>
      <c r="L221" s="114">
        <v>0</v>
      </c>
      <c r="M221" s="114">
        <v>0</v>
      </c>
      <c r="N221" s="114">
        <v>0</v>
      </c>
      <c r="O221" t="s">
        <v>1133</v>
      </c>
    </row>
    <row r="222" spans="1:15" x14ac:dyDescent="0.25">
      <c r="A222" t="s">
        <v>265</v>
      </c>
      <c r="B222" s="159">
        <v>45373.865277777775</v>
      </c>
      <c r="C222" s="1" t="s">
        <v>60</v>
      </c>
      <c r="D222" s="1" t="s">
        <v>25</v>
      </c>
      <c r="E222" t="s">
        <v>33</v>
      </c>
      <c r="F222" t="s">
        <v>45</v>
      </c>
      <c r="G222" s="114">
        <v>619.49</v>
      </c>
      <c r="H222" s="1" t="s">
        <v>34</v>
      </c>
      <c r="I222" t="s">
        <v>62</v>
      </c>
      <c r="J222">
        <v>1.9</v>
      </c>
      <c r="K222">
        <v>1</v>
      </c>
      <c r="L222" s="114">
        <v>0</v>
      </c>
      <c r="M222" s="114">
        <v>0</v>
      </c>
      <c r="N222" s="114">
        <v>0</v>
      </c>
      <c r="O222" t="s">
        <v>1133</v>
      </c>
    </row>
    <row r="223" spans="1:15" x14ac:dyDescent="0.25">
      <c r="A223" t="s">
        <v>266</v>
      </c>
      <c r="B223" s="159">
        <v>45373.935416666667</v>
      </c>
      <c r="C223" s="1" t="s">
        <v>37</v>
      </c>
      <c r="D223" s="1" t="s">
        <v>38</v>
      </c>
      <c r="E223" t="s">
        <v>39</v>
      </c>
      <c r="F223" t="s">
        <v>29</v>
      </c>
      <c r="G223" s="114">
        <v>1084.42</v>
      </c>
      <c r="H223" s="1" t="s">
        <v>22</v>
      </c>
      <c r="J223">
        <v>3.2</v>
      </c>
      <c r="K223">
        <v>0.23269999999999999</v>
      </c>
      <c r="L223" s="114">
        <v>8.0746900000000004</v>
      </c>
      <c r="M223" s="114">
        <v>244.26984400000001</v>
      </c>
      <c r="N223" s="114">
        <v>252.34453400000001</v>
      </c>
      <c r="O223" t="s">
        <v>1133</v>
      </c>
    </row>
    <row r="224" spans="1:15" x14ac:dyDescent="0.25">
      <c r="A224" t="s">
        <v>267</v>
      </c>
      <c r="B224" s="159">
        <v>45374.218055555553</v>
      </c>
      <c r="C224" s="1" t="s">
        <v>19</v>
      </c>
      <c r="D224" s="1" t="s">
        <v>20</v>
      </c>
      <c r="E224" t="s">
        <v>39</v>
      </c>
      <c r="F224" t="s">
        <v>29</v>
      </c>
      <c r="G224" s="114">
        <v>581.97</v>
      </c>
      <c r="H224" s="1" t="s">
        <v>17</v>
      </c>
      <c r="J224">
        <v>3.2</v>
      </c>
      <c r="K224">
        <v>8.5999999999999993E-2</v>
      </c>
      <c r="L224" s="114">
        <v>0</v>
      </c>
      <c r="M224" s="114">
        <v>0</v>
      </c>
      <c r="N224" s="114">
        <v>0</v>
      </c>
      <c r="O224" t="s">
        <v>1133</v>
      </c>
    </row>
    <row r="225" spans="1:15" x14ac:dyDescent="0.25">
      <c r="A225" t="s">
        <v>268</v>
      </c>
      <c r="B225" s="159">
        <v>45374.285416666666</v>
      </c>
      <c r="C225" s="1" t="s">
        <v>19</v>
      </c>
      <c r="D225" s="1" t="s">
        <v>20</v>
      </c>
      <c r="E225" t="s">
        <v>44</v>
      </c>
      <c r="F225" t="s">
        <v>21</v>
      </c>
      <c r="G225" s="114">
        <v>270.38</v>
      </c>
      <c r="H225" s="1" t="s">
        <v>34</v>
      </c>
      <c r="I225" t="s">
        <v>62</v>
      </c>
      <c r="J225">
        <v>2.1</v>
      </c>
      <c r="K225">
        <v>8.5999999999999993E-2</v>
      </c>
      <c r="L225" s="114">
        <v>0</v>
      </c>
      <c r="M225" s="114">
        <v>0</v>
      </c>
      <c r="N225" s="114">
        <v>0</v>
      </c>
      <c r="O225" t="s">
        <v>1133</v>
      </c>
    </row>
    <row r="226" spans="1:15" x14ac:dyDescent="0.25">
      <c r="A226" t="s">
        <v>269</v>
      </c>
      <c r="B226" s="159">
        <v>45374.977777777778</v>
      </c>
      <c r="C226" s="1" t="s">
        <v>13</v>
      </c>
      <c r="D226" s="1" t="s">
        <v>14</v>
      </c>
      <c r="E226" t="s">
        <v>15</v>
      </c>
      <c r="F226" t="s">
        <v>45</v>
      </c>
      <c r="G226" s="114">
        <v>58.25</v>
      </c>
      <c r="H226" s="1" t="s">
        <v>22</v>
      </c>
      <c r="J226">
        <v>2.5</v>
      </c>
      <c r="K226">
        <v>8.7400000000000005E-2</v>
      </c>
      <c r="L226" s="114">
        <v>0.127604</v>
      </c>
      <c r="M226" s="114">
        <v>4.9634460000000002</v>
      </c>
      <c r="N226" s="114">
        <v>5.0910500000000001</v>
      </c>
      <c r="O226" t="s">
        <v>1133</v>
      </c>
    </row>
    <row r="227" spans="1:15" x14ac:dyDescent="0.25">
      <c r="A227" t="s">
        <v>270</v>
      </c>
      <c r="B227" s="159">
        <v>45375.053472222222</v>
      </c>
      <c r="C227" s="1" t="s">
        <v>37</v>
      </c>
      <c r="D227" s="1" t="s">
        <v>38</v>
      </c>
      <c r="E227" t="s">
        <v>15</v>
      </c>
      <c r="F227" t="s">
        <v>21</v>
      </c>
      <c r="G227" s="114">
        <v>253.09</v>
      </c>
      <c r="H227" s="1" t="s">
        <v>22</v>
      </c>
      <c r="J227">
        <v>2.5</v>
      </c>
      <c r="K227">
        <v>0.23269999999999999</v>
      </c>
      <c r="L227" s="114">
        <v>1.4729909999999999</v>
      </c>
      <c r="M227" s="114">
        <v>57.421051999999996</v>
      </c>
      <c r="N227" s="114">
        <v>58.894042999999996</v>
      </c>
      <c r="O227" t="s">
        <v>1133</v>
      </c>
    </row>
    <row r="228" spans="1:15" x14ac:dyDescent="0.25">
      <c r="A228" t="s">
        <v>271</v>
      </c>
      <c r="B228" s="159">
        <v>45375.134027777778</v>
      </c>
      <c r="C228" s="1" t="s">
        <v>27</v>
      </c>
      <c r="D228" s="1" t="s">
        <v>25</v>
      </c>
      <c r="E228" t="s">
        <v>33</v>
      </c>
      <c r="F228" t="s">
        <v>29</v>
      </c>
      <c r="G228" s="114">
        <v>4159.55</v>
      </c>
      <c r="H228" s="1" t="s">
        <v>17</v>
      </c>
      <c r="J228">
        <v>1.9</v>
      </c>
      <c r="K228">
        <v>1</v>
      </c>
      <c r="L228" s="114">
        <v>0</v>
      </c>
      <c r="M228" s="114">
        <v>0</v>
      </c>
      <c r="N228" s="114">
        <v>0</v>
      </c>
      <c r="O228" t="s">
        <v>1133</v>
      </c>
    </row>
    <row r="229" spans="1:15" x14ac:dyDescent="0.25">
      <c r="A229" t="s">
        <v>272</v>
      </c>
      <c r="B229" s="159">
        <v>45375.174305555556</v>
      </c>
      <c r="C229" s="1" t="s">
        <v>60</v>
      </c>
      <c r="D229" s="1" t="s">
        <v>25</v>
      </c>
      <c r="E229" t="s">
        <v>15</v>
      </c>
      <c r="F229" t="s">
        <v>21</v>
      </c>
      <c r="G229" s="114">
        <v>1554.5</v>
      </c>
      <c r="H229" s="1" t="s">
        <v>34</v>
      </c>
      <c r="I229" t="s">
        <v>62</v>
      </c>
      <c r="J229">
        <v>2.5</v>
      </c>
      <c r="K229">
        <v>1</v>
      </c>
      <c r="L229" s="114">
        <v>0</v>
      </c>
      <c r="M229" s="114">
        <v>0</v>
      </c>
      <c r="N229" s="114">
        <v>0</v>
      </c>
      <c r="O229" t="s">
        <v>1133</v>
      </c>
    </row>
    <row r="230" spans="1:15" x14ac:dyDescent="0.25">
      <c r="A230" t="s">
        <v>273</v>
      </c>
      <c r="B230" s="159">
        <v>45375.527083333334</v>
      </c>
      <c r="C230" s="1" t="s">
        <v>47</v>
      </c>
      <c r="D230" s="1" t="s">
        <v>25</v>
      </c>
      <c r="E230" t="s">
        <v>33</v>
      </c>
      <c r="F230" t="s">
        <v>21</v>
      </c>
      <c r="G230" s="114">
        <v>2541.5</v>
      </c>
      <c r="H230" s="1" t="s">
        <v>17</v>
      </c>
      <c r="J230">
        <v>1.9</v>
      </c>
      <c r="K230">
        <v>1</v>
      </c>
      <c r="L230" s="114">
        <v>0</v>
      </c>
      <c r="M230" s="114">
        <v>0</v>
      </c>
      <c r="N230" s="114">
        <v>0</v>
      </c>
      <c r="O230" t="s">
        <v>1133</v>
      </c>
    </row>
    <row r="231" spans="1:15" x14ac:dyDescent="0.25">
      <c r="A231" t="s">
        <v>274</v>
      </c>
      <c r="B231" s="159">
        <v>45375.640277777777</v>
      </c>
      <c r="C231" s="1" t="s">
        <v>13</v>
      </c>
      <c r="D231" s="1" t="s">
        <v>14</v>
      </c>
      <c r="E231" t="s">
        <v>33</v>
      </c>
      <c r="F231" t="s">
        <v>21</v>
      </c>
      <c r="G231" s="114">
        <v>843.15</v>
      </c>
      <c r="H231" s="1" t="s">
        <v>22</v>
      </c>
      <c r="J231">
        <v>1.9</v>
      </c>
      <c r="K231">
        <v>8.7400000000000005E-2</v>
      </c>
      <c r="L231" s="114">
        <v>1.4001479999999999</v>
      </c>
      <c r="M231" s="114">
        <v>72.291162</v>
      </c>
      <c r="N231" s="114">
        <v>73.691310000000001</v>
      </c>
      <c r="O231" t="s">
        <v>1133</v>
      </c>
    </row>
    <row r="232" spans="1:15" x14ac:dyDescent="0.25">
      <c r="A232" t="s">
        <v>275</v>
      </c>
      <c r="B232" s="159">
        <v>45376.338194444441</v>
      </c>
      <c r="C232" s="1" t="s">
        <v>27</v>
      </c>
      <c r="D232" s="1" t="s">
        <v>25</v>
      </c>
      <c r="E232" t="s">
        <v>15</v>
      </c>
      <c r="F232" t="s">
        <v>29</v>
      </c>
      <c r="G232" s="114">
        <v>4376.22</v>
      </c>
      <c r="H232" s="1" t="s">
        <v>17</v>
      </c>
      <c r="J232">
        <v>2.5</v>
      </c>
      <c r="K232">
        <v>1</v>
      </c>
      <c r="L232" s="114">
        <v>0</v>
      </c>
      <c r="M232" s="114">
        <v>0</v>
      </c>
      <c r="N232" s="114">
        <v>0</v>
      </c>
      <c r="O232" t="s">
        <v>1133</v>
      </c>
    </row>
    <row r="233" spans="1:15" x14ac:dyDescent="0.25">
      <c r="A233" t="s">
        <v>276</v>
      </c>
      <c r="B233" s="159">
        <v>45376.401388888888</v>
      </c>
      <c r="C233" s="1" t="s">
        <v>19</v>
      </c>
      <c r="D233" s="1" t="s">
        <v>20</v>
      </c>
      <c r="E233" t="s">
        <v>39</v>
      </c>
      <c r="F233" t="s">
        <v>16</v>
      </c>
      <c r="G233" s="114">
        <v>630.52</v>
      </c>
      <c r="H233" s="1" t="s">
        <v>22</v>
      </c>
      <c r="J233">
        <v>3.2</v>
      </c>
      <c r="K233">
        <v>8.5999999999999993E-2</v>
      </c>
      <c r="L233" s="114">
        <v>1.7354799999999999</v>
      </c>
      <c r="M233" s="114">
        <v>52.489239999999995</v>
      </c>
      <c r="N233" s="114">
        <v>54.224719999999998</v>
      </c>
      <c r="O233" t="s">
        <v>1133</v>
      </c>
    </row>
    <row r="234" spans="1:15" x14ac:dyDescent="0.25">
      <c r="A234" t="s">
        <v>277</v>
      </c>
      <c r="B234" s="159">
        <v>45376.5</v>
      </c>
      <c r="C234" s="1" t="s">
        <v>58</v>
      </c>
      <c r="D234" s="1" t="s">
        <v>25</v>
      </c>
      <c r="E234" t="s">
        <v>39</v>
      </c>
      <c r="F234" t="s">
        <v>16</v>
      </c>
      <c r="G234" s="114">
        <v>1433.39</v>
      </c>
      <c r="H234" s="1" t="s">
        <v>17</v>
      </c>
      <c r="J234">
        <v>3.2</v>
      </c>
      <c r="K234">
        <v>1</v>
      </c>
      <c r="L234" s="114">
        <v>0</v>
      </c>
      <c r="M234" s="114">
        <v>0</v>
      </c>
      <c r="N234" s="114">
        <v>0</v>
      </c>
      <c r="O234" t="s">
        <v>1133</v>
      </c>
    </row>
    <row r="235" spans="1:15" x14ac:dyDescent="0.25">
      <c r="A235" t="s">
        <v>278</v>
      </c>
      <c r="B235" s="159">
        <v>45376.543749999997</v>
      </c>
      <c r="C235" s="1" t="s">
        <v>58</v>
      </c>
      <c r="D235" s="1" t="s">
        <v>25</v>
      </c>
      <c r="E235" t="s">
        <v>28</v>
      </c>
      <c r="F235" t="s">
        <v>29</v>
      </c>
      <c r="G235" s="114">
        <v>4513.53</v>
      </c>
      <c r="H235" s="1" t="s">
        <v>22</v>
      </c>
      <c r="J235">
        <v>2.9</v>
      </c>
      <c r="K235">
        <v>1</v>
      </c>
      <c r="L235" s="114">
        <v>130.88999999999999</v>
      </c>
      <c r="M235" s="114">
        <v>4382.6400000000003</v>
      </c>
      <c r="N235" s="114">
        <v>4513.5300000000007</v>
      </c>
      <c r="O235" t="s">
        <v>1133</v>
      </c>
    </row>
    <row r="236" spans="1:15" x14ac:dyDescent="0.25">
      <c r="A236" t="s">
        <v>279</v>
      </c>
      <c r="B236" s="159">
        <v>45376.630555555559</v>
      </c>
      <c r="C236" s="1" t="s">
        <v>58</v>
      </c>
      <c r="D236" s="1" t="s">
        <v>25</v>
      </c>
      <c r="E236" t="s">
        <v>28</v>
      </c>
      <c r="F236" t="s">
        <v>21</v>
      </c>
      <c r="G236" s="114">
        <v>3058.15</v>
      </c>
      <c r="H236" s="1" t="s">
        <v>22</v>
      </c>
      <c r="J236">
        <v>2.9</v>
      </c>
      <c r="K236">
        <v>1</v>
      </c>
      <c r="L236" s="114">
        <v>88.69</v>
      </c>
      <c r="M236" s="114">
        <v>2969.46</v>
      </c>
      <c r="N236" s="114">
        <v>3058.15</v>
      </c>
      <c r="O236" t="s">
        <v>1133</v>
      </c>
    </row>
    <row r="237" spans="1:15" x14ac:dyDescent="0.25">
      <c r="A237" t="s">
        <v>280</v>
      </c>
      <c r="B237" s="159">
        <v>45377.504166666666</v>
      </c>
      <c r="C237" s="1" t="s">
        <v>31</v>
      </c>
      <c r="D237" s="1" t="s">
        <v>32</v>
      </c>
      <c r="E237" t="s">
        <v>28</v>
      </c>
      <c r="F237" t="s">
        <v>16</v>
      </c>
      <c r="G237" s="114">
        <v>2746.68</v>
      </c>
      <c r="H237" s="1" t="s">
        <v>22</v>
      </c>
      <c r="J237">
        <v>2.9</v>
      </c>
      <c r="K237">
        <v>1.1801999999999999</v>
      </c>
      <c r="L237" s="114">
        <v>94.002930000000006</v>
      </c>
      <c r="M237" s="114">
        <v>3147.6288060000002</v>
      </c>
      <c r="N237" s="114">
        <v>3241.6317360000003</v>
      </c>
      <c r="O237" t="s">
        <v>1133</v>
      </c>
    </row>
    <row r="238" spans="1:15" x14ac:dyDescent="0.25">
      <c r="A238" t="s">
        <v>281</v>
      </c>
      <c r="B238" s="159">
        <v>45377.600694444445</v>
      </c>
      <c r="C238" s="1" t="s">
        <v>43</v>
      </c>
      <c r="D238" s="1" t="s">
        <v>25</v>
      </c>
      <c r="E238" t="s">
        <v>39</v>
      </c>
      <c r="F238" t="s">
        <v>16</v>
      </c>
      <c r="G238" s="114">
        <v>3733.29</v>
      </c>
      <c r="H238" s="1" t="s">
        <v>17</v>
      </c>
      <c r="J238">
        <v>3.2</v>
      </c>
      <c r="K238">
        <v>1</v>
      </c>
      <c r="L238" s="114">
        <v>0</v>
      </c>
      <c r="M238" s="114">
        <v>0</v>
      </c>
      <c r="N238" s="114">
        <v>0</v>
      </c>
      <c r="O238" t="s">
        <v>1133</v>
      </c>
    </row>
    <row r="239" spans="1:15" x14ac:dyDescent="0.25">
      <c r="A239" t="s">
        <v>282</v>
      </c>
      <c r="B239" s="159">
        <v>45377.818055555559</v>
      </c>
      <c r="C239" s="1" t="s">
        <v>31</v>
      </c>
      <c r="D239" s="1" t="s">
        <v>32</v>
      </c>
      <c r="E239" t="s">
        <v>44</v>
      </c>
      <c r="F239" t="s">
        <v>21</v>
      </c>
      <c r="G239" s="114">
        <v>549.41</v>
      </c>
      <c r="H239" s="1" t="s">
        <v>22</v>
      </c>
      <c r="J239">
        <v>2.1</v>
      </c>
      <c r="K239">
        <v>1.1801999999999999</v>
      </c>
      <c r="L239" s="114">
        <v>13.619507999999998</v>
      </c>
      <c r="M239" s="114">
        <v>634.794174</v>
      </c>
      <c r="N239" s="114">
        <v>648.41368199999999</v>
      </c>
      <c r="O239" t="s">
        <v>1133</v>
      </c>
    </row>
    <row r="240" spans="1:15" x14ac:dyDescent="0.25">
      <c r="A240" t="s">
        <v>283</v>
      </c>
      <c r="B240" s="159">
        <v>45377.838194444441</v>
      </c>
      <c r="C240" s="1" t="s">
        <v>24</v>
      </c>
      <c r="D240" s="1" t="s">
        <v>25</v>
      </c>
      <c r="E240" t="s">
        <v>39</v>
      </c>
      <c r="F240" t="s">
        <v>29</v>
      </c>
      <c r="G240" s="114">
        <v>3644.46</v>
      </c>
      <c r="H240" s="1" t="s">
        <v>34</v>
      </c>
      <c r="I240" t="s">
        <v>100</v>
      </c>
      <c r="J240">
        <v>3.2</v>
      </c>
      <c r="K240">
        <v>1</v>
      </c>
      <c r="L240" s="114">
        <v>0</v>
      </c>
      <c r="M240" s="114">
        <v>0</v>
      </c>
      <c r="N240" s="114">
        <v>0</v>
      </c>
      <c r="O240" t="s">
        <v>1133</v>
      </c>
    </row>
    <row r="241" spans="1:15" x14ac:dyDescent="0.25">
      <c r="A241" t="s">
        <v>284</v>
      </c>
      <c r="B241" s="159">
        <v>45377.86041666667</v>
      </c>
      <c r="C241" s="1" t="s">
        <v>60</v>
      </c>
      <c r="D241" s="1" t="s">
        <v>25</v>
      </c>
      <c r="E241" t="s">
        <v>33</v>
      </c>
      <c r="F241" t="s">
        <v>16</v>
      </c>
      <c r="G241" s="114">
        <v>4834.3900000000003</v>
      </c>
      <c r="H241" s="1" t="s">
        <v>22</v>
      </c>
      <c r="J241">
        <v>1.9</v>
      </c>
      <c r="K241">
        <v>1</v>
      </c>
      <c r="L241" s="114">
        <v>91.85</v>
      </c>
      <c r="M241" s="114">
        <v>4742.54</v>
      </c>
      <c r="N241" s="114">
        <v>4834.3900000000003</v>
      </c>
      <c r="O241" t="s">
        <v>1133</v>
      </c>
    </row>
    <row r="242" spans="1:15" x14ac:dyDescent="0.25">
      <c r="A242" t="s">
        <v>285</v>
      </c>
      <c r="B242" s="159">
        <v>45377.988194444442</v>
      </c>
      <c r="C242" s="1" t="s">
        <v>37</v>
      </c>
      <c r="D242" s="1" t="s">
        <v>38</v>
      </c>
      <c r="E242" t="s">
        <v>15</v>
      </c>
      <c r="F242" t="s">
        <v>45</v>
      </c>
      <c r="G242" s="114">
        <v>2957.07</v>
      </c>
      <c r="H242" s="1" t="s">
        <v>22</v>
      </c>
      <c r="J242">
        <v>2.5</v>
      </c>
      <c r="K242">
        <v>0.23269999999999999</v>
      </c>
      <c r="L242" s="114">
        <v>17.203511000000002</v>
      </c>
      <c r="M242" s="114">
        <v>670.90667799999994</v>
      </c>
      <c r="N242" s="114">
        <v>688.11018899999999</v>
      </c>
      <c r="O242" t="s">
        <v>1133</v>
      </c>
    </row>
    <row r="243" spans="1:15" x14ac:dyDescent="0.25">
      <c r="A243" t="s">
        <v>286</v>
      </c>
      <c r="B243" s="159">
        <v>45378.099305555559</v>
      </c>
      <c r="C243" s="1" t="s">
        <v>24</v>
      </c>
      <c r="D243" s="1" t="s">
        <v>25</v>
      </c>
      <c r="E243" t="s">
        <v>39</v>
      </c>
      <c r="F243" t="s">
        <v>29</v>
      </c>
      <c r="G243" s="114">
        <v>2978.85</v>
      </c>
      <c r="H243" s="1" t="s">
        <v>34</v>
      </c>
      <c r="I243" t="s">
        <v>78</v>
      </c>
      <c r="J243">
        <v>3.2</v>
      </c>
      <c r="K243">
        <v>1</v>
      </c>
      <c r="L243" s="114">
        <v>0</v>
      </c>
      <c r="M243" s="114">
        <v>0</v>
      </c>
      <c r="N243" s="114">
        <v>0</v>
      </c>
      <c r="O243" t="s">
        <v>1133</v>
      </c>
    </row>
    <row r="244" spans="1:15" x14ac:dyDescent="0.25">
      <c r="A244" t="s">
        <v>287</v>
      </c>
      <c r="B244" s="159">
        <v>45378.105555555558</v>
      </c>
      <c r="C244" s="1" t="s">
        <v>31</v>
      </c>
      <c r="D244" s="1" t="s">
        <v>32</v>
      </c>
      <c r="E244" t="s">
        <v>33</v>
      </c>
      <c r="F244" t="s">
        <v>45</v>
      </c>
      <c r="G244" s="114">
        <v>977.58</v>
      </c>
      <c r="H244" s="1" t="s">
        <v>22</v>
      </c>
      <c r="J244">
        <v>1.9</v>
      </c>
      <c r="K244">
        <v>1.1801999999999999</v>
      </c>
      <c r="L244" s="114">
        <v>21.916314</v>
      </c>
      <c r="M244" s="114">
        <v>1131.8236019999999</v>
      </c>
      <c r="N244" s="114">
        <v>1153.739916</v>
      </c>
      <c r="O244" t="s">
        <v>1133</v>
      </c>
    </row>
    <row r="245" spans="1:15" x14ac:dyDescent="0.25">
      <c r="A245" t="s">
        <v>288</v>
      </c>
      <c r="B245" s="159">
        <v>45378.178472222222</v>
      </c>
      <c r="C245" s="1" t="s">
        <v>47</v>
      </c>
      <c r="D245" s="1" t="s">
        <v>25</v>
      </c>
      <c r="E245" t="s">
        <v>39</v>
      </c>
      <c r="F245" t="s">
        <v>16</v>
      </c>
      <c r="G245" s="114">
        <v>738.21</v>
      </c>
      <c r="H245" s="1" t="s">
        <v>22</v>
      </c>
      <c r="J245">
        <v>3.2</v>
      </c>
      <c r="K245">
        <v>1</v>
      </c>
      <c r="L245" s="114">
        <v>23.62</v>
      </c>
      <c r="M245" s="114">
        <v>714.59</v>
      </c>
      <c r="N245" s="114">
        <v>738.21</v>
      </c>
      <c r="O245" t="s">
        <v>1133</v>
      </c>
    </row>
    <row r="246" spans="1:15" x14ac:dyDescent="0.25">
      <c r="A246" t="s">
        <v>289</v>
      </c>
      <c r="B246" s="159">
        <v>45378.783333333333</v>
      </c>
      <c r="C246" s="1" t="s">
        <v>27</v>
      </c>
      <c r="D246" s="1" t="s">
        <v>25</v>
      </c>
      <c r="E246" t="s">
        <v>15</v>
      </c>
      <c r="F246" t="s">
        <v>41</v>
      </c>
      <c r="G246" s="114">
        <v>655.74</v>
      </c>
      <c r="H246" s="1" t="s">
        <v>34</v>
      </c>
      <c r="I246" t="s">
        <v>55</v>
      </c>
      <c r="J246">
        <v>2.5</v>
      </c>
      <c r="K246">
        <v>1</v>
      </c>
      <c r="L246" s="114">
        <v>0</v>
      </c>
      <c r="M246" s="114">
        <v>0</v>
      </c>
      <c r="N246" s="114">
        <v>0</v>
      </c>
      <c r="O246" t="s">
        <v>1133</v>
      </c>
    </row>
    <row r="247" spans="1:15" x14ac:dyDescent="0.25">
      <c r="A247" t="s">
        <v>290</v>
      </c>
      <c r="B247" s="159">
        <v>45378.878472222219</v>
      </c>
      <c r="C247" s="1" t="s">
        <v>47</v>
      </c>
      <c r="D247" s="1" t="s">
        <v>25</v>
      </c>
      <c r="E247" t="s">
        <v>33</v>
      </c>
      <c r="F247" t="s">
        <v>45</v>
      </c>
      <c r="G247" s="114">
        <v>1682.59</v>
      </c>
      <c r="H247" s="1" t="s">
        <v>22</v>
      </c>
      <c r="J247">
        <v>1.9</v>
      </c>
      <c r="K247">
        <v>1</v>
      </c>
      <c r="L247" s="114">
        <v>31.97</v>
      </c>
      <c r="M247" s="114">
        <v>1650.62</v>
      </c>
      <c r="N247" s="114">
        <v>1682.59</v>
      </c>
      <c r="O247" t="s">
        <v>1133</v>
      </c>
    </row>
    <row r="248" spans="1:15" x14ac:dyDescent="0.25">
      <c r="A248" t="s">
        <v>291</v>
      </c>
      <c r="B248" s="159">
        <v>45378.980555555558</v>
      </c>
      <c r="C248" s="1" t="s">
        <v>47</v>
      </c>
      <c r="D248" s="1" t="s">
        <v>25</v>
      </c>
      <c r="E248" t="s">
        <v>33</v>
      </c>
      <c r="F248" t="s">
        <v>45</v>
      </c>
      <c r="G248" s="114">
        <v>1069.8599999999999</v>
      </c>
      <c r="H248" s="1" t="s">
        <v>22</v>
      </c>
      <c r="J248">
        <v>1.9</v>
      </c>
      <c r="K248">
        <v>1</v>
      </c>
      <c r="L248" s="114">
        <v>20.329999999999998</v>
      </c>
      <c r="M248" s="114">
        <v>1049.53</v>
      </c>
      <c r="N248" s="114">
        <v>1069.8599999999999</v>
      </c>
      <c r="O248" t="s">
        <v>1133</v>
      </c>
    </row>
    <row r="249" spans="1:15" x14ac:dyDescent="0.25">
      <c r="A249" t="s">
        <v>292</v>
      </c>
      <c r="B249" s="159">
        <v>45379.328472222223</v>
      </c>
      <c r="C249" s="1" t="s">
        <v>58</v>
      </c>
      <c r="D249" s="1" t="s">
        <v>25</v>
      </c>
      <c r="E249" t="s">
        <v>33</v>
      </c>
      <c r="F249" t="s">
        <v>29</v>
      </c>
      <c r="G249" s="114">
        <v>3975.13</v>
      </c>
      <c r="H249" s="1" t="s">
        <v>22</v>
      </c>
      <c r="J249">
        <v>1.9</v>
      </c>
      <c r="K249">
        <v>1</v>
      </c>
      <c r="L249" s="114">
        <v>75.53</v>
      </c>
      <c r="M249" s="114">
        <v>3899.6</v>
      </c>
      <c r="N249" s="114">
        <v>3975.13</v>
      </c>
      <c r="O249" t="s">
        <v>1133</v>
      </c>
    </row>
    <row r="250" spans="1:15" x14ac:dyDescent="0.25">
      <c r="A250" t="s">
        <v>293</v>
      </c>
      <c r="B250" s="159">
        <v>45379.708333333336</v>
      </c>
      <c r="C250" s="1" t="s">
        <v>31</v>
      </c>
      <c r="D250" s="1" t="s">
        <v>32</v>
      </c>
      <c r="E250" t="s">
        <v>44</v>
      </c>
      <c r="F250" t="s">
        <v>45</v>
      </c>
      <c r="G250" s="114">
        <v>4257.97</v>
      </c>
      <c r="H250" s="1" t="s">
        <v>34</v>
      </c>
      <c r="I250" t="s">
        <v>62</v>
      </c>
      <c r="J250">
        <v>2.1</v>
      </c>
      <c r="K250">
        <v>1.1801999999999999</v>
      </c>
      <c r="L250" s="114">
        <v>0</v>
      </c>
      <c r="M250" s="114">
        <v>0</v>
      </c>
      <c r="N250" s="114">
        <v>0</v>
      </c>
      <c r="O250" t="s">
        <v>1133</v>
      </c>
    </row>
    <row r="251" spans="1:15" x14ac:dyDescent="0.25">
      <c r="A251" t="s">
        <v>294</v>
      </c>
      <c r="B251" s="159">
        <v>45379.811805555553</v>
      </c>
      <c r="C251" s="1" t="s">
        <v>37</v>
      </c>
      <c r="D251" s="1" t="s">
        <v>38</v>
      </c>
      <c r="E251" t="s">
        <v>28</v>
      </c>
      <c r="F251" t="s">
        <v>16</v>
      </c>
      <c r="G251" s="114">
        <v>4223.9799999999996</v>
      </c>
      <c r="H251" s="1" t="s">
        <v>22</v>
      </c>
      <c r="J251">
        <v>2.9</v>
      </c>
      <c r="K251">
        <v>0.23269999999999999</v>
      </c>
      <c r="L251" s="114">
        <v>28.505749999999999</v>
      </c>
      <c r="M251" s="114">
        <v>954.4143959999999</v>
      </c>
      <c r="N251" s="114">
        <v>982.92014599999993</v>
      </c>
      <c r="O251" t="s">
        <v>1133</v>
      </c>
    </row>
    <row r="252" spans="1:15" x14ac:dyDescent="0.25">
      <c r="A252" t="s">
        <v>295</v>
      </c>
      <c r="B252" s="159">
        <v>45379.902083333334</v>
      </c>
      <c r="C252" s="1" t="s">
        <v>19</v>
      </c>
      <c r="D252" s="1" t="s">
        <v>20</v>
      </c>
      <c r="E252" t="s">
        <v>39</v>
      </c>
      <c r="F252" t="s">
        <v>45</v>
      </c>
      <c r="G252" s="114">
        <v>215.56</v>
      </c>
      <c r="H252" s="1" t="s">
        <v>22</v>
      </c>
      <c r="J252">
        <v>3.2</v>
      </c>
      <c r="K252">
        <v>8.5999999999999993E-2</v>
      </c>
      <c r="L252" s="114">
        <v>0.59340000000000004</v>
      </c>
      <c r="M252" s="114">
        <v>17.944759999999999</v>
      </c>
      <c r="N252" s="114">
        <v>18.538159999999998</v>
      </c>
      <c r="O252" t="s">
        <v>1133</v>
      </c>
    </row>
    <row r="253" spans="1:15" x14ac:dyDescent="0.25">
      <c r="A253" t="s">
        <v>296</v>
      </c>
      <c r="B253" s="159">
        <v>45380.936111111114</v>
      </c>
      <c r="C253" s="1" t="s">
        <v>31</v>
      </c>
      <c r="D253" s="1" t="s">
        <v>32</v>
      </c>
      <c r="E253" t="s">
        <v>39</v>
      </c>
      <c r="F253" t="s">
        <v>21</v>
      </c>
      <c r="G253" s="114">
        <v>3550.61</v>
      </c>
      <c r="H253" s="1" t="s">
        <v>17</v>
      </c>
      <c r="J253">
        <v>3.2</v>
      </c>
      <c r="K253">
        <v>1.1801999999999999</v>
      </c>
      <c r="L253" s="114">
        <v>0</v>
      </c>
      <c r="M253" s="114">
        <v>0</v>
      </c>
      <c r="N253" s="114">
        <v>0</v>
      </c>
      <c r="O253" t="s">
        <v>1133</v>
      </c>
    </row>
    <row r="254" spans="1:15" x14ac:dyDescent="0.25">
      <c r="A254" t="s">
        <v>297</v>
      </c>
      <c r="B254" s="159">
        <v>45381.26458333333</v>
      </c>
      <c r="C254" s="1" t="s">
        <v>37</v>
      </c>
      <c r="D254" s="1" t="s">
        <v>38</v>
      </c>
      <c r="E254" t="s">
        <v>15</v>
      </c>
      <c r="F254" t="s">
        <v>16</v>
      </c>
      <c r="G254" s="114">
        <v>3988.3</v>
      </c>
      <c r="H254" s="1" t="s">
        <v>22</v>
      </c>
      <c r="J254">
        <v>2.5</v>
      </c>
      <c r="K254">
        <v>0.23269999999999999</v>
      </c>
      <c r="L254" s="114">
        <v>23.202516999999997</v>
      </c>
      <c r="M254" s="114">
        <v>904.87489300000004</v>
      </c>
      <c r="N254" s="114">
        <v>928.07740999999999</v>
      </c>
      <c r="O254" t="s">
        <v>1133</v>
      </c>
    </row>
    <row r="255" spans="1:15" x14ac:dyDescent="0.25">
      <c r="A255" t="s">
        <v>298</v>
      </c>
      <c r="B255" s="159">
        <v>45381.854861111111</v>
      </c>
      <c r="C255" s="1" t="s">
        <v>43</v>
      </c>
      <c r="D255" s="1" t="s">
        <v>25</v>
      </c>
      <c r="E255" t="s">
        <v>28</v>
      </c>
      <c r="F255" t="s">
        <v>29</v>
      </c>
      <c r="G255" s="114">
        <v>4254.33</v>
      </c>
      <c r="H255" s="1" t="s">
        <v>17</v>
      </c>
      <c r="J255">
        <v>2.9</v>
      </c>
      <c r="K255">
        <v>1</v>
      </c>
      <c r="L255" s="114">
        <v>0</v>
      </c>
      <c r="M255" s="114">
        <v>0</v>
      </c>
      <c r="N255" s="114">
        <v>0</v>
      </c>
      <c r="O255" t="s">
        <v>1133</v>
      </c>
    </row>
    <row r="256" spans="1:15" x14ac:dyDescent="0.25">
      <c r="A256" t="s">
        <v>299</v>
      </c>
      <c r="B256" s="159">
        <v>45382.650694444441</v>
      </c>
      <c r="C256" s="1" t="s">
        <v>13</v>
      </c>
      <c r="D256" s="1" t="s">
        <v>14</v>
      </c>
      <c r="E256" t="s">
        <v>39</v>
      </c>
      <c r="F256" t="s">
        <v>21</v>
      </c>
      <c r="G256" s="114">
        <v>825.93</v>
      </c>
      <c r="H256" s="1" t="s">
        <v>22</v>
      </c>
      <c r="J256">
        <v>3.2</v>
      </c>
      <c r="K256">
        <v>8.7400000000000005E-2</v>
      </c>
      <c r="L256" s="114">
        <v>2.3099820000000002</v>
      </c>
      <c r="M256" s="114">
        <v>69.876300000000001</v>
      </c>
      <c r="N256" s="114">
        <v>72.186282000000006</v>
      </c>
      <c r="O256" t="s">
        <v>1133</v>
      </c>
    </row>
    <row r="257" spans="1:15" x14ac:dyDescent="0.25">
      <c r="A257" t="s">
        <v>300</v>
      </c>
      <c r="B257" s="159">
        <v>45383.609027777777</v>
      </c>
      <c r="C257" s="1" t="s">
        <v>24</v>
      </c>
      <c r="D257" s="1" t="s">
        <v>25</v>
      </c>
      <c r="E257" t="s">
        <v>15</v>
      </c>
      <c r="F257" t="s">
        <v>41</v>
      </c>
      <c r="G257" s="114">
        <v>1257.9100000000001</v>
      </c>
      <c r="H257" s="1" t="s">
        <v>22</v>
      </c>
      <c r="J257">
        <v>2.5</v>
      </c>
      <c r="K257">
        <v>1</v>
      </c>
      <c r="L257" s="114">
        <v>31.45</v>
      </c>
      <c r="M257" s="114">
        <v>1226.46</v>
      </c>
      <c r="N257" s="114">
        <v>1257.9100000000001</v>
      </c>
      <c r="O257" t="s">
        <v>1134</v>
      </c>
    </row>
    <row r="258" spans="1:15" x14ac:dyDescent="0.25">
      <c r="A258" t="s">
        <v>301</v>
      </c>
      <c r="B258" s="159">
        <v>45384.013888888891</v>
      </c>
      <c r="C258" s="1" t="s">
        <v>19</v>
      </c>
      <c r="D258" s="1" t="s">
        <v>20</v>
      </c>
      <c r="E258" t="s">
        <v>44</v>
      </c>
      <c r="F258" t="s">
        <v>41</v>
      </c>
      <c r="G258" s="114">
        <v>4479.87</v>
      </c>
      <c r="H258" s="1" t="s">
        <v>22</v>
      </c>
      <c r="J258">
        <v>2.1</v>
      </c>
      <c r="K258">
        <v>8.5999999999999993E-2</v>
      </c>
      <c r="L258" s="114">
        <v>8.0908799999999985</v>
      </c>
      <c r="M258" s="114">
        <v>377.17793999999998</v>
      </c>
      <c r="N258" s="114">
        <v>385.26882000000001</v>
      </c>
      <c r="O258" t="s">
        <v>1134</v>
      </c>
    </row>
    <row r="259" spans="1:15" x14ac:dyDescent="0.25">
      <c r="A259" t="s">
        <v>302</v>
      </c>
      <c r="B259" s="159">
        <v>45384.363888888889</v>
      </c>
      <c r="C259" s="1" t="s">
        <v>47</v>
      </c>
      <c r="D259" s="1" t="s">
        <v>25</v>
      </c>
      <c r="E259" t="s">
        <v>39</v>
      </c>
      <c r="F259" t="s">
        <v>21</v>
      </c>
      <c r="G259" s="114">
        <v>40.47</v>
      </c>
      <c r="H259" s="1" t="s">
        <v>22</v>
      </c>
      <c r="J259">
        <v>3.2</v>
      </c>
      <c r="K259">
        <v>1</v>
      </c>
      <c r="L259" s="114">
        <v>1.3</v>
      </c>
      <c r="M259" s="114">
        <v>39.17</v>
      </c>
      <c r="N259" s="114">
        <v>40.47</v>
      </c>
      <c r="O259" t="s">
        <v>1134</v>
      </c>
    </row>
    <row r="260" spans="1:15" x14ac:dyDescent="0.25">
      <c r="A260" t="s">
        <v>303</v>
      </c>
      <c r="B260" s="159">
        <v>45384.704861111109</v>
      </c>
      <c r="C260" s="1" t="s">
        <v>60</v>
      </c>
      <c r="D260" s="1" t="s">
        <v>25</v>
      </c>
      <c r="E260" t="s">
        <v>39</v>
      </c>
      <c r="F260" t="s">
        <v>41</v>
      </c>
      <c r="G260" s="114">
        <v>4837.05</v>
      </c>
      <c r="H260" s="1" t="s">
        <v>17</v>
      </c>
      <c r="J260">
        <v>3.2</v>
      </c>
      <c r="K260">
        <v>1</v>
      </c>
      <c r="L260" s="114">
        <v>0</v>
      </c>
      <c r="M260" s="114">
        <v>0</v>
      </c>
      <c r="N260" s="114">
        <v>0</v>
      </c>
      <c r="O260" t="s">
        <v>1134</v>
      </c>
    </row>
    <row r="261" spans="1:15" x14ac:dyDescent="0.25">
      <c r="A261" t="s">
        <v>304</v>
      </c>
      <c r="B261" s="159">
        <v>45384.789583333331</v>
      </c>
      <c r="C261" s="1" t="s">
        <v>13</v>
      </c>
      <c r="D261" s="1" t="s">
        <v>14</v>
      </c>
      <c r="E261" t="s">
        <v>44</v>
      </c>
      <c r="F261" t="s">
        <v>16</v>
      </c>
      <c r="G261" s="114">
        <v>2073.66</v>
      </c>
      <c r="H261" s="1" t="s">
        <v>34</v>
      </c>
      <c r="I261" t="s">
        <v>78</v>
      </c>
      <c r="J261">
        <v>2.1</v>
      </c>
      <c r="K261">
        <v>8.7400000000000005E-2</v>
      </c>
      <c r="L261" s="114">
        <v>0</v>
      </c>
      <c r="M261" s="114">
        <v>0</v>
      </c>
      <c r="N261" s="114">
        <v>0</v>
      </c>
      <c r="O261" t="s">
        <v>1134</v>
      </c>
    </row>
    <row r="262" spans="1:15" x14ac:dyDescent="0.25">
      <c r="A262" t="s">
        <v>305</v>
      </c>
      <c r="B262" s="159">
        <v>45385.501388888886</v>
      </c>
      <c r="C262" s="1" t="s">
        <v>31</v>
      </c>
      <c r="D262" s="1" t="s">
        <v>32</v>
      </c>
      <c r="E262" t="s">
        <v>15</v>
      </c>
      <c r="F262" t="s">
        <v>21</v>
      </c>
      <c r="G262" s="114">
        <v>1576.59</v>
      </c>
      <c r="H262" s="1" t="s">
        <v>34</v>
      </c>
      <c r="I262" t="s">
        <v>55</v>
      </c>
      <c r="J262">
        <v>2.5</v>
      </c>
      <c r="K262">
        <v>1.1801999999999999</v>
      </c>
      <c r="L262" s="114">
        <v>0</v>
      </c>
      <c r="M262" s="114">
        <v>0</v>
      </c>
      <c r="N262" s="114">
        <v>0</v>
      </c>
      <c r="O262" t="s">
        <v>1134</v>
      </c>
    </row>
    <row r="263" spans="1:15" x14ac:dyDescent="0.25">
      <c r="A263" t="s">
        <v>306</v>
      </c>
      <c r="B263" s="159">
        <v>45386.027083333334</v>
      </c>
      <c r="C263" s="1" t="s">
        <v>37</v>
      </c>
      <c r="D263" s="1" t="s">
        <v>38</v>
      </c>
      <c r="E263" t="s">
        <v>33</v>
      </c>
      <c r="F263" t="s">
        <v>29</v>
      </c>
      <c r="G263" s="114">
        <v>1610.26</v>
      </c>
      <c r="H263" s="1" t="s">
        <v>22</v>
      </c>
      <c r="J263">
        <v>1.9</v>
      </c>
      <c r="K263">
        <v>0.23269999999999999</v>
      </c>
      <c r="L263" s="114">
        <v>7.1182929999999995</v>
      </c>
      <c r="M263" s="114">
        <v>367.58920899999998</v>
      </c>
      <c r="N263" s="114">
        <v>374.70750199999998</v>
      </c>
      <c r="O263" t="s">
        <v>1134</v>
      </c>
    </row>
    <row r="264" spans="1:15" x14ac:dyDescent="0.25">
      <c r="A264" t="s">
        <v>307</v>
      </c>
      <c r="B264" s="159">
        <v>45387.109722222223</v>
      </c>
      <c r="C264" s="1" t="s">
        <v>31</v>
      </c>
      <c r="D264" s="1" t="s">
        <v>32</v>
      </c>
      <c r="E264" t="s">
        <v>44</v>
      </c>
      <c r="F264" t="s">
        <v>16</v>
      </c>
      <c r="G264" s="114">
        <v>608.23</v>
      </c>
      <c r="H264" s="1" t="s">
        <v>17</v>
      </c>
      <c r="J264">
        <v>2.1</v>
      </c>
      <c r="K264">
        <v>1.1801999999999999</v>
      </c>
      <c r="L264" s="114">
        <v>0</v>
      </c>
      <c r="M264" s="114">
        <v>0</v>
      </c>
      <c r="N264" s="114">
        <v>0</v>
      </c>
      <c r="O264" t="s">
        <v>1134</v>
      </c>
    </row>
    <row r="265" spans="1:15" x14ac:dyDescent="0.25">
      <c r="A265" t="s">
        <v>308</v>
      </c>
      <c r="B265" s="159">
        <v>45387.272222222222</v>
      </c>
      <c r="C265" s="1" t="s">
        <v>43</v>
      </c>
      <c r="D265" s="1" t="s">
        <v>25</v>
      </c>
      <c r="E265" t="s">
        <v>33</v>
      </c>
      <c r="F265" t="s">
        <v>41</v>
      </c>
      <c r="G265" s="114">
        <v>208.36</v>
      </c>
      <c r="H265" s="1" t="s">
        <v>17</v>
      </c>
      <c r="J265">
        <v>1.9</v>
      </c>
      <c r="K265">
        <v>1</v>
      </c>
      <c r="L265" s="114">
        <v>0</v>
      </c>
      <c r="M265" s="114">
        <v>0</v>
      </c>
      <c r="N265" s="114">
        <v>0</v>
      </c>
      <c r="O265" t="s">
        <v>1134</v>
      </c>
    </row>
    <row r="266" spans="1:15" x14ac:dyDescent="0.25">
      <c r="A266" t="s">
        <v>309</v>
      </c>
      <c r="B266" s="159">
        <v>45387.584722222222</v>
      </c>
      <c r="C266" s="1" t="s">
        <v>47</v>
      </c>
      <c r="D266" s="1" t="s">
        <v>25</v>
      </c>
      <c r="E266" t="s">
        <v>15</v>
      </c>
      <c r="F266" t="s">
        <v>16</v>
      </c>
      <c r="G266" s="114">
        <v>1324.37</v>
      </c>
      <c r="H266" s="1" t="s">
        <v>22</v>
      </c>
      <c r="J266">
        <v>2.5</v>
      </c>
      <c r="K266">
        <v>1</v>
      </c>
      <c r="L266" s="114">
        <v>33.11</v>
      </c>
      <c r="M266" s="114">
        <v>1291.26</v>
      </c>
      <c r="N266" s="114">
        <v>1324.37</v>
      </c>
      <c r="O266" t="s">
        <v>1134</v>
      </c>
    </row>
    <row r="267" spans="1:15" x14ac:dyDescent="0.25">
      <c r="A267" t="s">
        <v>310</v>
      </c>
      <c r="B267" s="159">
        <v>45387.655555555553</v>
      </c>
      <c r="C267" s="1" t="s">
        <v>43</v>
      </c>
      <c r="D267" s="1" t="s">
        <v>25</v>
      </c>
      <c r="E267" t="s">
        <v>39</v>
      </c>
      <c r="F267" t="s">
        <v>45</v>
      </c>
      <c r="G267" s="114">
        <v>1340.94</v>
      </c>
      <c r="H267" s="1" t="s">
        <v>22</v>
      </c>
      <c r="J267">
        <v>3.2</v>
      </c>
      <c r="K267">
        <v>1</v>
      </c>
      <c r="L267" s="114">
        <v>42.91</v>
      </c>
      <c r="M267" s="114">
        <v>1298.03</v>
      </c>
      <c r="N267" s="114">
        <v>1340.94</v>
      </c>
      <c r="O267" t="s">
        <v>1134</v>
      </c>
    </row>
    <row r="268" spans="1:15" x14ac:dyDescent="0.25">
      <c r="A268" t="s">
        <v>311</v>
      </c>
      <c r="B268" s="159">
        <v>45388.417361111111</v>
      </c>
      <c r="C268" s="1" t="s">
        <v>27</v>
      </c>
      <c r="D268" s="1" t="s">
        <v>25</v>
      </c>
      <c r="E268" t="s">
        <v>28</v>
      </c>
      <c r="F268" t="s">
        <v>45</v>
      </c>
      <c r="G268" s="114">
        <v>120.43</v>
      </c>
      <c r="H268" s="1" t="s">
        <v>22</v>
      </c>
      <c r="J268">
        <v>2.9</v>
      </c>
      <c r="K268">
        <v>1</v>
      </c>
      <c r="L268" s="114">
        <v>3.49</v>
      </c>
      <c r="M268" s="114">
        <v>116.94</v>
      </c>
      <c r="N268" s="114">
        <v>120.42999999999999</v>
      </c>
      <c r="O268" t="s">
        <v>1134</v>
      </c>
    </row>
    <row r="269" spans="1:15" x14ac:dyDescent="0.25">
      <c r="A269" t="s">
        <v>312</v>
      </c>
      <c r="B269" s="159">
        <v>45388.580555555556</v>
      </c>
      <c r="C269" s="1" t="s">
        <v>13</v>
      </c>
      <c r="D269" s="1" t="s">
        <v>14</v>
      </c>
      <c r="E269" t="s">
        <v>15</v>
      </c>
      <c r="F269" t="s">
        <v>16</v>
      </c>
      <c r="G269" s="114">
        <v>1256.98</v>
      </c>
      <c r="H269" s="1" t="s">
        <v>34</v>
      </c>
      <c r="I269" t="s">
        <v>55</v>
      </c>
      <c r="J269">
        <v>2.5</v>
      </c>
      <c r="K269">
        <v>8.7400000000000005E-2</v>
      </c>
      <c r="L269" s="114">
        <v>0</v>
      </c>
      <c r="M269" s="114">
        <v>0</v>
      </c>
      <c r="N269" s="114">
        <v>0</v>
      </c>
      <c r="O269" t="s">
        <v>1134</v>
      </c>
    </row>
    <row r="270" spans="1:15" x14ac:dyDescent="0.25">
      <c r="A270" t="s">
        <v>313</v>
      </c>
      <c r="B270" s="159">
        <v>45389.272916666669</v>
      </c>
      <c r="C270" s="1" t="s">
        <v>24</v>
      </c>
      <c r="D270" s="1" t="s">
        <v>25</v>
      </c>
      <c r="E270" t="s">
        <v>33</v>
      </c>
      <c r="F270" t="s">
        <v>29</v>
      </c>
      <c r="G270" s="114">
        <v>2796.53</v>
      </c>
      <c r="H270" s="1" t="s">
        <v>17</v>
      </c>
      <c r="J270">
        <v>1.9</v>
      </c>
      <c r="K270">
        <v>1</v>
      </c>
      <c r="L270" s="114">
        <v>0</v>
      </c>
      <c r="M270" s="114">
        <v>0</v>
      </c>
      <c r="N270" s="114">
        <v>0</v>
      </c>
      <c r="O270" t="s">
        <v>1134</v>
      </c>
    </row>
    <row r="271" spans="1:15" x14ac:dyDescent="0.25">
      <c r="A271" t="s">
        <v>314</v>
      </c>
      <c r="B271" s="159">
        <v>45389.572222222225</v>
      </c>
      <c r="C271" s="1" t="s">
        <v>13</v>
      </c>
      <c r="D271" s="1" t="s">
        <v>14</v>
      </c>
      <c r="E271" t="s">
        <v>33</v>
      </c>
      <c r="F271" t="s">
        <v>21</v>
      </c>
      <c r="G271" s="114">
        <v>3306.38</v>
      </c>
      <c r="H271" s="1" t="s">
        <v>22</v>
      </c>
      <c r="J271">
        <v>1.9</v>
      </c>
      <c r="K271">
        <v>8.7400000000000005E-2</v>
      </c>
      <c r="L271" s="114">
        <v>5.4904680000000008</v>
      </c>
      <c r="M271" s="114">
        <v>283.487144</v>
      </c>
      <c r="N271" s="114">
        <v>288.97761200000002</v>
      </c>
      <c r="O271" t="s">
        <v>1134</v>
      </c>
    </row>
    <row r="272" spans="1:15" x14ac:dyDescent="0.25">
      <c r="A272" t="s">
        <v>315</v>
      </c>
      <c r="B272" s="159">
        <v>45389.696527777778</v>
      </c>
      <c r="C272" s="1" t="s">
        <v>43</v>
      </c>
      <c r="D272" s="1" t="s">
        <v>25</v>
      </c>
      <c r="E272" t="s">
        <v>33</v>
      </c>
      <c r="F272" t="s">
        <v>29</v>
      </c>
      <c r="G272" s="114">
        <v>3069.07</v>
      </c>
      <c r="H272" s="1" t="s">
        <v>22</v>
      </c>
      <c r="J272">
        <v>1.9</v>
      </c>
      <c r="K272">
        <v>1</v>
      </c>
      <c r="L272" s="114">
        <v>58.31</v>
      </c>
      <c r="M272" s="114">
        <v>3010.76</v>
      </c>
      <c r="N272" s="114">
        <v>3069.07</v>
      </c>
      <c r="O272" t="s">
        <v>1134</v>
      </c>
    </row>
    <row r="273" spans="1:15" x14ac:dyDescent="0.25">
      <c r="A273" t="s">
        <v>316</v>
      </c>
      <c r="B273" s="159">
        <v>45390.042361111111</v>
      </c>
      <c r="C273" s="1" t="s">
        <v>19</v>
      </c>
      <c r="D273" s="1" t="s">
        <v>20</v>
      </c>
      <c r="E273" t="s">
        <v>28</v>
      </c>
      <c r="F273" t="s">
        <v>41</v>
      </c>
      <c r="G273" s="114">
        <v>4693.1400000000003</v>
      </c>
      <c r="H273" s="1" t="s">
        <v>22</v>
      </c>
      <c r="J273">
        <v>2.9</v>
      </c>
      <c r="K273">
        <v>8.5999999999999993E-2</v>
      </c>
      <c r="L273" s="114">
        <v>11.704599999999999</v>
      </c>
      <c r="M273" s="114">
        <v>391.90543999999994</v>
      </c>
      <c r="N273" s="114">
        <v>403.61003999999991</v>
      </c>
      <c r="O273" t="s">
        <v>1134</v>
      </c>
    </row>
    <row r="274" spans="1:15" x14ac:dyDescent="0.25">
      <c r="A274" t="s">
        <v>317</v>
      </c>
      <c r="B274" s="159">
        <v>45390.293055555558</v>
      </c>
      <c r="C274" s="1" t="s">
        <v>58</v>
      </c>
      <c r="D274" s="1" t="s">
        <v>25</v>
      </c>
      <c r="E274" t="s">
        <v>28</v>
      </c>
      <c r="F274" t="s">
        <v>21</v>
      </c>
      <c r="G274" s="114">
        <v>4751.49</v>
      </c>
      <c r="H274" s="1" t="s">
        <v>22</v>
      </c>
      <c r="J274">
        <v>2.9</v>
      </c>
      <c r="K274">
        <v>1</v>
      </c>
      <c r="L274" s="114">
        <v>137.79</v>
      </c>
      <c r="M274" s="114">
        <v>4613.7</v>
      </c>
      <c r="N274" s="114">
        <v>4751.49</v>
      </c>
      <c r="O274" t="s">
        <v>1134</v>
      </c>
    </row>
    <row r="275" spans="1:15" x14ac:dyDescent="0.25">
      <c r="A275" t="s">
        <v>318</v>
      </c>
      <c r="B275" s="159">
        <v>45390.303472222222</v>
      </c>
      <c r="C275" s="1" t="s">
        <v>13</v>
      </c>
      <c r="D275" s="1" t="s">
        <v>14</v>
      </c>
      <c r="E275" t="s">
        <v>39</v>
      </c>
      <c r="F275" t="s">
        <v>29</v>
      </c>
      <c r="G275" s="114">
        <v>4708.01</v>
      </c>
      <c r="H275" s="1" t="s">
        <v>22</v>
      </c>
      <c r="J275">
        <v>3.2</v>
      </c>
      <c r="K275">
        <v>8.7400000000000005E-2</v>
      </c>
      <c r="L275" s="114">
        <v>13.167684000000001</v>
      </c>
      <c r="M275" s="114">
        <v>398.31239000000005</v>
      </c>
      <c r="N275" s="114">
        <v>411.48007400000006</v>
      </c>
      <c r="O275" t="s">
        <v>1134</v>
      </c>
    </row>
    <row r="276" spans="1:15" x14ac:dyDescent="0.25">
      <c r="A276" t="s">
        <v>319</v>
      </c>
      <c r="B276" s="159">
        <v>45391.076388888891</v>
      </c>
      <c r="C276" s="1" t="s">
        <v>19</v>
      </c>
      <c r="D276" s="1" t="s">
        <v>20</v>
      </c>
      <c r="E276" t="s">
        <v>33</v>
      </c>
      <c r="F276" t="s">
        <v>45</v>
      </c>
      <c r="G276" s="114">
        <v>3495.26</v>
      </c>
      <c r="H276" s="1" t="s">
        <v>17</v>
      </c>
      <c r="J276">
        <v>1.9</v>
      </c>
      <c r="K276">
        <v>8.5999999999999993E-2</v>
      </c>
      <c r="L276" s="114">
        <v>0</v>
      </c>
      <c r="M276" s="114">
        <v>0</v>
      </c>
      <c r="N276" s="114">
        <v>0</v>
      </c>
      <c r="O276" t="s">
        <v>1134</v>
      </c>
    </row>
    <row r="277" spans="1:15" x14ac:dyDescent="0.25">
      <c r="A277" t="s">
        <v>320</v>
      </c>
      <c r="B277" s="159">
        <v>45391.394444444442</v>
      </c>
      <c r="C277" s="1" t="s">
        <v>27</v>
      </c>
      <c r="D277" s="1" t="s">
        <v>25</v>
      </c>
      <c r="E277" t="s">
        <v>28</v>
      </c>
      <c r="F277" t="s">
        <v>29</v>
      </c>
      <c r="G277" s="114">
        <v>4812.75</v>
      </c>
      <c r="H277" s="1" t="s">
        <v>17</v>
      </c>
      <c r="J277">
        <v>2.9</v>
      </c>
      <c r="K277">
        <v>1</v>
      </c>
      <c r="L277" s="114">
        <v>0</v>
      </c>
      <c r="M277" s="114">
        <v>0</v>
      </c>
      <c r="N277" s="114">
        <v>0</v>
      </c>
      <c r="O277" t="s">
        <v>1134</v>
      </c>
    </row>
    <row r="278" spans="1:15" x14ac:dyDescent="0.25">
      <c r="A278" t="s">
        <v>321</v>
      </c>
      <c r="B278" s="159">
        <v>45392.003472222219</v>
      </c>
      <c r="C278" s="1" t="s">
        <v>13</v>
      </c>
      <c r="D278" s="1" t="s">
        <v>14</v>
      </c>
      <c r="E278" t="s">
        <v>15</v>
      </c>
      <c r="F278" t="s">
        <v>41</v>
      </c>
      <c r="G278" s="114">
        <v>4879.4399999999996</v>
      </c>
      <c r="H278" s="1" t="s">
        <v>34</v>
      </c>
      <c r="I278" t="s">
        <v>35</v>
      </c>
      <c r="J278">
        <v>2.5</v>
      </c>
      <c r="K278">
        <v>8.7400000000000005E-2</v>
      </c>
      <c r="L278" s="114">
        <v>0</v>
      </c>
      <c r="M278" s="114">
        <v>0</v>
      </c>
      <c r="N278" s="114">
        <v>0</v>
      </c>
      <c r="O278" t="s">
        <v>1134</v>
      </c>
    </row>
    <row r="279" spans="1:15" x14ac:dyDescent="0.25">
      <c r="A279" t="s">
        <v>322</v>
      </c>
      <c r="B279" s="159">
        <v>45392.279861111114</v>
      </c>
      <c r="C279" s="1" t="s">
        <v>37</v>
      </c>
      <c r="D279" s="1" t="s">
        <v>38</v>
      </c>
      <c r="E279" t="s">
        <v>39</v>
      </c>
      <c r="F279" t="s">
        <v>45</v>
      </c>
      <c r="G279" s="114">
        <v>3973.79</v>
      </c>
      <c r="H279" s="1" t="s">
        <v>22</v>
      </c>
      <c r="J279">
        <v>3.2</v>
      </c>
      <c r="K279">
        <v>0.23269999999999999</v>
      </c>
      <c r="L279" s="114">
        <v>29.590131999999997</v>
      </c>
      <c r="M279" s="114">
        <v>895.11080100000004</v>
      </c>
      <c r="N279" s="114">
        <v>924.70093300000008</v>
      </c>
      <c r="O279" t="s">
        <v>1134</v>
      </c>
    </row>
    <row r="280" spans="1:15" x14ac:dyDescent="0.25">
      <c r="A280" t="s">
        <v>323</v>
      </c>
      <c r="B280" s="159">
        <v>45393.101388888892</v>
      </c>
      <c r="C280" s="1" t="s">
        <v>37</v>
      </c>
      <c r="D280" s="1" t="s">
        <v>38</v>
      </c>
      <c r="E280" t="s">
        <v>44</v>
      </c>
      <c r="F280" t="s">
        <v>16</v>
      </c>
      <c r="G280" s="114">
        <v>4383.1899999999996</v>
      </c>
      <c r="H280" s="1" t="s">
        <v>17</v>
      </c>
      <c r="J280">
        <v>2.1</v>
      </c>
      <c r="K280">
        <v>0.23269999999999999</v>
      </c>
      <c r="L280" s="114">
        <v>0</v>
      </c>
      <c r="M280" s="114">
        <v>0</v>
      </c>
      <c r="N280" s="114">
        <v>0</v>
      </c>
      <c r="O280" t="s">
        <v>1134</v>
      </c>
    </row>
    <row r="281" spans="1:15" x14ac:dyDescent="0.25">
      <c r="A281" t="s">
        <v>324</v>
      </c>
      <c r="B281" s="159">
        <v>45393.49722222222</v>
      </c>
      <c r="C281" s="1" t="s">
        <v>60</v>
      </c>
      <c r="D281" s="1" t="s">
        <v>25</v>
      </c>
      <c r="E281" t="s">
        <v>44</v>
      </c>
      <c r="F281" t="s">
        <v>41</v>
      </c>
      <c r="G281" s="114">
        <v>1187.47</v>
      </c>
      <c r="H281" s="1" t="s">
        <v>34</v>
      </c>
      <c r="I281" t="s">
        <v>62</v>
      </c>
      <c r="J281">
        <v>2.1</v>
      </c>
      <c r="K281">
        <v>1</v>
      </c>
      <c r="L281" s="114">
        <v>0</v>
      </c>
      <c r="M281" s="114">
        <v>0</v>
      </c>
      <c r="N281" s="114">
        <v>0</v>
      </c>
      <c r="O281" t="s">
        <v>1134</v>
      </c>
    </row>
    <row r="282" spans="1:15" x14ac:dyDescent="0.25">
      <c r="A282" t="s">
        <v>325</v>
      </c>
      <c r="B282" s="159">
        <v>45393.515972222223</v>
      </c>
      <c r="C282" s="1" t="s">
        <v>31</v>
      </c>
      <c r="D282" s="1" t="s">
        <v>32</v>
      </c>
      <c r="E282" t="s">
        <v>33</v>
      </c>
      <c r="F282" t="s">
        <v>45</v>
      </c>
      <c r="G282" s="114">
        <v>1301.52</v>
      </c>
      <c r="H282" s="1" t="s">
        <v>22</v>
      </c>
      <c r="J282">
        <v>1.9</v>
      </c>
      <c r="K282">
        <v>1.1801999999999999</v>
      </c>
      <c r="L282" s="114">
        <v>29.186345999999997</v>
      </c>
      <c r="M282" s="114">
        <v>1506.8675579999999</v>
      </c>
      <c r="N282" s="114">
        <v>1536.0539039999999</v>
      </c>
      <c r="O282" t="s">
        <v>1134</v>
      </c>
    </row>
    <row r="283" spans="1:15" x14ac:dyDescent="0.25">
      <c r="A283" t="s">
        <v>326</v>
      </c>
      <c r="B283" s="159">
        <v>45393.642361111109</v>
      </c>
      <c r="C283" s="1" t="s">
        <v>19</v>
      </c>
      <c r="D283" s="1" t="s">
        <v>20</v>
      </c>
      <c r="E283" t="s">
        <v>44</v>
      </c>
      <c r="F283" t="s">
        <v>45</v>
      </c>
      <c r="G283" s="114">
        <v>3083.82</v>
      </c>
      <c r="H283" s="1" t="s">
        <v>17</v>
      </c>
      <c r="J283">
        <v>2.1</v>
      </c>
      <c r="K283">
        <v>8.5999999999999993E-2</v>
      </c>
      <c r="L283" s="114">
        <v>0</v>
      </c>
      <c r="M283" s="114">
        <v>0</v>
      </c>
      <c r="N283" s="114">
        <v>0</v>
      </c>
      <c r="O283" t="s">
        <v>1134</v>
      </c>
    </row>
    <row r="284" spans="1:15" x14ac:dyDescent="0.25">
      <c r="A284" t="s">
        <v>327</v>
      </c>
      <c r="B284" s="159">
        <v>45393.984027777777</v>
      </c>
      <c r="C284" s="1" t="s">
        <v>43</v>
      </c>
      <c r="D284" s="1" t="s">
        <v>25</v>
      </c>
      <c r="E284" t="s">
        <v>39</v>
      </c>
      <c r="F284" t="s">
        <v>21</v>
      </c>
      <c r="G284" s="114">
        <v>649.79</v>
      </c>
      <c r="H284" s="1" t="s">
        <v>22</v>
      </c>
      <c r="J284">
        <v>3.2</v>
      </c>
      <c r="K284">
        <v>1</v>
      </c>
      <c r="L284" s="114">
        <v>20.79</v>
      </c>
      <c r="M284" s="114">
        <v>629</v>
      </c>
      <c r="N284" s="114">
        <v>649.79</v>
      </c>
      <c r="O284" t="s">
        <v>1134</v>
      </c>
    </row>
    <row r="285" spans="1:15" x14ac:dyDescent="0.25">
      <c r="A285" t="s">
        <v>328</v>
      </c>
      <c r="B285" s="159">
        <v>45394.245138888888</v>
      </c>
      <c r="C285" s="1" t="s">
        <v>58</v>
      </c>
      <c r="D285" s="1" t="s">
        <v>25</v>
      </c>
      <c r="E285" t="s">
        <v>39</v>
      </c>
      <c r="F285" t="s">
        <v>45</v>
      </c>
      <c r="G285" s="114">
        <v>2458.02</v>
      </c>
      <c r="H285" s="1" t="s">
        <v>22</v>
      </c>
      <c r="J285">
        <v>3.2</v>
      </c>
      <c r="K285">
        <v>1</v>
      </c>
      <c r="L285" s="114">
        <v>78.66</v>
      </c>
      <c r="M285" s="114">
        <v>2379.36</v>
      </c>
      <c r="N285" s="114">
        <v>2458.02</v>
      </c>
      <c r="O285" t="s">
        <v>1134</v>
      </c>
    </row>
    <row r="286" spans="1:15" x14ac:dyDescent="0.25">
      <c r="A286" t="s">
        <v>329</v>
      </c>
      <c r="B286" s="159">
        <v>45394.559027777781</v>
      </c>
      <c r="C286" s="1" t="s">
        <v>47</v>
      </c>
      <c r="D286" s="1" t="s">
        <v>25</v>
      </c>
      <c r="E286" t="s">
        <v>33</v>
      </c>
      <c r="F286" t="s">
        <v>45</v>
      </c>
      <c r="G286" s="114">
        <v>2271.61</v>
      </c>
      <c r="H286" s="1" t="s">
        <v>17</v>
      </c>
      <c r="J286">
        <v>1.9</v>
      </c>
      <c r="K286">
        <v>1</v>
      </c>
      <c r="L286" s="114">
        <v>0</v>
      </c>
      <c r="M286" s="114">
        <v>0</v>
      </c>
      <c r="N286" s="114">
        <v>0</v>
      </c>
      <c r="O286" t="s">
        <v>1134</v>
      </c>
    </row>
    <row r="287" spans="1:15" x14ac:dyDescent="0.25">
      <c r="A287" t="s">
        <v>330</v>
      </c>
      <c r="B287" s="159">
        <v>45394.809027777781</v>
      </c>
      <c r="C287" s="1" t="s">
        <v>27</v>
      </c>
      <c r="D287" s="1" t="s">
        <v>25</v>
      </c>
      <c r="E287" t="s">
        <v>15</v>
      </c>
      <c r="F287" t="s">
        <v>41</v>
      </c>
      <c r="G287" s="114">
        <v>727.92</v>
      </c>
      <c r="H287" s="1" t="s">
        <v>34</v>
      </c>
      <c r="I287" t="s">
        <v>35</v>
      </c>
      <c r="J287">
        <v>2.5</v>
      </c>
      <c r="K287">
        <v>1</v>
      </c>
      <c r="L287" s="114">
        <v>0</v>
      </c>
      <c r="M287" s="114">
        <v>0</v>
      </c>
      <c r="N287" s="114">
        <v>0</v>
      </c>
      <c r="O287" t="s">
        <v>1134</v>
      </c>
    </row>
    <row r="288" spans="1:15" x14ac:dyDescent="0.25">
      <c r="A288" t="s">
        <v>331</v>
      </c>
      <c r="B288" s="159">
        <v>45395.328472222223</v>
      </c>
      <c r="C288" s="1" t="s">
        <v>19</v>
      </c>
      <c r="D288" s="1" t="s">
        <v>20</v>
      </c>
      <c r="E288" t="s">
        <v>39</v>
      </c>
      <c r="F288" t="s">
        <v>29</v>
      </c>
      <c r="G288" s="114">
        <v>3896.9</v>
      </c>
      <c r="H288" s="1" t="s">
        <v>22</v>
      </c>
      <c r="J288">
        <v>3.2</v>
      </c>
      <c r="K288">
        <v>8.5999999999999993E-2</v>
      </c>
      <c r="L288" s="114">
        <v>10.7242</v>
      </c>
      <c r="M288" s="114">
        <v>324.40919999999994</v>
      </c>
      <c r="N288" s="114">
        <v>335.13339999999994</v>
      </c>
      <c r="O288" t="s">
        <v>1134</v>
      </c>
    </row>
    <row r="289" spans="1:15" x14ac:dyDescent="0.25">
      <c r="A289" t="s">
        <v>332</v>
      </c>
      <c r="B289" s="159">
        <v>45395.601388888892</v>
      </c>
      <c r="C289" s="1" t="s">
        <v>60</v>
      </c>
      <c r="D289" s="1" t="s">
        <v>25</v>
      </c>
      <c r="E289" t="s">
        <v>44</v>
      </c>
      <c r="F289" t="s">
        <v>16</v>
      </c>
      <c r="G289" s="114">
        <v>1713.19</v>
      </c>
      <c r="H289" s="1" t="s">
        <v>17</v>
      </c>
      <c r="J289">
        <v>2.1</v>
      </c>
      <c r="K289">
        <v>1</v>
      </c>
      <c r="L289" s="114">
        <v>0</v>
      </c>
      <c r="M289" s="114">
        <v>0</v>
      </c>
      <c r="N289" s="114">
        <v>0</v>
      </c>
      <c r="O289" t="s">
        <v>1134</v>
      </c>
    </row>
    <row r="290" spans="1:15" x14ac:dyDescent="0.25">
      <c r="A290" t="s">
        <v>333</v>
      </c>
      <c r="B290" s="159">
        <v>45395.720138888886</v>
      </c>
      <c r="C290" s="1" t="s">
        <v>13</v>
      </c>
      <c r="D290" s="1" t="s">
        <v>14</v>
      </c>
      <c r="E290" t="s">
        <v>39</v>
      </c>
      <c r="F290" t="s">
        <v>29</v>
      </c>
      <c r="G290" s="114">
        <v>555.04</v>
      </c>
      <c r="H290" s="1" t="s">
        <v>17</v>
      </c>
      <c r="J290">
        <v>3.2</v>
      </c>
      <c r="K290">
        <v>8.7400000000000005E-2</v>
      </c>
      <c r="L290" s="114">
        <v>0</v>
      </c>
      <c r="M290" s="114">
        <v>0</v>
      </c>
      <c r="N290" s="114">
        <v>0</v>
      </c>
      <c r="O290" t="s">
        <v>1134</v>
      </c>
    </row>
    <row r="291" spans="1:15" x14ac:dyDescent="0.25">
      <c r="A291" t="s">
        <v>334</v>
      </c>
      <c r="B291" s="159">
        <v>45396.09097222222</v>
      </c>
      <c r="C291" s="1" t="s">
        <v>43</v>
      </c>
      <c r="D291" s="1" t="s">
        <v>25</v>
      </c>
      <c r="E291" t="s">
        <v>33</v>
      </c>
      <c r="F291" t="s">
        <v>16</v>
      </c>
      <c r="G291" s="114">
        <v>3442.43</v>
      </c>
      <c r="H291" s="1" t="s">
        <v>34</v>
      </c>
      <c r="I291" t="s">
        <v>35</v>
      </c>
      <c r="J291">
        <v>1.9</v>
      </c>
      <c r="K291">
        <v>1</v>
      </c>
      <c r="L291" s="114">
        <v>0</v>
      </c>
      <c r="M291" s="114">
        <v>0</v>
      </c>
      <c r="N291" s="114">
        <v>0</v>
      </c>
      <c r="O291" t="s">
        <v>1134</v>
      </c>
    </row>
    <row r="292" spans="1:15" x14ac:dyDescent="0.25">
      <c r="A292" t="s">
        <v>335</v>
      </c>
      <c r="B292" s="159">
        <v>45396.472222222219</v>
      </c>
      <c r="C292" s="1" t="s">
        <v>58</v>
      </c>
      <c r="D292" s="1" t="s">
        <v>25</v>
      </c>
      <c r="E292" t="s">
        <v>28</v>
      </c>
      <c r="F292" t="s">
        <v>45</v>
      </c>
      <c r="G292" s="114">
        <v>4321.78</v>
      </c>
      <c r="H292" s="1" t="s">
        <v>22</v>
      </c>
      <c r="J292">
        <v>2.9</v>
      </c>
      <c r="K292">
        <v>1</v>
      </c>
      <c r="L292" s="114">
        <v>125.33</v>
      </c>
      <c r="M292" s="114">
        <v>4196.45</v>
      </c>
      <c r="N292" s="114">
        <v>4321.78</v>
      </c>
      <c r="O292" t="s">
        <v>1134</v>
      </c>
    </row>
    <row r="293" spans="1:15" x14ac:dyDescent="0.25">
      <c r="A293" t="s">
        <v>336</v>
      </c>
      <c r="B293" s="159">
        <v>45397.066666666666</v>
      </c>
      <c r="C293" s="1" t="s">
        <v>37</v>
      </c>
      <c r="D293" s="1" t="s">
        <v>38</v>
      </c>
      <c r="E293" t="s">
        <v>33</v>
      </c>
      <c r="F293" t="s">
        <v>21</v>
      </c>
      <c r="G293" s="114">
        <v>2988.32</v>
      </c>
      <c r="H293" s="1" t="s">
        <v>22</v>
      </c>
      <c r="J293">
        <v>1.9</v>
      </c>
      <c r="K293">
        <v>0.23269999999999999</v>
      </c>
      <c r="L293" s="114">
        <v>13.212705999999999</v>
      </c>
      <c r="M293" s="114">
        <v>682.16935799999999</v>
      </c>
      <c r="N293" s="114">
        <v>695.38206400000001</v>
      </c>
      <c r="O293" t="s">
        <v>1134</v>
      </c>
    </row>
    <row r="294" spans="1:15" x14ac:dyDescent="0.25">
      <c r="A294" t="s">
        <v>337</v>
      </c>
      <c r="B294" s="159">
        <v>45397.194444444445</v>
      </c>
      <c r="C294" s="1" t="s">
        <v>47</v>
      </c>
      <c r="D294" s="1" t="s">
        <v>25</v>
      </c>
      <c r="E294" t="s">
        <v>33</v>
      </c>
      <c r="F294" t="s">
        <v>16</v>
      </c>
      <c r="G294" s="114">
        <v>2066.04</v>
      </c>
      <c r="H294" s="1" t="s">
        <v>22</v>
      </c>
      <c r="J294">
        <v>1.9</v>
      </c>
      <c r="K294">
        <v>1</v>
      </c>
      <c r="L294" s="114">
        <v>39.25</v>
      </c>
      <c r="M294" s="114">
        <v>2026.79</v>
      </c>
      <c r="N294" s="114">
        <v>2066.04</v>
      </c>
      <c r="O294" t="s">
        <v>1134</v>
      </c>
    </row>
    <row r="295" spans="1:15" x14ac:dyDescent="0.25">
      <c r="A295" t="s">
        <v>338</v>
      </c>
      <c r="B295" s="159">
        <v>45397.6875</v>
      </c>
      <c r="C295" s="1" t="s">
        <v>37</v>
      </c>
      <c r="D295" s="1" t="s">
        <v>38</v>
      </c>
      <c r="E295" t="s">
        <v>15</v>
      </c>
      <c r="F295" t="s">
        <v>41</v>
      </c>
      <c r="G295" s="114">
        <v>2196.4499999999998</v>
      </c>
      <c r="H295" s="1" t="s">
        <v>34</v>
      </c>
      <c r="I295" t="s">
        <v>62</v>
      </c>
      <c r="J295">
        <v>2.5</v>
      </c>
      <c r="K295">
        <v>0.23269999999999999</v>
      </c>
      <c r="L295" s="114">
        <v>0</v>
      </c>
      <c r="M295" s="114">
        <v>0</v>
      </c>
      <c r="N295" s="114">
        <v>0</v>
      </c>
      <c r="O295" t="s">
        <v>1134</v>
      </c>
    </row>
    <row r="296" spans="1:15" x14ac:dyDescent="0.25">
      <c r="A296" t="s">
        <v>339</v>
      </c>
      <c r="B296" s="159">
        <v>45397.959722222222</v>
      </c>
      <c r="C296" s="1" t="s">
        <v>43</v>
      </c>
      <c r="D296" s="1" t="s">
        <v>25</v>
      </c>
      <c r="E296" t="s">
        <v>15</v>
      </c>
      <c r="F296" t="s">
        <v>45</v>
      </c>
      <c r="G296" s="114">
        <v>588.02</v>
      </c>
      <c r="H296" s="1" t="s">
        <v>22</v>
      </c>
      <c r="J296">
        <v>2.5</v>
      </c>
      <c r="K296">
        <v>1</v>
      </c>
      <c r="L296" s="114">
        <v>14.7</v>
      </c>
      <c r="M296" s="114">
        <v>573.32000000000005</v>
      </c>
      <c r="N296" s="114">
        <v>588.0200000000001</v>
      </c>
      <c r="O296" t="s">
        <v>1134</v>
      </c>
    </row>
    <row r="297" spans="1:15" x14ac:dyDescent="0.25">
      <c r="A297" t="s">
        <v>340</v>
      </c>
      <c r="B297" s="159">
        <v>45398.59652777778</v>
      </c>
      <c r="C297" s="1" t="s">
        <v>43</v>
      </c>
      <c r="D297" s="1" t="s">
        <v>25</v>
      </c>
      <c r="E297" t="s">
        <v>39</v>
      </c>
      <c r="F297" t="s">
        <v>41</v>
      </c>
      <c r="G297" s="114">
        <v>461.2</v>
      </c>
      <c r="H297" s="1" t="s">
        <v>22</v>
      </c>
      <c r="J297">
        <v>3.2</v>
      </c>
      <c r="K297">
        <v>1</v>
      </c>
      <c r="L297" s="114">
        <v>14.76</v>
      </c>
      <c r="M297" s="114">
        <v>446.44</v>
      </c>
      <c r="N297" s="114">
        <v>461.2</v>
      </c>
      <c r="O297" t="s">
        <v>1134</v>
      </c>
    </row>
    <row r="298" spans="1:15" x14ac:dyDescent="0.25">
      <c r="A298" t="s">
        <v>341</v>
      </c>
      <c r="B298" s="159">
        <v>45398.842361111114</v>
      </c>
      <c r="C298" s="1" t="s">
        <v>47</v>
      </c>
      <c r="D298" s="1" t="s">
        <v>25</v>
      </c>
      <c r="E298" t="s">
        <v>28</v>
      </c>
      <c r="F298" t="s">
        <v>29</v>
      </c>
      <c r="G298" s="114">
        <v>1206.93</v>
      </c>
      <c r="H298" s="1" t="s">
        <v>17</v>
      </c>
      <c r="J298">
        <v>2.9</v>
      </c>
      <c r="K298">
        <v>1</v>
      </c>
      <c r="L298" s="114">
        <v>0</v>
      </c>
      <c r="M298" s="114">
        <v>0</v>
      </c>
      <c r="N298" s="114">
        <v>0</v>
      </c>
      <c r="O298" t="s">
        <v>1134</v>
      </c>
    </row>
    <row r="299" spans="1:15" x14ac:dyDescent="0.25">
      <c r="A299" t="s">
        <v>342</v>
      </c>
      <c r="B299" s="159">
        <v>45399.552777777775</v>
      </c>
      <c r="C299" s="1" t="s">
        <v>37</v>
      </c>
      <c r="D299" s="1" t="s">
        <v>38</v>
      </c>
      <c r="E299" t="s">
        <v>33</v>
      </c>
      <c r="F299" t="s">
        <v>16</v>
      </c>
      <c r="G299" s="114">
        <v>226.15</v>
      </c>
      <c r="H299" s="1" t="s">
        <v>22</v>
      </c>
      <c r="J299">
        <v>1.9</v>
      </c>
      <c r="K299">
        <v>0.23269999999999999</v>
      </c>
      <c r="L299" s="114">
        <v>1.00061</v>
      </c>
      <c r="M299" s="114">
        <v>51.624494999999996</v>
      </c>
      <c r="N299" s="114">
        <v>52.625104999999998</v>
      </c>
      <c r="O299" t="s">
        <v>1134</v>
      </c>
    </row>
    <row r="300" spans="1:15" x14ac:dyDescent="0.25">
      <c r="A300" t="s">
        <v>343</v>
      </c>
      <c r="B300" s="159">
        <v>45399.984027777777</v>
      </c>
      <c r="C300" s="1" t="s">
        <v>37</v>
      </c>
      <c r="D300" s="1" t="s">
        <v>38</v>
      </c>
      <c r="E300" t="s">
        <v>33</v>
      </c>
      <c r="F300" t="s">
        <v>16</v>
      </c>
      <c r="G300" s="114">
        <v>838.25</v>
      </c>
      <c r="H300" s="1" t="s">
        <v>22</v>
      </c>
      <c r="J300">
        <v>1.9</v>
      </c>
      <c r="K300">
        <v>0.23269999999999999</v>
      </c>
      <c r="L300" s="114">
        <v>3.7069109999999998</v>
      </c>
      <c r="M300" s="114">
        <v>191.35386400000002</v>
      </c>
      <c r="N300" s="114">
        <v>195.06077500000001</v>
      </c>
      <c r="O300" t="s">
        <v>1134</v>
      </c>
    </row>
    <row r="301" spans="1:15" x14ac:dyDescent="0.25">
      <c r="A301" t="s">
        <v>344</v>
      </c>
      <c r="B301" s="159">
        <v>45399.990972222222</v>
      </c>
      <c r="C301" s="1" t="s">
        <v>37</v>
      </c>
      <c r="D301" s="1" t="s">
        <v>38</v>
      </c>
      <c r="E301" t="s">
        <v>44</v>
      </c>
      <c r="F301" t="s">
        <v>16</v>
      </c>
      <c r="G301" s="114">
        <v>4529.08</v>
      </c>
      <c r="H301" s="1" t="s">
        <v>17</v>
      </c>
      <c r="J301">
        <v>2.1</v>
      </c>
      <c r="K301">
        <v>0.23269999999999999</v>
      </c>
      <c r="L301" s="114">
        <v>0</v>
      </c>
      <c r="M301" s="114">
        <v>0</v>
      </c>
      <c r="N301" s="114">
        <v>0</v>
      </c>
      <c r="O301" t="s">
        <v>1134</v>
      </c>
    </row>
    <row r="302" spans="1:15" x14ac:dyDescent="0.25">
      <c r="A302" t="s">
        <v>345</v>
      </c>
      <c r="B302" s="159">
        <v>45400.493750000001</v>
      </c>
      <c r="C302" s="1" t="s">
        <v>47</v>
      </c>
      <c r="D302" s="1" t="s">
        <v>25</v>
      </c>
      <c r="E302" t="s">
        <v>39</v>
      </c>
      <c r="F302" t="s">
        <v>21</v>
      </c>
      <c r="G302" s="114">
        <v>4402.8</v>
      </c>
      <c r="H302" s="1" t="s">
        <v>22</v>
      </c>
      <c r="J302">
        <v>3.2</v>
      </c>
      <c r="K302">
        <v>1</v>
      </c>
      <c r="L302" s="114">
        <v>140.88999999999999</v>
      </c>
      <c r="M302" s="114">
        <v>4261.91</v>
      </c>
      <c r="N302" s="114">
        <v>4402.8</v>
      </c>
      <c r="O302" t="s">
        <v>1134</v>
      </c>
    </row>
    <row r="303" spans="1:15" x14ac:dyDescent="0.25">
      <c r="A303" t="s">
        <v>346</v>
      </c>
      <c r="B303" s="159">
        <v>45400.741666666669</v>
      </c>
      <c r="C303" s="1" t="s">
        <v>24</v>
      </c>
      <c r="D303" s="1" t="s">
        <v>25</v>
      </c>
      <c r="E303" t="s">
        <v>39</v>
      </c>
      <c r="F303" t="s">
        <v>16</v>
      </c>
      <c r="G303" s="114">
        <v>4975.8</v>
      </c>
      <c r="H303" s="1" t="s">
        <v>22</v>
      </c>
      <c r="J303">
        <v>3.2</v>
      </c>
      <c r="K303">
        <v>1</v>
      </c>
      <c r="L303" s="114">
        <v>159.22999999999999</v>
      </c>
      <c r="M303" s="114">
        <v>4816.57</v>
      </c>
      <c r="N303" s="114">
        <v>4975.7999999999993</v>
      </c>
      <c r="O303" t="s">
        <v>1134</v>
      </c>
    </row>
    <row r="304" spans="1:15" x14ac:dyDescent="0.25">
      <c r="A304" t="s">
        <v>347</v>
      </c>
      <c r="B304" s="159">
        <v>45400.854861111111</v>
      </c>
      <c r="C304" s="1" t="s">
        <v>58</v>
      </c>
      <c r="D304" s="1" t="s">
        <v>25</v>
      </c>
      <c r="E304" t="s">
        <v>15</v>
      </c>
      <c r="F304" t="s">
        <v>29</v>
      </c>
      <c r="G304" s="114">
        <v>1331.75</v>
      </c>
      <c r="H304" s="1" t="s">
        <v>22</v>
      </c>
      <c r="J304">
        <v>2.5</v>
      </c>
      <c r="K304">
        <v>1</v>
      </c>
      <c r="L304" s="114">
        <v>33.29</v>
      </c>
      <c r="M304" s="114">
        <v>1298.46</v>
      </c>
      <c r="N304" s="114">
        <v>1331.75</v>
      </c>
      <c r="O304" t="s">
        <v>1134</v>
      </c>
    </row>
    <row r="305" spans="1:15" x14ac:dyDescent="0.25">
      <c r="A305" t="s">
        <v>348</v>
      </c>
      <c r="B305" s="159">
        <v>45400.959027777775</v>
      </c>
      <c r="C305" s="1" t="s">
        <v>19</v>
      </c>
      <c r="D305" s="1" t="s">
        <v>20</v>
      </c>
      <c r="E305" t="s">
        <v>33</v>
      </c>
      <c r="F305" t="s">
        <v>29</v>
      </c>
      <c r="G305" s="114">
        <v>624.58000000000004</v>
      </c>
      <c r="H305" s="1" t="s">
        <v>22</v>
      </c>
      <c r="J305">
        <v>1.9</v>
      </c>
      <c r="K305">
        <v>8.5999999999999993E-2</v>
      </c>
      <c r="L305" s="114">
        <v>1.0208199999999998</v>
      </c>
      <c r="M305" s="114">
        <v>52.693059999999996</v>
      </c>
      <c r="N305" s="114">
        <v>53.713879999999996</v>
      </c>
      <c r="O305" t="s">
        <v>1134</v>
      </c>
    </row>
    <row r="306" spans="1:15" x14ac:dyDescent="0.25">
      <c r="A306" t="s">
        <v>349</v>
      </c>
      <c r="B306" s="159">
        <v>45401.676388888889</v>
      </c>
      <c r="C306" s="1" t="s">
        <v>58</v>
      </c>
      <c r="D306" s="1" t="s">
        <v>25</v>
      </c>
      <c r="E306" t="s">
        <v>28</v>
      </c>
      <c r="F306" t="s">
        <v>21</v>
      </c>
      <c r="G306" s="114">
        <v>626.84</v>
      </c>
      <c r="H306" s="1" t="s">
        <v>22</v>
      </c>
      <c r="J306">
        <v>2.9</v>
      </c>
      <c r="K306">
        <v>1</v>
      </c>
      <c r="L306" s="114">
        <v>18.18</v>
      </c>
      <c r="M306" s="114">
        <v>608.66</v>
      </c>
      <c r="N306" s="114">
        <v>626.83999999999992</v>
      </c>
      <c r="O306" t="s">
        <v>1134</v>
      </c>
    </row>
    <row r="307" spans="1:15" x14ac:dyDescent="0.25">
      <c r="A307" t="s">
        <v>350</v>
      </c>
      <c r="B307" s="159">
        <v>45402.354166666664</v>
      </c>
      <c r="C307" s="1" t="s">
        <v>31</v>
      </c>
      <c r="D307" s="1" t="s">
        <v>32</v>
      </c>
      <c r="E307" t="s">
        <v>15</v>
      </c>
      <c r="F307" t="s">
        <v>21</v>
      </c>
      <c r="G307" s="114">
        <v>1306.25</v>
      </c>
      <c r="H307" s="1" t="s">
        <v>22</v>
      </c>
      <c r="J307">
        <v>2.5</v>
      </c>
      <c r="K307">
        <v>1.1801999999999999</v>
      </c>
      <c r="L307" s="114">
        <v>38.545331999999995</v>
      </c>
      <c r="M307" s="114">
        <v>1503.0909179999999</v>
      </c>
      <c r="N307" s="114">
        <v>1541.6362499999998</v>
      </c>
      <c r="O307" t="s">
        <v>1134</v>
      </c>
    </row>
    <row r="308" spans="1:15" x14ac:dyDescent="0.25">
      <c r="A308" t="s">
        <v>351</v>
      </c>
      <c r="B308" s="159">
        <v>45402.42291666667</v>
      </c>
      <c r="C308" s="1" t="s">
        <v>31</v>
      </c>
      <c r="D308" s="1" t="s">
        <v>32</v>
      </c>
      <c r="E308" t="s">
        <v>44</v>
      </c>
      <c r="F308" t="s">
        <v>21</v>
      </c>
      <c r="G308" s="114">
        <v>1987.26</v>
      </c>
      <c r="H308" s="1" t="s">
        <v>22</v>
      </c>
      <c r="J308">
        <v>2.1</v>
      </c>
      <c r="K308">
        <v>1.1801999999999999</v>
      </c>
      <c r="L308" s="114">
        <v>49.249745999999995</v>
      </c>
      <c r="M308" s="114">
        <v>2296.1145059999999</v>
      </c>
      <c r="N308" s="114">
        <v>2345.3642519999999</v>
      </c>
      <c r="O308" t="s">
        <v>1134</v>
      </c>
    </row>
    <row r="309" spans="1:15" x14ac:dyDescent="0.25">
      <c r="A309" t="s">
        <v>352</v>
      </c>
      <c r="B309" s="159">
        <v>45403.17083333333</v>
      </c>
      <c r="C309" s="1" t="s">
        <v>27</v>
      </c>
      <c r="D309" s="1" t="s">
        <v>25</v>
      </c>
      <c r="E309" t="s">
        <v>44</v>
      </c>
      <c r="F309" t="s">
        <v>21</v>
      </c>
      <c r="G309" s="114">
        <v>2202.98</v>
      </c>
      <c r="H309" s="1" t="s">
        <v>22</v>
      </c>
      <c r="J309">
        <v>2.1</v>
      </c>
      <c r="K309">
        <v>1</v>
      </c>
      <c r="L309" s="114">
        <v>46.26</v>
      </c>
      <c r="M309" s="114">
        <v>2156.7199999999998</v>
      </c>
      <c r="N309" s="114">
        <v>2202.98</v>
      </c>
      <c r="O309" t="s">
        <v>1134</v>
      </c>
    </row>
    <row r="310" spans="1:15" x14ac:dyDescent="0.25">
      <c r="A310" t="s">
        <v>353</v>
      </c>
      <c r="B310" s="159">
        <v>45403.43472222222</v>
      </c>
      <c r="C310" s="1" t="s">
        <v>47</v>
      </c>
      <c r="D310" s="1" t="s">
        <v>25</v>
      </c>
      <c r="E310" t="s">
        <v>15</v>
      </c>
      <c r="F310" t="s">
        <v>21</v>
      </c>
      <c r="G310" s="114">
        <v>2323.79</v>
      </c>
      <c r="H310" s="1" t="s">
        <v>22</v>
      </c>
      <c r="J310">
        <v>2.5</v>
      </c>
      <c r="K310">
        <v>1</v>
      </c>
      <c r="L310" s="114">
        <v>58.09</v>
      </c>
      <c r="M310" s="114">
        <v>2265.6999999999998</v>
      </c>
      <c r="N310" s="114">
        <v>2323.79</v>
      </c>
      <c r="O310" t="s">
        <v>1134</v>
      </c>
    </row>
    <row r="311" spans="1:15" x14ac:dyDescent="0.25">
      <c r="A311" t="s">
        <v>354</v>
      </c>
      <c r="B311" s="159">
        <v>45403.779166666667</v>
      </c>
      <c r="C311" s="1" t="s">
        <v>43</v>
      </c>
      <c r="D311" s="1" t="s">
        <v>25</v>
      </c>
      <c r="E311" t="s">
        <v>15</v>
      </c>
      <c r="F311" t="s">
        <v>16</v>
      </c>
      <c r="G311" s="114">
        <v>2214.96</v>
      </c>
      <c r="H311" s="1" t="s">
        <v>17</v>
      </c>
      <c r="J311">
        <v>2.5</v>
      </c>
      <c r="K311">
        <v>1</v>
      </c>
      <c r="L311" s="114">
        <v>0</v>
      </c>
      <c r="M311" s="114">
        <v>0</v>
      </c>
      <c r="N311" s="114">
        <v>0</v>
      </c>
      <c r="O311" t="s">
        <v>1134</v>
      </c>
    </row>
    <row r="312" spans="1:15" x14ac:dyDescent="0.25">
      <c r="A312" t="s">
        <v>355</v>
      </c>
      <c r="B312" s="159">
        <v>45404.336805555555</v>
      </c>
      <c r="C312" s="1" t="s">
        <v>58</v>
      </c>
      <c r="D312" s="1" t="s">
        <v>25</v>
      </c>
      <c r="E312" t="s">
        <v>44</v>
      </c>
      <c r="F312" t="s">
        <v>45</v>
      </c>
      <c r="G312" s="114">
        <v>3825.05</v>
      </c>
      <c r="H312" s="1" t="s">
        <v>17</v>
      </c>
      <c r="J312">
        <v>2.1</v>
      </c>
      <c r="K312">
        <v>1</v>
      </c>
      <c r="L312" s="114">
        <v>0</v>
      </c>
      <c r="M312" s="114">
        <v>0</v>
      </c>
      <c r="N312" s="114">
        <v>0</v>
      </c>
      <c r="O312" t="s">
        <v>1134</v>
      </c>
    </row>
    <row r="313" spans="1:15" x14ac:dyDescent="0.25">
      <c r="A313" t="s">
        <v>356</v>
      </c>
      <c r="B313" s="159">
        <v>45404.376388888886</v>
      </c>
      <c r="C313" s="1" t="s">
        <v>47</v>
      </c>
      <c r="D313" s="1" t="s">
        <v>25</v>
      </c>
      <c r="E313" t="s">
        <v>44</v>
      </c>
      <c r="F313" t="s">
        <v>45</v>
      </c>
      <c r="G313" s="114">
        <v>1450.46</v>
      </c>
      <c r="H313" s="1" t="s">
        <v>34</v>
      </c>
      <c r="I313" t="s">
        <v>100</v>
      </c>
      <c r="J313">
        <v>2.1</v>
      </c>
      <c r="K313">
        <v>1</v>
      </c>
      <c r="L313" s="114">
        <v>0</v>
      </c>
      <c r="M313" s="114">
        <v>0</v>
      </c>
      <c r="N313" s="114">
        <v>0</v>
      </c>
      <c r="O313" t="s">
        <v>1134</v>
      </c>
    </row>
    <row r="314" spans="1:15" x14ac:dyDescent="0.25">
      <c r="A314" t="s">
        <v>357</v>
      </c>
      <c r="B314" s="159">
        <v>45406.013888888891</v>
      </c>
      <c r="C314" s="1" t="s">
        <v>31</v>
      </c>
      <c r="D314" s="1" t="s">
        <v>32</v>
      </c>
      <c r="E314" t="s">
        <v>39</v>
      </c>
      <c r="F314" t="s">
        <v>29</v>
      </c>
      <c r="G314" s="114">
        <v>696.62</v>
      </c>
      <c r="H314" s="1" t="s">
        <v>22</v>
      </c>
      <c r="J314">
        <v>3.2</v>
      </c>
      <c r="K314">
        <v>1.1801999999999999</v>
      </c>
      <c r="L314" s="114">
        <v>26.306657999999999</v>
      </c>
      <c r="M314" s="114">
        <v>795.84426599999995</v>
      </c>
      <c r="N314" s="114">
        <v>822.15092399999992</v>
      </c>
      <c r="O314" t="s">
        <v>1134</v>
      </c>
    </row>
    <row r="315" spans="1:15" x14ac:dyDescent="0.25">
      <c r="A315" t="s">
        <v>358</v>
      </c>
      <c r="B315" s="159">
        <v>45406.140277777777</v>
      </c>
      <c r="C315" s="1" t="s">
        <v>13</v>
      </c>
      <c r="D315" s="1" t="s">
        <v>14</v>
      </c>
      <c r="E315" t="s">
        <v>39</v>
      </c>
      <c r="F315" t="s">
        <v>41</v>
      </c>
      <c r="G315" s="114">
        <v>3815.4</v>
      </c>
      <c r="H315" s="1" t="s">
        <v>17</v>
      </c>
      <c r="J315">
        <v>3.2</v>
      </c>
      <c r="K315">
        <v>8.7400000000000005E-2</v>
      </c>
      <c r="L315" s="114">
        <v>0</v>
      </c>
      <c r="M315" s="114">
        <v>0</v>
      </c>
      <c r="N315" s="114">
        <v>0</v>
      </c>
      <c r="O315" t="s">
        <v>1134</v>
      </c>
    </row>
    <row r="316" spans="1:15" x14ac:dyDescent="0.25">
      <c r="A316" t="s">
        <v>359</v>
      </c>
      <c r="B316" s="159">
        <v>45406.836111111108</v>
      </c>
      <c r="C316" s="1" t="s">
        <v>60</v>
      </c>
      <c r="D316" s="1" t="s">
        <v>25</v>
      </c>
      <c r="E316" t="s">
        <v>28</v>
      </c>
      <c r="F316" t="s">
        <v>29</v>
      </c>
      <c r="G316" s="114">
        <v>1004.81</v>
      </c>
      <c r="H316" s="1" t="s">
        <v>22</v>
      </c>
      <c r="J316">
        <v>2.9</v>
      </c>
      <c r="K316">
        <v>1</v>
      </c>
      <c r="L316" s="114">
        <v>29.14</v>
      </c>
      <c r="M316" s="114">
        <v>975.67</v>
      </c>
      <c r="N316" s="114">
        <v>1004.81</v>
      </c>
      <c r="O316" t="s">
        <v>1134</v>
      </c>
    </row>
    <row r="317" spans="1:15" x14ac:dyDescent="0.25">
      <c r="A317" t="s">
        <v>360</v>
      </c>
      <c r="B317" s="159">
        <v>45407.181250000001</v>
      </c>
      <c r="C317" s="1" t="s">
        <v>58</v>
      </c>
      <c r="D317" s="1" t="s">
        <v>25</v>
      </c>
      <c r="E317" t="s">
        <v>44</v>
      </c>
      <c r="F317" t="s">
        <v>41</v>
      </c>
      <c r="G317" s="114">
        <v>3652.15</v>
      </c>
      <c r="H317" s="1" t="s">
        <v>17</v>
      </c>
      <c r="J317">
        <v>2.1</v>
      </c>
      <c r="K317">
        <v>1</v>
      </c>
      <c r="L317" s="114">
        <v>0</v>
      </c>
      <c r="M317" s="114">
        <v>0</v>
      </c>
      <c r="N317" s="114">
        <v>0</v>
      </c>
      <c r="O317" t="s">
        <v>1134</v>
      </c>
    </row>
    <row r="318" spans="1:15" x14ac:dyDescent="0.25">
      <c r="A318" t="s">
        <v>361</v>
      </c>
      <c r="B318" s="159">
        <v>45407.256249999999</v>
      </c>
      <c r="C318" s="1" t="s">
        <v>60</v>
      </c>
      <c r="D318" s="1" t="s">
        <v>25</v>
      </c>
      <c r="E318" t="s">
        <v>28</v>
      </c>
      <c r="F318" t="s">
        <v>29</v>
      </c>
      <c r="G318" s="114">
        <v>4919.84</v>
      </c>
      <c r="H318" s="1" t="s">
        <v>17</v>
      </c>
      <c r="J318">
        <v>2.9</v>
      </c>
      <c r="K318">
        <v>1</v>
      </c>
      <c r="L318" s="114">
        <v>0</v>
      </c>
      <c r="M318" s="114">
        <v>0</v>
      </c>
      <c r="N318" s="114">
        <v>0</v>
      </c>
      <c r="O318" t="s">
        <v>1134</v>
      </c>
    </row>
    <row r="319" spans="1:15" x14ac:dyDescent="0.25">
      <c r="A319" t="s">
        <v>362</v>
      </c>
      <c r="B319" s="159">
        <v>45408.20208333333</v>
      </c>
      <c r="C319" s="1" t="s">
        <v>58</v>
      </c>
      <c r="D319" s="1" t="s">
        <v>25</v>
      </c>
      <c r="E319" t="s">
        <v>15</v>
      </c>
      <c r="F319" t="s">
        <v>16</v>
      </c>
      <c r="G319" s="114">
        <v>4491.3500000000004</v>
      </c>
      <c r="H319" s="1" t="s">
        <v>17</v>
      </c>
      <c r="J319">
        <v>2.5</v>
      </c>
      <c r="K319">
        <v>1</v>
      </c>
      <c r="L319" s="114">
        <v>0</v>
      </c>
      <c r="M319" s="114">
        <v>0</v>
      </c>
      <c r="N319" s="114">
        <v>0</v>
      </c>
      <c r="O319" t="s">
        <v>1134</v>
      </c>
    </row>
    <row r="320" spans="1:15" x14ac:dyDescent="0.25">
      <c r="A320" t="s">
        <v>363</v>
      </c>
      <c r="B320" s="159">
        <v>45408.710416666669</v>
      </c>
      <c r="C320" s="1" t="s">
        <v>58</v>
      </c>
      <c r="D320" s="1" t="s">
        <v>25</v>
      </c>
      <c r="E320" t="s">
        <v>33</v>
      </c>
      <c r="F320" t="s">
        <v>16</v>
      </c>
      <c r="G320" s="114">
        <v>4828.4799999999996</v>
      </c>
      <c r="H320" s="1" t="s">
        <v>34</v>
      </c>
      <c r="I320" t="s">
        <v>100</v>
      </c>
      <c r="J320">
        <v>1.9</v>
      </c>
      <c r="K320">
        <v>1</v>
      </c>
      <c r="L320" s="114">
        <v>0</v>
      </c>
      <c r="M320" s="114">
        <v>0</v>
      </c>
      <c r="N320" s="114">
        <v>0</v>
      </c>
      <c r="O320" t="s">
        <v>1134</v>
      </c>
    </row>
    <row r="321" spans="1:15" x14ac:dyDescent="0.25">
      <c r="A321" t="s">
        <v>364</v>
      </c>
      <c r="B321" s="159">
        <v>45409.289583333331</v>
      </c>
      <c r="C321" s="1" t="s">
        <v>19</v>
      </c>
      <c r="D321" s="1" t="s">
        <v>20</v>
      </c>
      <c r="E321" t="s">
        <v>15</v>
      </c>
      <c r="F321" t="s">
        <v>21</v>
      </c>
      <c r="G321" s="114">
        <v>242.34</v>
      </c>
      <c r="H321" s="1" t="s">
        <v>22</v>
      </c>
      <c r="J321">
        <v>2.5</v>
      </c>
      <c r="K321">
        <v>8.5999999999999993E-2</v>
      </c>
      <c r="L321" s="114">
        <v>0.52115999999999996</v>
      </c>
      <c r="M321" s="114">
        <v>20.320079999999997</v>
      </c>
      <c r="N321" s="114">
        <v>20.841239999999996</v>
      </c>
      <c r="O321" t="s">
        <v>1134</v>
      </c>
    </row>
    <row r="322" spans="1:15" x14ac:dyDescent="0.25">
      <c r="A322" t="s">
        <v>365</v>
      </c>
      <c r="B322" s="159">
        <v>45409.324305555558</v>
      </c>
      <c r="C322" s="1" t="s">
        <v>47</v>
      </c>
      <c r="D322" s="1" t="s">
        <v>25</v>
      </c>
      <c r="E322" t="s">
        <v>15</v>
      </c>
      <c r="F322" t="s">
        <v>29</v>
      </c>
      <c r="G322" s="114">
        <v>665.07</v>
      </c>
      <c r="H322" s="1" t="s">
        <v>22</v>
      </c>
      <c r="J322">
        <v>2.5</v>
      </c>
      <c r="K322">
        <v>1</v>
      </c>
      <c r="L322" s="114">
        <v>16.63</v>
      </c>
      <c r="M322" s="114">
        <v>648.44000000000005</v>
      </c>
      <c r="N322" s="114">
        <v>665.07</v>
      </c>
      <c r="O322" t="s">
        <v>1134</v>
      </c>
    </row>
    <row r="323" spans="1:15" x14ac:dyDescent="0.25">
      <c r="A323" t="s">
        <v>366</v>
      </c>
      <c r="B323" s="159">
        <v>45409.525000000001</v>
      </c>
      <c r="C323" s="1" t="s">
        <v>24</v>
      </c>
      <c r="D323" s="1" t="s">
        <v>25</v>
      </c>
      <c r="E323" t="s">
        <v>15</v>
      </c>
      <c r="F323" t="s">
        <v>45</v>
      </c>
      <c r="G323" s="114">
        <v>3276.49</v>
      </c>
      <c r="H323" s="1" t="s">
        <v>22</v>
      </c>
      <c r="J323">
        <v>2.5</v>
      </c>
      <c r="K323">
        <v>1</v>
      </c>
      <c r="L323" s="114">
        <v>81.91</v>
      </c>
      <c r="M323" s="114">
        <v>3194.58</v>
      </c>
      <c r="N323" s="114">
        <v>3276.49</v>
      </c>
      <c r="O323" t="s">
        <v>1134</v>
      </c>
    </row>
    <row r="324" spans="1:15" x14ac:dyDescent="0.25">
      <c r="A324" t="s">
        <v>367</v>
      </c>
      <c r="B324" s="159">
        <v>45409.82708333333</v>
      </c>
      <c r="C324" s="1" t="s">
        <v>37</v>
      </c>
      <c r="D324" s="1" t="s">
        <v>38</v>
      </c>
      <c r="E324" t="s">
        <v>44</v>
      </c>
      <c r="F324" t="s">
        <v>29</v>
      </c>
      <c r="G324" s="114">
        <v>3108.25</v>
      </c>
      <c r="H324" s="1" t="s">
        <v>22</v>
      </c>
      <c r="J324">
        <v>2.1</v>
      </c>
      <c r="K324">
        <v>0.23269999999999999</v>
      </c>
      <c r="L324" s="114">
        <v>15.188328999999998</v>
      </c>
      <c r="M324" s="114">
        <v>708.10144600000001</v>
      </c>
      <c r="N324" s="114">
        <v>723.28977499999996</v>
      </c>
      <c r="O324" t="s">
        <v>1134</v>
      </c>
    </row>
    <row r="325" spans="1:15" x14ac:dyDescent="0.25">
      <c r="A325" t="s">
        <v>368</v>
      </c>
      <c r="B325" s="159">
        <v>45410.29791666667</v>
      </c>
      <c r="C325" s="1" t="s">
        <v>19</v>
      </c>
      <c r="D325" s="1" t="s">
        <v>20</v>
      </c>
      <c r="E325" t="s">
        <v>39</v>
      </c>
      <c r="F325" t="s">
        <v>21</v>
      </c>
      <c r="G325" s="114">
        <v>1966.46</v>
      </c>
      <c r="H325" s="1" t="s">
        <v>22</v>
      </c>
      <c r="J325">
        <v>3.2</v>
      </c>
      <c r="K325">
        <v>8.5999999999999993E-2</v>
      </c>
      <c r="L325" s="114">
        <v>5.4119799999999998</v>
      </c>
      <c r="M325" s="114">
        <v>163.70357999999999</v>
      </c>
      <c r="N325" s="114">
        <v>169.11555999999999</v>
      </c>
      <c r="O325" t="s">
        <v>1134</v>
      </c>
    </row>
    <row r="326" spans="1:15" x14ac:dyDescent="0.25">
      <c r="A326" t="s">
        <v>369</v>
      </c>
      <c r="B326" s="159">
        <v>45411.368750000001</v>
      </c>
      <c r="C326" s="1" t="s">
        <v>47</v>
      </c>
      <c r="D326" s="1" t="s">
        <v>25</v>
      </c>
      <c r="E326" t="s">
        <v>28</v>
      </c>
      <c r="F326" t="s">
        <v>45</v>
      </c>
      <c r="G326" s="114">
        <v>2004.99</v>
      </c>
      <c r="H326" s="1" t="s">
        <v>22</v>
      </c>
      <c r="J326">
        <v>2.9</v>
      </c>
      <c r="K326">
        <v>1</v>
      </c>
      <c r="L326" s="114">
        <v>58.14</v>
      </c>
      <c r="M326" s="114">
        <v>1946.85</v>
      </c>
      <c r="N326" s="114">
        <v>2004.99</v>
      </c>
      <c r="O326" t="s">
        <v>1134</v>
      </c>
    </row>
    <row r="327" spans="1:15" x14ac:dyDescent="0.25">
      <c r="A327" t="s">
        <v>370</v>
      </c>
      <c r="B327" s="159">
        <v>45411.543055555558</v>
      </c>
      <c r="C327" s="1" t="s">
        <v>37</v>
      </c>
      <c r="D327" s="1" t="s">
        <v>38</v>
      </c>
      <c r="E327" t="s">
        <v>15</v>
      </c>
      <c r="F327" t="s">
        <v>16</v>
      </c>
      <c r="G327" s="114">
        <v>1936.53</v>
      </c>
      <c r="H327" s="1" t="s">
        <v>22</v>
      </c>
      <c r="J327">
        <v>2.5</v>
      </c>
      <c r="K327">
        <v>0.23269999999999999</v>
      </c>
      <c r="L327" s="114">
        <v>11.265006999999999</v>
      </c>
      <c r="M327" s="114">
        <v>439.36552399999994</v>
      </c>
      <c r="N327" s="114">
        <v>450.63053099999996</v>
      </c>
      <c r="O327" t="s">
        <v>1134</v>
      </c>
    </row>
    <row r="328" spans="1:15" x14ac:dyDescent="0.25">
      <c r="A328" t="s">
        <v>371</v>
      </c>
      <c r="B328" s="159">
        <v>45411.573611111111</v>
      </c>
      <c r="C328" s="1" t="s">
        <v>43</v>
      </c>
      <c r="D328" s="1" t="s">
        <v>25</v>
      </c>
      <c r="E328" t="s">
        <v>39</v>
      </c>
      <c r="F328" t="s">
        <v>45</v>
      </c>
      <c r="G328" s="114">
        <v>2972.31</v>
      </c>
      <c r="H328" s="1" t="s">
        <v>34</v>
      </c>
      <c r="I328" t="s">
        <v>62</v>
      </c>
      <c r="J328">
        <v>3.2</v>
      </c>
      <c r="K328">
        <v>1</v>
      </c>
      <c r="L328" s="114">
        <v>0</v>
      </c>
      <c r="M328" s="114">
        <v>0</v>
      </c>
      <c r="N328" s="114">
        <v>0</v>
      </c>
      <c r="O328" t="s">
        <v>1134</v>
      </c>
    </row>
    <row r="329" spans="1:15" x14ac:dyDescent="0.25">
      <c r="A329" t="s">
        <v>372</v>
      </c>
      <c r="B329" s="159">
        <v>45411.723611111112</v>
      </c>
      <c r="C329" s="1" t="s">
        <v>60</v>
      </c>
      <c r="D329" s="1" t="s">
        <v>25</v>
      </c>
      <c r="E329" t="s">
        <v>39</v>
      </c>
      <c r="F329" t="s">
        <v>41</v>
      </c>
      <c r="G329" s="114">
        <v>3797.06</v>
      </c>
      <c r="H329" s="1" t="s">
        <v>34</v>
      </c>
      <c r="I329" t="s">
        <v>62</v>
      </c>
      <c r="J329">
        <v>3.2</v>
      </c>
      <c r="K329">
        <v>1</v>
      </c>
      <c r="L329" s="114">
        <v>0</v>
      </c>
      <c r="M329" s="114">
        <v>0</v>
      </c>
      <c r="N329" s="114">
        <v>0</v>
      </c>
      <c r="O329" t="s">
        <v>1134</v>
      </c>
    </row>
    <row r="330" spans="1:15" x14ac:dyDescent="0.25">
      <c r="A330" t="s">
        <v>373</v>
      </c>
      <c r="B330" s="159">
        <v>45412.638194444444</v>
      </c>
      <c r="C330" s="1" t="s">
        <v>31</v>
      </c>
      <c r="D330" s="1" t="s">
        <v>32</v>
      </c>
      <c r="E330" t="s">
        <v>15</v>
      </c>
      <c r="F330" t="s">
        <v>41</v>
      </c>
      <c r="G330" s="114">
        <v>2515.4899999999998</v>
      </c>
      <c r="H330" s="1" t="s">
        <v>17</v>
      </c>
      <c r="J330">
        <v>2.5</v>
      </c>
      <c r="K330">
        <v>1.1801999999999999</v>
      </c>
      <c r="L330" s="114">
        <v>0</v>
      </c>
      <c r="M330" s="114">
        <v>0</v>
      </c>
      <c r="N330" s="114">
        <v>0</v>
      </c>
      <c r="O330" t="s">
        <v>1134</v>
      </c>
    </row>
    <row r="331" spans="1:15" x14ac:dyDescent="0.25">
      <c r="A331" t="s">
        <v>374</v>
      </c>
      <c r="B331" s="159">
        <v>45412.678472222222</v>
      </c>
      <c r="C331" s="1" t="s">
        <v>60</v>
      </c>
      <c r="D331" s="1" t="s">
        <v>25</v>
      </c>
      <c r="E331" t="s">
        <v>39</v>
      </c>
      <c r="F331" t="s">
        <v>16</v>
      </c>
      <c r="G331" s="114">
        <v>4453.1099999999997</v>
      </c>
      <c r="H331" s="1" t="s">
        <v>22</v>
      </c>
      <c r="J331">
        <v>3.2</v>
      </c>
      <c r="K331">
        <v>1</v>
      </c>
      <c r="L331" s="114">
        <v>142.5</v>
      </c>
      <c r="M331" s="114">
        <v>4310.6099999999997</v>
      </c>
      <c r="N331" s="114">
        <v>4453.1099999999997</v>
      </c>
      <c r="O331" t="s">
        <v>1134</v>
      </c>
    </row>
    <row r="332" spans="1:15" x14ac:dyDescent="0.25">
      <c r="A332" t="s">
        <v>375</v>
      </c>
      <c r="B332" s="159">
        <v>45413.379861111112</v>
      </c>
      <c r="C332" s="1" t="s">
        <v>60</v>
      </c>
      <c r="D332" s="1" t="s">
        <v>25</v>
      </c>
      <c r="E332" t="s">
        <v>44</v>
      </c>
      <c r="F332" t="s">
        <v>16</v>
      </c>
      <c r="G332" s="114">
        <v>3198.37</v>
      </c>
      <c r="H332" s="1" t="s">
        <v>17</v>
      </c>
      <c r="J332">
        <v>2.1</v>
      </c>
      <c r="K332">
        <v>1</v>
      </c>
      <c r="L332" s="114">
        <v>0</v>
      </c>
      <c r="M332" s="114">
        <v>0</v>
      </c>
      <c r="N332" s="114">
        <v>0</v>
      </c>
      <c r="O332" t="s">
        <v>1058</v>
      </c>
    </row>
    <row r="333" spans="1:15" x14ac:dyDescent="0.25">
      <c r="A333" t="s">
        <v>376</v>
      </c>
      <c r="B333" s="159">
        <v>45413.625694444447</v>
      </c>
      <c r="C333" s="1" t="s">
        <v>37</v>
      </c>
      <c r="D333" s="1" t="s">
        <v>38</v>
      </c>
      <c r="E333" t="s">
        <v>33</v>
      </c>
      <c r="F333" t="s">
        <v>45</v>
      </c>
      <c r="G333" s="114">
        <v>1850.87</v>
      </c>
      <c r="H333" s="1" t="s">
        <v>17</v>
      </c>
      <c r="J333">
        <v>1.9</v>
      </c>
      <c r="K333">
        <v>0.23269999999999999</v>
      </c>
      <c r="L333" s="114">
        <v>0</v>
      </c>
      <c r="M333" s="114">
        <v>0</v>
      </c>
      <c r="N333" s="114">
        <v>0</v>
      </c>
      <c r="O333" t="s">
        <v>1058</v>
      </c>
    </row>
    <row r="334" spans="1:15" x14ac:dyDescent="0.25">
      <c r="A334" t="s">
        <v>377</v>
      </c>
      <c r="B334" s="159">
        <v>45413.763888888891</v>
      </c>
      <c r="C334" s="1" t="s">
        <v>37</v>
      </c>
      <c r="D334" s="1" t="s">
        <v>38</v>
      </c>
      <c r="E334" t="s">
        <v>33</v>
      </c>
      <c r="F334" t="s">
        <v>41</v>
      </c>
      <c r="G334" s="114">
        <v>3520.23</v>
      </c>
      <c r="H334" s="1" t="s">
        <v>22</v>
      </c>
      <c r="J334">
        <v>1.9</v>
      </c>
      <c r="K334">
        <v>0.23269999999999999</v>
      </c>
      <c r="L334" s="114">
        <v>15.562975999999999</v>
      </c>
      <c r="M334" s="114">
        <v>803.59454499999993</v>
      </c>
      <c r="N334" s="114">
        <v>819.15752099999997</v>
      </c>
      <c r="O334" t="s">
        <v>1058</v>
      </c>
    </row>
    <row r="335" spans="1:15" x14ac:dyDescent="0.25">
      <c r="A335" t="s">
        <v>378</v>
      </c>
      <c r="B335" s="159">
        <v>45413.938888888886</v>
      </c>
      <c r="C335" s="1" t="s">
        <v>47</v>
      </c>
      <c r="D335" s="1" t="s">
        <v>25</v>
      </c>
      <c r="E335" t="s">
        <v>15</v>
      </c>
      <c r="F335" t="s">
        <v>45</v>
      </c>
      <c r="G335" s="114">
        <v>2886</v>
      </c>
      <c r="H335" s="1" t="s">
        <v>22</v>
      </c>
      <c r="J335">
        <v>2.5</v>
      </c>
      <c r="K335">
        <v>1</v>
      </c>
      <c r="L335" s="114">
        <v>72.150000000000006</v>
      </c>
      <c r="M335" s="114">
        <v>2813.85</v>
      </c>
      <c r="N335" s="114">
        <v>2886</v>
      </c>
      <c r="O335" t="s">
        <v>1058</v>
      </c>
    </row>
    <row r="336" spans="1:15" x14ac:dyDescent="0.25">
      <c r="A336" t="s">
        <v>379</v>
      </c>
      <c r="B336" s="159">
        <v>45414.1875</v>
      </c>
      <c r="C336" s="1" t="s">
        <v>31</v>
      </c>
      <c r="D336" s="1" t="s">
        <v>32</v>
      </c>
      <c r="E336" t="s">
        <v>33</v>
      </c>
      <c r="F336" t="s">
        <v>29</v>
      </c>
      <c r="G336" s="114">
        <v>2330.52</v>
      </c>
      <c r="H336" s="1" t="s">
        <v>22</v>
      </c>
      <c r="J336">
        <v>1.9</v>
      </c>
      <c r="K336">
        <v>1.1801999999999999</v>
      </c>
      <c r="L336" s="114">
        <v>52.259256000000001</v>
      </c>
      <c r="M336" s="114">
        <v>2698.2204479999996</v>
      </c>
      <c r="N336" s="114">
        <v>2750.4797039999994</v>
      </c>
      <c r="O336" t="s">
        <v>1058</v>
      </c>
    </row>
    <row r="337" spans="1:15" x14ac:dyDescent="0.25">
      <c r="A337" t="s">
        <v>380</v>
      </c>
      <c r="B337" s="159">
        <v>45414.503472222219</v>
      </c>
      <c r="C337" s="1" t="s">
        <v>60</v>
      </c>
      <c r="D337" s="1" t="s">
        <v>25</v>
      </c>
      <c r="E337" t="s">
        <v>44</v>
      </c>
      <c r="F337" t="s">
        <v>29</v>
      </c>
      <c r="G337" s="114">
        <v>1948.63</v>
      </c>
      <c r="H337" s="1" t="s">
        <v>34</v>
      </c>
      <c r="I337" t="s">
        <v>62</v>
      </c>
      <c r="J337">
        <v>2.1</v>
      </c>
      <c r="K337">
        <v>1</v>
      </c>
      <c r="L337" s="114">
        <v>0</v>
      </c>
      <c r="M337" s="114">
        <v>0</v>
      </c>
      <c r="N337" s="114">
        <v>0</v>
      </c>
      <c r="O337" t="s">
        <v>1058</v>
      </c>
    </row>
    <row r="338" spans="1:15" x14ac:dyDescent="0.25">
      <c r="A338" t="s">
        <v>381</v>
      </c>
      <c r="B338" s="159">
        <v>45415.277083333334</v>
      </c>
      <c r="C338" s="1" t="s">
        <v>13</v>
      </c>
      <c r="D338" s="1" t="s">
        <v>14</v>
      </c>
      <c r="E338" t="s">
        <v>39</v>
      </c>
      <c r="F338" t="s">
        <v>21</v>
      </c>
      <c r="G338" s="114">
        <v>1343.95</v>
      </c>
      <c r="H338" s="1" t="s">
        <v>34</v>
      </c>
      <c r="I338" t="s">
        <v>78</v>
      </c>
      <c r="J338">
        <v>3.2</v>
      </c>
      <c r="K338">
        <v>8.7400000000000005E-2</v>
      </c>
      <c r="L338" s="114">
        <v>0</v>
      </c>
      <c r="M338" s="114">
        <v>0</v>
      </c>
      <c r="N338" s="114">
        <v>0</v>
      </c>
      <c r="O338" t="s">
        <v>1058</v>
      </c>
    </row>
    <row r="339" spans="1:15" x14ac:dyDescent="0.25">
      <c r="A339" t="s">
        <v>382</v>
      </c>
      <c r="B339" s="159">
        <v>45415.304861111108</v>
      </c>
      <c r="C339" s="1" t="s">
        <v>27</v>
      </c>
      <c r="D339" s="1" t="s">
        <v>25</v>
      </c>
      <c r="E339" t="s">
        <v>15</v>
      </c>
      <c r="F339" t="s">
        <v>41</v>
      </c>
      <c r="G339" s="114">
        <v>2816.31</v>
      </c>
      <c r="H339" s="1" t="s">
        <v>34</v>
      </c>
      <c r="I339" t="s">
        <v>100</v>
      </c>
      <c r="J339">
        <v>2.5</v>
      </c>
      <c r="K339">
        <v>1</v>
      </c>
      <c r="L339" s="114">
        <v>0</v>
      </c>
      <c r="M339" s="114">
        <v>0</v>
      </c>
      <c r="N339" s="114">
        <v>0</v>
      </c>
      <c r="O339" t="s">
        <v>1058</v>
      </c>
    </row>
    <row r="340" spans="1:15" x14ac:dyDescent="0.25">
      <c r="A340" t="s">
        <v>383</v>
      </c>
      <c r="B340" s="159">
        <v>45415.406944444447</v>
      </c>
      <c r="C340" s="1" t="s">
        <v>58</v>
      </c>
      <c r="D340" s="1" t="s">
        <v>25</v>
      </c>
      <c r="E340" t="s">
        <v>33</v>
      </c>
      <c r="F340" t="s">
        <v>41</v>
      </c>
      <c r="G340" s="114">
        <v>3662.61</v>
      </c>
      <c r="H340" s="1" t="s">
        <v>22</v>
      </c>
      <c r="J340">
        <v>1.9</v>
      </c>
      <c r="K340">
        <v>1</v>
      </c>
      <c r="L340" s="114">
        <v>69.59</v>
      </c>
      <c r="M340" s="114">
        <v>3593.02</v>
      </c>
      <c r="N340" s="114">
        <v>3662.61</v>
      </c>
      <c r="O340" t="s">
        <v>1058</v>
      </c>
    </row>
    <row r="341" spans="1:15" x14ac:dyDescent="0.25">
      <c r="A341" t="s">
        <v>384</v>
      </c>
      <c r="B341" s="159">
        <v>45416.047222222223</v>
      </c>
      <c r="C341" s="1" t="s">
        <v>19</v>
      </c>
      <c r="D341" s="1" t="s">
        <v>20</v>
      </c>
      <c r="E341" t="s">
        <v>33</v>
      </c>
      <c r="F341" t="s">
        <v>29</v>
      </c>
      <c r="G341" s="114">
        <v>682.27</v>
      </c>
      <c r="H341" s="1" t="s">
        <v>17</v>
      </c>
      <c r="J341">
        <v>1.9</v>
      </c>
      <c r="K341">
        <v>8.5999999999999993E-2</v>
      </c>
      <c r="L341" s="114">
        <v>0</v>
      </c>
      <c r="M341" s="114">
        <v>0</v>
      </c>
      <c r="N341" s="114">
        <v>0</v>
      </c>
      <c r="O341" t="s">
        <v>1058</v>
      </c>
    </row>
    <row r="342" spans="1:15" x14ac:dyDescent="0.25">
      <c r="A342" t="s">
        <v>385</v>
      </c>
      <c r="B342" s="159">
        <v>45416.070833333331</v>
      </c>
      <c r="C342" s="1" t="s">
        <v>13</v>
      </c>
      <c r="D342" s="1" t="s">
        <v>14</v>
      </c>
      <c r="E342" t="s">
        <v>44</v>
      </c>
      <c r="F342" t="s">
        <v>29</v>
      </c>
      <c r="G342" s="114">
        <v>271.93</v>
      </c>
      <c r="H342" s="1" t="s">
        <v>34</v>
      </c>
      <c r="I342" t="s">
        <v>62</v>
      </c>
      <c r="J342">
        <v>2.1</v>
      </c>
      <c r="K342">
        <v>8.7400000000000005E-2</v>
      </c>
      <c r="L342" s="114">
        <v>0</v>
      </c>
      <c r="M342" s="114">
        <v>0</v>
      </c>
      <c r="N342" s="114">
        <v>0</v>
      </c>
      <c r="O342" t="s">
        <v>1058</v>
      </c>
    </row>
    <row r="343" spans="1:15" x14ac:dyDescent="0.25">
      <c r="A343" t="s">
        <v>386</v>
      </c>
      <c r="B343" s="159">
        <v>45416.095138888886</v>
      </c>
      <c r="C343" s="1" t="s">
        <v>58</v>
      </c>
      <c r="D343" s="1" t="s">
        <v>25</v>
      </c>
      <c r="E343" t="s">
        <v>39</v>
      </c>
      <c r="F343" t="s">
        <v>45</v>
      </c>
      <c r="G343" s="114">
        <v>457.08</v>
      </c>
      <c r="H343" s="1" t="s">
        <v>34</v>
      </c>
      <c r="I343" t="s">
        <v>55</v>
      </c>
      <c r="J343">
        <v>3.2</v>
      </c>
      <c r="K343">
        <v>1</v>
      </c>
      <c r="L343" s="114">
        <v>0</v>
      </c>
      <c r="M343" s="114">
        <v>0</v>
      </c>
      <c r="N343" s="114">
        <v>0</v>
      </c>
      <c r="O343" t="s">
        <v>1058</v>
      </c>
    </row>
    <row r="344" spans="1:15" x14ac:dyDescent="0.25">
      <c r="A344" t="s">
        <v>387</v>
      </c>
      <c r="B344" s="159">
        <v>45416.660416666666</v>
      </c>
      <c r="C344" s="1" t="s">
        <v>58</v>
      </c>
      <c r="D344" s="1" t="s">
        <v>25</v>
      </c>
      <c r="E344" t="s">
        <v>44</v>
      </c>
      <c r="F344" t="s">
        <v>41</v>
      </c>
      <c r="G344" s="114">
        <v>493.68</v>
      </c>
      <c r="H344" s="1" t="s">
        <v>34</v>
      </c>
      <c r="I344" t="s">
        <v>62</v>
      </c>
      <c r="J344">
        <v>2.1</v>
      </c>
      <c r="K344">
        <v>1</v>
      </c>
      <c r="L344" s="114">
        <v>0</v>
      </c>
      <c r="M344" s="114">
        <v>0</v>
      </c>
      <c r="N344" s="114">
        <v>0</v>
      </c>
      <c r="O344" t="s">
        <v>1058</v>
      </c>
    </row>
    <row r="345" spans="1:15" x14ac:dyDescent="0.25">
      <c r="A345" t="s">
        <v>388</v>
      </c>
      <c r="B345" s="159">
        <v>45416.945138888892</v>
      </c>
      <c r="C345" s="1" t="s">
        <v>27</v>
      </c>
      <c r="D345" s="1" t="s">
        <v>25</v>
      </c>
      <c r="E345" t="s">
        <v>28</v>
      </c>
      <c r="F345" t="s">
        <v>29</v>
      </c>
      <c r="G345" s="114">
        <v>3166.98</v>
      </c>
      <c r="H345" s="1" t="s">
        <v>22</v>
      </c>
      <c r="J345">
        <v>2.9</v>
      </c>
      <c r="K345">
        <v>1</v>
      </c>
      <c r="L345" s="114">
        <v>91.84</v>
      </c>
      <c r="M345" s="114">
        <v>3075.14</v>
      </c>
      <c r="N345" s="114">
        <v>3166.98</v>
      </c>
      <c r="O345" t="s">
        <v>1058</v>
      </c>
    </row>
    <row r="346" spans="1:15" x14ac:dyDescent="0.25">
      <c r="A346" t="s">
        <v>389</v>
      </c>
      <c r="B346" s="159">
        <v>45417.69027777778</v>
      </c>
      <c r="C346" s="1" t="s">
        <v>58</v>
      </c>
      <c r="D346" s="1" t="s">
        <v>25</v>
      </c>
      <c r="E346" t="s">
        <v>28</v>
      </c>
      <c r="F346" t="s">
        <v>45</v>
      </c>
      <c r="G346" s="114">
        <v>1943.12</v>
      </c>
      <c r="H346" s="1" t="s">
        <v>22</v>
      </c>
      <c r="J346">
        <v>2.9</v>
      </c>
      <c r="K346">
        <v>1</v>
      </c>
      <c r="L346" s="114">
        <v>56.35</v>
      </c>
      <c r="M346" s="114">
        <v>1886.77</v>
      </c>
      <c r="N346" s="114">
        <v>1943.12</v>
      </c>
      <c r="O346" t="s">
        <v>1058</v>
      </c>
    </row>
    <row r="347" spans="1:15" x14ac:dyDescent="0.25">
      <c r="A347" t="s">
        <v>390</v>
      </c>
      <c r="B347" s="159">
        <v>45417.720138888886</v>
      </c>
      <c r="C347" s="1" t="s">
        <v>19</v>
      </c>
      <c r="D347" s="1" t="s">
        <v>20</v>
      </c>
      <c r="E347" t="s">
        <v>33</v>
      </c>
      <c r="F347" t="s">
        <v>29</v>
      </c>
      <c r="G347" s="114">
        <v>254.1</v>
      </c>
      <c r="H347" s="1" t="s">
        <v>22</v>
      </c>
      <c r="J347">
        <v>1.9</v>
      </c>
      <c r="K347">
        <v>8.5999999999999993E-2</v>
      </c>
      <c r="L347" s="114">
        <v>0.41537999999999997</v>
      </c>
      <c r="M347" s="114">
        <v>21.43722</v>
      </c>
      <c r="N347" s="114">
        <v>21.852599999999999</v>
      </c>
      <c r="O347" t="s">
        <v>1058</v>
      </c>
    </row>
    <row r="348" spans="1:15" x14ac:dyDescent="0.25">
      <c r="A348" t="s">
        <v>391</v>
      </c>
      <c r="B348" s="159">
        <v>45417.959722222222</v>
      </c>
      <c r="C348" s="1" t="s">
        <v>58</v>
      </c>
      <c r="D348" s="1" t="s">
        <v>25</v>
      </c>
      <c r="E348" t="s">
        <v>15</v>
      </c>
      <c r="F348" t="s">
        <v>29</v>
      </c>
      <c r="G348" s="114">
        <v>2703.4</v>
      </c>
      <c r="H348" s="1" t="s">
        <v>22</v>
      </c>
      <c r="J348">
        <v>2.5</v>
      </c>
      <c r="K348">
        <v>1</v>
      </c>
      <c r="L348" s="114">
        <v>67.58</v>
      </c>
      <c r="M348" s="114">
        <v>2635.82</v>
      </c>
      <c r="N348" s="114">
        <v>2703.4</v>
      </c>
      <c r="O348" t="s">
        <v>1058</v>
      </c>
    </row>
    <row r="349" spans="1:15" x14ac:dyDescent="0.25">
      <c r="A349" t="s">
        <v>392</v>
      </c>
      <c r="B349" s="159">
        <v>45419.011111111111</v>
      </c>
      <c r="C349" s="1" t="s">
        <v>58</v>
      </c>
      <c r="D349" s="1" t="s">
        <v>25</v>
      </c>
      <c r="E349" t="s">
        <v>44</v>
      </c>
      <c r="F349" t="s">
        <v>16</v>
      </c>
      <c r="G349" s="114">
        <v>3771.25</v>
      </c>
      <c r="H349" s="1" t="s">
        <v>22</v>
      </c>
      <c r="J349">
        <v>2.1</v>
      </c>
      <c r="K349">
        <v>1</v>
      </c>
      <c r="L349" s="114">
        <v>79.2</v>
      </c>
      <c r="M349" s="114">
        <v>3692.05</v>
      </c>
      <c r="N349" s="114">
        <v>3771.25</v>
      </c>
      <c r="O349" t="s">
        <v>1058</v>
      </c>
    </row>
    <row r="350" spans="1:15" x14ac:dyDescent="0.25">
      <c r="A350" t="s">
        <v>393</v>
      </c>
      <c r="B350" s="159">
        <v>45419.061805555553</v>
      </c>
      <c r="C350" s="1" t="s">
        <v>60</v>
      </c>
      <c r="D350" s="1" t="s">
        <v>25</v>
      </c>
      <c r="E350" t="s">
        <v>39</v>
      </c>
      <c r="F350" t="s">
        <v>29</v>
      </c>
      <c r="G350" s="114">
        <v>1377.15</v>
      </c>
      <c r="H350" s="1" t="s">
        <v>34</v>
      </c>
      <c r="I350" t="s">
        <v>100</v>
      </c>
      <c r="J350">
        <v>3.2</v>
      </c>
      <c r="K350">
        <v>1</v>
      </c>
      <c r="L350" s="114">
        <v>0</v>
      </c>
      <c r="M350" s="114">
        <v>0</v>
      </c>
      <c r="N350" s="114">
        <v>0</v>
      </c>
      <c r="O350" t="s">
        <v>1058</v>
      </c>
    </row>
    <row r="351" spans="1:15" x14ac:dyDescent="0.25">
      <c r="A351" t="s">
        <v>394</v>
      </c>
      <c r="B351" s="159">
        <v>45419.102777777778</v>
      </c>
      <c r="C351" s="1" t="s">
        <v>13</v>
      </c>
      <c r="D351" s="1" t="s">
        <v>14</v>
      </c>
      <c r="E351" t="s">
        <v>28</v>
      </c>
      <c r="F351" t="s">
        <v>41</v>
      </c>
      <c r="G351" s="114">
        <v>3264.2</v>
      </c>
      <c r="H351" s="1" t="s">
        <v>17</v>
      </c>
      <c r="J351">
        <v>2.9</v>
      </c>
      <c r="K351">
        <v>8.7400000000000005E-2</v>
      </c>
      <c r="L351" s="114">
        <v>0</v>
      </c>
      <c r="M351" s="114">
        <v>0</v>
      </c>
      <c r="N351" s="114">
        <v>0</v>
      </c>
      <c r="O351" t="s">
        <v>1058</v>
      </c>
    </row>
    <row r="352" spans="1:15" x14ac:dyDescent="0.25">
      <c r="A352" t="s">
        <v>395</v>
      </c>
      <c r="B352" s="159">
        <v>45419.149305555555</v>
      </c>
      <c r="C352" s="1" t="s">
        <v>58</v>
      </c>
      <c r="D352" s="1" t="s">
        <v>25</v>
      </c>
      <c r="E352" t="s">
        <v>33</v>
      </c>
      <c r="F352" t="s">
        <v>45</v>
      </c>
      <c r="G352" s="114">
        <v>3955.8</v>
      </c>
      <c r="H352" s="1" t="s">
        <v>22</v>
      </c>
      <c r="J352">
        <v>1.9</v>
      </c>
      <c r="K352">
        <v>1</v>
      </c>
      <c r="L352" s="114">
        <v>75.16</v>
      </c>
      <c r="M352" s="114">
        <v>3880.64</v>
      </c>
      <c r="N352" s="114">
        <v>3955.7999999999997</v>
      </c>
      <c r="O352" t="s">
        <v>1058</v>
      </c>
    </row>
    <row r="353" spans="1:15" x14ac:dyDescent="0.25">
      <c r="A353" t="s">
        <v>396</v>
      </c>
      <c r="B353" s="159">
        <v>45419.258333333331</v>
      </c>
      <c r="C353" s="1" t="s">
        <v>13</v>
      </c>
      <c r="D353" s="1" t="s">
        <v>14</v>
      </c>
      <c r="E353" t="s">
        <v>15</v>
      </c>
      <c r="F353" t="s">
        <v>29</v>
      </c>
      <c r="G353" s="114">
        <v>2115.19</v>
      </c>
      <c r="H353" s="1" t="s">
        <v>22</v>
      </c>
      <c r="J353">
        <v>2.5</v>
      </c>
      <c r="K353">
        <v>8.7400000000000005E-2</v>
      </c>
      <c r="L353" s="114">
        <v>4.6217120000000005</v>
      </c>
      <c r="M353" s="114">
        <v>180.24589399999999</v>
      </c>
      <c r="N353" s="114">
        <v>184.86760599999999</v>
      </c>
      <c r="O353" t="s">
        <v>1058</v>
      </c>
    </row>
    <row r="354" spans="1:15" x14ac:dyDescent="0.25">
      <c r="A354" t="s">
        <v>397</v>
      </c>
      <c r="B354" s="159">
        <v>45419.484027777777</v>
      </c>
      <c r="C354" s="1" t="s">
        <v>43</v>
      </c>
      <c r="D354" s="1" t="s">
        <v>25</v>
      </c>
      <c r="E354" t="s">
        <v>28</v>
      </c>
      <c r="F354" t="s">
        <v>41</v>
      </c>
      <c r="G354" s="114">
        <v>2349.7199999999998</v>
      </c>
      <c r="H354" s="1" t="s">
        <v>22</v>
      </c>
      <c r="J354">
        <v>2.9</v>
      </c>
      <c r="K354">
        <v>1</v>
      </c>
      <c r="L354" s="114">
        <v>68.14</v>
      </c>
      <c r="M354" s="114">
        <v>2281.58</v>
      </c>
      <c r="N354" s="114">
        <v>2349.7199999999998</v>
      </c>
      <c r="O354" t="s">
        <v>1058</v>
      </c>
    </row>
    <row r="355" spans="1:15" x14ac:dyDescent="0.25">
      <c r="A355" t="s">
        <v>398</v>
      </c>
      <c r="B355" s="159">
        <v>45419.685416666667</v>
      </c>
      <c r="C355" s="1" t="s">
        <v>47</v>
      </c>
      <c r="D355" s="1" t="s">
        <v>25</v>
      </c>
      <c r="E355" t="s">
        <v>33</v>
      </c>
      <c r="F355" t="s">
        <v>41</v>
      </c>
      <c r="G355" s="114">
        <v>2759.46</v>
      </c>
      <c r="H355" s="1" t="s">
        <v>22</v>
      </c>
      <c r="J355">
        <v>1.9</v>
      </c>
      <c r="K355">
        <v>1</v>
      </c>
      <c r="L355" s="114">
        <v>52.43</v>
      </c>
      <c r="M355" s="114">
        <v>2707.03</v>
      </c>
      <c r="N355" s="114">
        <v>2759.46</v>
      </c>
      <c r="O355" t="s">
        <v>1058</v>
      </c>
    </row>
    <row r="356" spans="1:15" x14ac:dyDescent="0.25">
      <c r="A356" t="s">
        <v>399</v>
      </c>
      <c r="B356" s="159">
        <v>45420.045138888891</v>
      </c>
      <c r="C356" s="1" t="s">
        <v>58</v>
      </c>
      <c r="D356" s="1" t="s">
        <v>25</v>
      </c>
      <c r="E356" t="s">
        <v>39</v>
      </c>
      <c r="F356" t="s">
        <v>41</v>
      </c>
      <c r="G356" s="114">
        <v>27.69</v>
      </c>
      <c r="H356" s="1" t="s">
        <v>22</v>
      </c>
      <c r="J356">
        <v>3.2</v>
      </c>
      <c r="K356">
        <v>1</v>
      </c>
      <c r="L356" s="114">
        <v>0.89</v>
      </c>
      <c r="M356" s="114">
        <v>26.8</v>
      </c>
      <c r="N356" s="114">
        <v>27.69</v>
      </c>
      <c r="O356" t="s">
        <v>1058</v>
      </c>
    </row>
    <row r="357" spans="1:15" x14ac:dyDescent="0.25">
      <c r="A357" t="s">
        <v>400</v>
      </c>
      <c r="B357" s="159">
        <v>45420.536805555559</v>
      </c>
      <c r="C357" s="1" t="s">
        <v>60</v>
      </c>
      <c r="D357" s="1" t="s">
        <v>25</v>
      </c>
      <c r="E357" t="s">
        <v>28</v>
      </c>
      <c r="F357" t="s">
        <v>29</v>
      </c>
      <c r="G357" s="114">
        <v>1930.14</v>
      </c>
      <c r="H357" s="1" t="s">
        <v>34</v>
      </c>
      <c r="I357" t="s">
        <v>35</v>
      </c>
      <c r="J357">
        <v>2.9</v>
      </c>
      <c r="K357">
        <v>1</v>
      </c>
      <c r="L357" s="114">
        <v>0</v>
      </c>
      <c r="M357" s="114">
        <v>0</v>
      </c>
      <c r="N357" s="114">
        <v>0</v>
      </c>
      <c r="O357" t="s">
        <v>1058</v>
      </c>
    </row>
    <row r="358" spans="1:15" x14ac:dyDescent="0.25">
      <c r="A358" t="s">
        <v>401</v>
      </c>
      <c r="B358" s="159">
        <v>45420.711111111108</v>
      </c>
      <c r="C358" s="1" t="s">
        <v>19</v>
      </c>
      <c r="D358" s="1" t="s">
        <v>20</v>
      </c>
      <c r="E358" t="s">
        <v>44</v>
      </c>
      <c r="F358" t="s">
        <v>21</v>
      </c>
      <c r="G358" s="114">
        <v>2044.09</v>
      </c>
      <c r="H358" s="1" t="s">
        <v>34</v>
      </c>
      <c r="I358" t="s">
        <v>55</v>
      </c>
      <c r="J358">
        <v>2.1</v>
      </c>
      <c r="K358">
        <v>8.5999999999999993E-2</v>
      </c>
      <c r="L358" s="114">
        <v>0</v>
      </c>
      <c r="M358" s="114">
        <v>0</v>
      </c>
      <c r="N358" s="114">
        <v>0</v>
      </c>
      <c r="O358" t="s">
        <v>1058</v>
      </c>
    </row>
    <row r="359" spans="1:15" x14ac:dyDescent="0.25">
      <c r="A359" t="s">
        <v>402</v>
      </c>
      <c r="B359" s="159">
        <v>45422.210416666669</v>
      </c>
      <c r="C359" s="1" t="s">
        <v>47</v>
      </c>
      <c r="D359" s="1" t="s">
        <v>25</v>
      </c>
      <c r="E359" t="s">
        <v>44</v>
      </c>
      <c r="F359" t="s">
        <v>45</v>
      </c>
      <c r="G359" s="114">
        <v>1363.69</v>
      </c>
      <c r="H359" s="1" t="s">
        <v>34</v>
      </c>
      <c r="I359" t="s">
        <v>78</v>
      </c>
      <c r="J359">
        <v>2.1</v>
      </c>
      <c r="K359">
        <v>1</v>
      </c>
      <c r="L359" s="114">
        <v>0</v>
      </c>
      <c r="M359" s="114">
        <v>0</v>
      </c>
      <c r="N359" s="114">
        <v>0</v>
      </c>
      <c r="O359" t="s">
        <v>1058</v>
      </c>
    </row>
    <row r="360" spans="1:15" x14ac:dyDescent="0.25">
      <c r="A360" t="s">
        <v>403</v>
      </c>
      <c r="B360" s="159">
        <v>45422.875</v>
      </c>
      <c r="C360" s="1" t="s">
        <v>43</v>
      </c>
      <c r="D360" s="1" t="s">
        <v>25</v>
      </c>
      <c r="E360" t="s">
        <v>39</v>
      </c>
      <c r="F360" t="s">
        <v>45</v>
      </c>
      <c r="G360" s="114">
        <v>798.3</v>
      </c>
      <c r="H360" s="1" t="s">
        <v>34</v>
      </c>
      <c r="I360" t="s">
        <v>62</v>
      </c>
      <c r="J360">
        <v>3.2</v>
      </c>
      <c r="K360">
        <v>1</v>
      </c>
      <c r="L360" s="114">
        <v>0</v>
      </c>
      <c r="M360" s="114">
        <v>0</v>
      </c>
      <c r="N360" s="114">
        <v>0</v>
      </c>
      <c r="O360" t="s">
        <v>1058</v>
      </c>
    </row>
    <row r="361" spans="1:15" x14ac:dyDescent="0.25">
      <c r="A361" t="s">
        <v>404</v>
      </c>
      <c r="B361" s="159">
        <v>45423.286805555559</v>
      </c>
      <c r="C361" s="1" t="s">
        <v>27</v>
      </c>
      <c r="D361" s="1" t="s">
        <v>25</v>
      </c>
      <c r="E361" t="s">
        <v>33</v>
      </c>
      <c r="F361" t="s">
        <v>45</v>
      </c>
      <c r="G361" s="114">
        <v>2643.58</v>
      </c>
      <c r="H361" s="1" t="s">
        <v>22</v>
      </c>
      <c r="J361">
        <v>1.9</v>
      </c>
      <c r="K361">
        <v>1</v>
      </c>
      <c r="L361" s="114">
        <v>50.23</v>
      </c>
      <c r="M361" s="114">
        <v>2593.35</v>
      </c>
      <c r="N361" s="114">
        <v>2643.58</v>
      </c>
      <c r="O361" t="s">
        <v>1058</v>
      </c>
    </row>
    <row r="362" spans="1:15" x14ac:dyDescent="0.25">
      <c r="A362" t="s">
        <v>405</v>
      </c>
      <c r="B362" s="159">
        <v>45424.234027777777</v>
      </c>
      <c r="C362" s="1" t="s">
        <v>60</v>
      </c>
      <c r="D362" s="1" t="s">
        <v>25</v>
      </c>
      <c r="E362" t="s">
        <v>44</v>
      </c>
      <c r="F362" t="s">
        <v>21</v>
      </c>
      <c r="G362" s="114">
        <v>2310.61</v>
      </c>
      <c r="H362" s="1" t="s">
        <v>22</v>
      </c>
      <c r="J362">
        <v>2.1</v>
      </c>
      <c r="K362">
        <v>1</v>
      </c>
      <c r="L362" s="114">
        <v>48.52</v>
      </c>
      <c r="M362" s="114">
        <v>2262.09</v>
      </c>
      <c r="N362" s="114">
        <v>2310.61</v>
      </c>
      <c r="O362" t="s">
        <v>1058</v>
      </c>
    </row>
    <row r="363" spans="1:15" x14ac:dyDescent="0.25">
      <c r="A363" t="s">
        <v>406</v>
      </c>
      <c r="B363" s="159">
        <v>45424.362500000003</v>
      </c>
      <c r="C363" s="1" t="s">
        <v>13</v>
      </c>
      <c r="D363" s="1" t="s">
        <v>14</v>
      </c>
      <c r="E363" t="s">
        <v>44</v>
      </c>
      <c r="F363" t="s">
        <v>41</v>
      </c>
      <c r="G363" s="114">
        <v>4819.3</v>
      </c>
      <c r="H363" s="1" t="s">
        <v>34</v>
      </c>
      <c r="I363" t="s">
        <v>78</v>
      </c>
      <c r="J363">
        <v>2.1</v>
      </c>
      <c r="K363">
        <v>8.7400000000000005E-2</v>
      </c>
      <c r="L363" s="114">
        <v>0</v>
      </c>
      <c r="M363" s="114">
        <v>0</v>
      </c>
      <c r="N363" s="114">
        <v>0</v>
      </c>
      <c r="O363" t="s">
        <v>1058</v>
      </c>
    </row>
    <row r="364" spans="1:15" x14ac:dyDescent="0.25">
      <c r="A364" t="s">
        <v>407</v>
      </c>
      <c r="B364" s="159">
        <v>45425.209027777775</v>
      </c>
      <c r="C364" s="1" t="s">
        <v>58</v>
      </c>
      <c r="D364" s="1" t="s">
        <v>25</v>
      </c>
      <c r="E364" t="s">
        <v>15</v>
      </c>
      <c r="F364" t="s">
        <v>45</v>
      </c>
      <c r="G364" s="114">
        <v>3742.91</v>
      </c>
      <c r="H364" s="1" t="s">
        <v>22</v>
      </c>
      <c r="J364">
        <v>2.5</v>
      </c>
      <c r="K364">
        <v>1</v>
      </c>
      <c r="L364" s="114">
        <v>93.57</v>
      </c>
      <c r="M364" s="114">
        <v>3649.34</v>
      </c>
      <c r="N364" s="114">
        <v>3742.9100000000003</v>
      </c>
      <c r="O364" t="s">
        <v>1058</v>
      </c>
    </row>
    <row r="365" spans="1:15" x14ac:dyDescent="0.25">
      <c r="A365" t="s">
        <v>408</v>
      </c>
      <c r="B365" s="159">
        <v>45425.279166666667</v>
      </c>
      <c r="C365" s="1" t="s">
        <v>37</v>
      </c>
      <c r="D365" s="1" t="s">
        <v>38</v>
      </c>
      <c r="E365" t="s">
        <v>44</v>
      </c>
      <c r="F365" t="s">
        <v>21</v>
      </c>
      <c r="G365" s="114">
        <v>1984.97</v>
      </c>
      <c r="H365" s="1" t="s">
        <v>22</v>
      </c>
      <c r="J365">
        <v>2.1</v>
      </c>
      <c r="K365">
        <v>0.23269999999999999</v>
      </c>
      <c r="L365" s="114">
        <v>9.6989359999999998</v>
      </c>
      <c r="M365" s="114">
        <v>452.20358299999998</v>
      </c>
      <c r="N365" s="114">
        <v>461.90251899999998</v>
      </c>
      <c r="O365" t="s">
        <v>1058</v>
      </c>
    </row>
    <row r="366" spans="1:15" x14ac:dyDescent="0.25">
      <c r="A366" t="s">
        <v>409</v>
      </c>
      <c r="B366" s="159">
        <v>45425.480555555558</v>
      </c>
      <c r="C366" s="1" t="s">
        <v>43</v>
      </c>
      <c r="D366" s="1" t="s">
        <v>25</v>
      </c>
      <c r="E366" t="s">
        <v>15</v>
      </c>
      <c r="F366" t="s">
        <v>41</v>
      </c>
      <c r="G366" s="114">
        <v>4016.05</v>
      </c>
      <c r="H366" s="1" t="s">
        <v>34</v>
      </c>
      <c r="I366" t="s">
        <v>62</v>
      </c>
      <c r="J366">
        <v>2.5</v>
      </c>
      <c r="K366">
        <v>1</v>
      </c>
      <c r="L366" s="114">
        <v>0</v>
      </c>
      <c r="M366" s="114">
        <v>0</v>
      </c>
      <c r="N366" s="114">
        <v>0</v>
      </c>
      <c r="O366" t="s">
        <v>1058</v>
      </c>
    </row>
    <row r="367" spans="1:15" x14ac:dyDescent="0.25">
      <c r="A367" t="s">
        <v>410</v>
      </c>
      <c r="B367" s="159">
        <v>45425.749305555553</v>
      </c>
      <c r="C367" s="1" t="s">
        <v>19</v>
      </c>
      <c r="D367" s="1" t="s">
        <v>20</v>
      </c>
      <c r="E367" t="s">
        <v>33</v>
      </c>
      <c r="F367" t="s">
        <v>16</v>
      </c>
      <c r="G367" s="114">
        <v>1483.01</v>
      </c>
      <c r="H367" s="1" t="s">
        <v>22</v>
      </c>
      <c r="J367">
        <v>1.9</v>
      </c>
      <c r="K367">
        <v>8.5999999999999993E-2</v>
      </c>
      <c r="L367" s="114">
        <v>2.4234799999999996</v>
      </c>
      <c r="M367" s="114">
        <v>125.11537999999999</v>
      </c>
      <c r="N367" s="114">
        <v>127.53885999999999</v>
      </c>
      <c r="O367" t="s">
        <v>1058</v>
      </c>
    </row>
    <row r="368" spans="1:15" x14ac:dyDescent="0.25">
      <c r="A368" t="s">
        <v>411</v>
      </c>
      <c r="B368" s="159">
        <v>45425.762499999997</v>
      </c>
      <c r="C368" s="1" t="s">
        <v>43</v>
      </c>
      <c r="D368" s="1" t="s">
        <v>25</v>
      </c>
      <c r="E368" t="s">
        <v>28</v>
      </c>
      <c r="F368" t="s">
        <v>16</v>
      </c>
      <c r="G368" s="114">
        <v>277.85000000000002</v>
      </c>
      <c r="H368" s="1" t="s">
        <v>17</v>
      </c>
      <c r="J368">
        <v>2.9</v>
      </c>
      <c r="K368">
        <v>1</v>
      </c>
      <c r="L368" s="114">
        <v>0</v>
      </c>
      <c r="M368" s="114">
        <v>0</v>
      </c>
      <c r="N368" s="114">
        <v>0</v>
      </c>
      <c r="O368" t="s">
        <v>1058</v>
      </c>
    </row>
    <row r="369" spans="1:15" x14ac:dyDescent="0.25">
      <c r="A369" t="s">
        <v>412</v>
      </c>
      <c r="B369" s="159">
        <v>45425.864583333336</v>
      </c>
      <c r="C369" s="1" t="s">
        <v>47</v>
      </c>
      <c r="D369" s="1" t="s">
        <v>25</v>
      </c>
      <c r="E369" t="s">
        <v>44</v>
      </c>
      <c r="F369" t="s">
        <v>29</v>
      </c>
      <c r="G369" s="114">
        <v>2591.29</v>
      </c>
      <c r="H369" s="1" t="s">
        <v>22</v>
      </c>
      <c r="J369">
        <v>2.1</v>
      </c>
      <c r="K369">
        <v>1</v>
      </c>
      <c r="L369" s="114">
        <v>54.42</v>
      </c>
      <c r="M369" s="114">
        <v>2536.87</v>
      </c>
      <c r="N369" s="114">
        <v>2591.29</v>
      </c>
      <c r="O369" t="s">
        <v>1058</v>
      </c>
    </row>
    <row r="370" spans="1:15" x14ac:dyDescent="0.25">
      <c r="A370" t="s">
        <v>413</v>
      </c>
      <c r="B370" s="159">
        <v>45426.100694444445</v>
      </c>
      <c r="C370" s="1" t="s">
        <v>13</v>
      </c>
      <c r="D370" s="1" t="s">
        <v>14</v>
      </c>
      <c r="E370" t="s">
        <v>15</v>
      </c>
      <c r="F370" t="s">
        <v>29</v>
      </c>
      <c r="G370" s="114">
        <v>3812.54</v>
      </c>
      <c r="H370" s="1" t="s">
        <v>34</v>
      </c>
      <c r="I370" t="s">
        <v>100</v>
      </c>
      <c r="J370">
        <v>2.5</v>
      </c>
      <c r="K370">
        <v>8.7400000000000005E-2</v>
      </c>
      <c r="L370" s="114">
        <v>0</v>
      </c>
      <c r="M370" s="114">
        <v>0</v>
      </c>
      <c r="N370" s="114">
        <v>0</v>
      </c>
      <c r="O370" t="s">
        <v>1058</v>
      </c>
    </row>
    <row r="371" spans="1:15" x14ac:dyDescent="0.25">
      <c r="A371" t="s">
        <v>414</v>
      </c>
      <c r="B371" s="159">
        <v>45426.251388888886</v>
      </c>
      <c r="C371" s="1" t="s">
        <v>60</v>
      </c>
      <c r="D371" s="1" t="s">
        <v>25</v>
      </c>
      <c r="E371" t="s">
        <v>15</v>
      </c>
      <c r="F371" t="s">
        <v>45</v>
      </c>
      <c r="G371" s="114">
        <v>1439.57</v>
      </c>
      <c r="H371" s="1" t="s">
        <v>17</v>
      </c>
      <c r="J371">
        <v>2.5</v>
      </c>
      <c r="K371">
        <v>1</v>
      </c>
      <c r="L371" s="114">
        <v>0</v>
      </c>
      <c r="M371" s="114">
        <v>0</v>
      </c>
      <c r="N371" s="114">
        <v>0</v>
      </c>
      <c r="O371" t="s">
        <v>1058</v>
      </c>
    </row>
    <row r="372" spans="1:15" x14ac:dyDescent="0.25">
      <c r="A372" t="s">
        <v>415</v>
      </c>
      <c r="B372" s="159">
        <v>45426.95416666667</v>
      </c>
      <c r="C372" s="1" t="s">
        <v>27</v>
      </c>
      <c r="D372" s="1" t="s">
        <v>25</v>
      </c>
      <c r="E372" t="s">
        <v>28</v>
      </c>
      <c r="F372" t="s">
        <v>16</v>
      </c>
      <c r="G372" s="114">
        <v>3093.84</v>
      </c>
      <c r="H372" s="1" t="s">
        <v>17</v>
      </c>
      <c r="J372">
        <v>2.9</v>
      </c>
      <c r="K372">
        <v>1</v>
      </c>
      <c r="L372" s="114">
        <v>0</v>
      </c>
      <c r="M372" s="114">
        <v>0</v>
      </c>
      <c r="N372" s="114">
        <v>0</v>
      </c>
      <c r="O372" t="s">
        <v>1058</v>
      </c>
    </row>
    <row r="373" spans="1:15" x14ac:dyDescent="0.25">
      <c r="A373" t="s">
        <v>416</v>
      </c>
      <c r="B373" s="159">
        <v>45427.047222222223</v>
      </c>
      <c r="C373" s="1" t="s">
        <v>58</v>
      </c>
      <c r="D373" s="1" t="s">
        <v>25</v>
      </c>
      <c r="E373" t="s">
        <v>33</v>
      </c>
      <c r="F373" t="s">
        <v>41</v>
      </c>
      <c r="G373" s="114">
        <v>3730.87</v>
      </c>
      <c r="H373" s="1" t="s">
        <v>34</v>
      </c>
      <c r="I373" t="s">
        <v>55</v>
      </c>
      <c r="J373">
        <v>1.9</v>
      </c>
      <c r="K373">
        <v>1</v>
      </c>
      <c r="L373" s="114">
        <v>0</v>
      </c>
      <c r="M373" s="114">
        <v>0</v>
      </c>
      <c r="N373" s="114">
        <v>0</v>
      </c>
      <c r="O373" t="s">
        <v>1058</v>
      </c>
    </row>
    <row r="374" spans="1:15" x14ac:dyDescent="0.25">
      <c r="A374" t="s">
        <v>417</v>
      </c>
      <c r="B374" s="159">
        <v>45428.220833333333</v>
      </c>
      <c r="C374" s="1" t="s">
        <v>47</v>
      </c>
      <c r="D374" s="1" t="s">
        <v>25</v>
      </c>
      <c r="E374" t="s">
        <v>44</v>
      </c>
      <c r="F374" t="s">
        <v>41</v>
      </c>
      <c r="G374" s="114">
        <v>3456.07</v>
      </c>
      <c r="H374" s="1" t="s">
        <v>22</v>
      </c>
      <c r="J374">
        <v>2.1</v>
      </c>
      <c r="K374">
        <v>1</v>
      </c>
      <c r="L374" s="114">
        <v>72.58</v>
      </c>
      <c r="M374" s="114">
        <v>3383.49</v>
      </c>
      <c r="N374" s="114">
        <v>3456.0699999999997</v>
      </c>
      <c r="O374" t="s">
        <v>1058</v>
      </c>
    </row>
    <row r="375" spans="1:15" x14ac:dyDescent="0.25">
      <c r="A375" t="s">
        <v>418</v>
      </c>
      <c r="B375" s="159">
        <v>45429.197916666664</v>
      </c>
      <c r="C375" s="1" t="s">
        <v>43</v>
      </c>
      <c r="D375" s="1" t="s">
        <v>25</v>
      </c>
      <c r="E375" t="s">
        <v>28</v>
      </c>
      <c r="F375" t="s">
        <v>29</v>
      </c>
      <c r="G375" s="114">
        <v>460.08</v>
      </c>
      <c r="H375" s="1" t="s">
        <v>22</v>
      </c>
      <c r="J375">
        <v>2.9</v>
      </c>
      <c r="K375">
        <v>1</v>
      </c>
      <c r="L375" s="114">
        <v>13.34</v>
      </c>
      <c r="M375" s="114">
        <v>446.74</v>
      </c>
      <c r="N375" s="114">
        <v>460.08</v>
      </c>
      <c r="O375" t="s">
        <v>1058</v>
      </c>
    </row>
    <row r="376" spans="1:15" x14ac:dyDescent="0.25">
      <c r="A376" t="s">
        <v>419</v>
      </c>
      <c r="B376" s="159">
        <v>45429.776388888888</v>
      </c>
      <c r="C376" s="1" t="s">
        <v>58</v>
      </c>
      <c r="D376" s="1" t="s">
        <v>25</v>
      </c>
      <c r="E376" t="s">
        <v>28</v>
      </c>
      <c r="F376" t="s">
        <v>16</v>
      </c>
      <c r="G376" s="114">
        <v>4056.86</v>
      </c>
      <c r="H376" s="1" t="s">
        <v>17</v>
      </c>
      <c r="J376">
        <v>2.9</v>
      </c>
      <c r="K376">
        <v>1</v>
      </c>
      <c r="L376" s="114">
        <v>0</v>
      </c>
      <c r="M376" s="114">
        <v>0</v>
      </c>
      <c r="N376" s="114">
        <v>0</v>
      </c>
      <c r="O376" t="s">
        <v>1058</v>
      </c>
    </row>
    <row r="377" spans="1:15" x14ac:dyDescent="0.25">
      <c r="A377" t="s">
        <v>420</v>
      </c>
      <c r="B377" s="159">
        <v>45429.976388888892</v>
      </c>
      <c r="C377" s="1" t="s">
        <v>19</v>
      </c>
      <c r="D377" s="1" t="s">
        <v>20</v>
      </c>
      <c r="E377" t="s">
        <v>28</v>
      </c>
      <c r="F377" t="s">
        <v>29</v>
      </c>
      <c r="G377" s="114">
        <v>2214.17</v>
      </c>
      <c r="H377" s="1" t="s">
        <v>34</v>
      </c>
      <c r="I377" t="s">
        <v>55</v>
      </c>
      <c r="J377">
        <v>2.9</v>
      </c>
      <c r="K377">
        <v>8.5999999999999993E-2</v>
      </c>
      <c r="L377" s="114">
        <v>0</v>
      </c>
      <c r="M377" s="114">
        <v>0</v>
      </c>
      <c r="N377" s="114">
        <v>0</v>
      </c>
      <c r="O377" t="s">
        <v>1058</v>
      </c>
    </row>
    <row r="378" spans="1:15" x14ac:dyDescent="0.25">
      <c r="A378" t="s">
        <v>421</v>
      </c>
      <c r="B378" s="159">
        <v>45430.197916666664</v>
      </c>
      <c r="C378" s="1" t="s">
        <v>47</v>
      </c>
      <c r="D378" s="1" t="s">
        <v>25</v>
      </c>
      <c r="E378" t="s">
        <v>33</v>
      </c>
      <c r="F378" t="s">
        <v>29</v>
      </c>
      <c r="G378" s="114">
        <v>864.66</v>
      </c>
      <c r="H378" s="1" t="s">
        <v>22</v>
      </c>
      <c r="J378">
        <v>1.9</v>
      </c>
      <c r="K378">
        <v>1</v>
      </c>
      <c r="L378" s="114">
        <v>16.43</v>
      </c>
      <c r="M378" s="114">
        <v>848.23</v>
      </c>
      <c r="N378" s="114">
        <v>864.66</v>
      </c>
      <c r="O378" t="s">
        <v>1058</v>
      </c>
    </row>
    <row r="379" spans="1:15" x14ac:dyDescent="0.25">
      <c r="A379" t="s">
        <v>422</v>
      </c>
      <c r="B379" s="159">
        <v>45430.315972222219</v>
      </c>
      <c r="C379" s="1" t="s">
        <v>58</v>
      </c>
      <c r="D379" s="1" t="s">
        <v>25</v>
      </c>
      <c r="E379" t="s">
        <v>15</v>
      </c>
      <c r="F379" t="s">
        <v>29</v>
      </c>
      <c r="G379" s="114">
        <v>737.76</v>
      </c>
      <c r="H379" s="1" t="s">
        <v>22</v>
      </c>
      <c r="J379">
        <v>2.5</v>
      </c>
      <c r="K379">
        <v>1</v>
      </c>
      <c r="L379" s="114">
        <v>18.440000000000001</v>
      </c>
      <c r="M379" s="114">
        <v>719.32</v>
      </c>
      <c r="N379" s="114">
        <v>737.7600000000001</v>
      </c>
      <c r="O379" t="s">
        <v>1058</v>
      </c>
    </row>
    <row r="380" spans="1:15" x14ac:dyDescent="0.25">
      <c r="A380" t="s">
        <v>423</v>
      </c>
      <c r="B380" s="159">
        <v>45431.160416666666</v>
      </c>
      <c r="C380" s="1" t="s">
        <v>37</v>
      </c>
      <c r="D380" s="1" t="s">
        <v>38</v>
      </c>
      <c r="E380" t="s">
        <v>15</v>
      </c>
      <c r="F380" t="s">
        <v>16</v>
      </c>
      <c r="G380" s="114">
        <v>3719.11</v>
      </c>
      <c r="H380" s="1" t="s">
        <v>34</v>
      </c>
      <c r="I380" t="s">
        <v>62</v>
      </c>
      <c r="J380">
        <v>2.5</v>
      </c>
      <c r="K380">
        <v>0.23269999999999999</v>
      </c>
      <c r="L380" s="114">
        <v>0</v>
      </c>
      <c r="M380" s="114">
        <v>0</v>
      </c>
      <c r="N380" s="114">
        <v>0</v>
      </c>
      <c r="O380" t="s">
        <v>1058</v>
      </c>
    </row>
    <row r="381" spans="1:15" x14ac:dyDescent="0.25">
      <c r="A381" t="s">
        <v>424</v>
      </c>
      <c r="B381" s="159">
        <v>45431.285416666666</v>
      </c>
      <c r="C381" s="1" t="s">
        <v>31</v>
      </c>
      <c r="D381" s="1" t="s">
        <v>32</v>
      </c>
      <c r="E381" t="s">
        <v>39</v>
      </c>
      <c r="F381" t="s">
        <v>29</v>
      </c>
      <c r="G381" s="114">
        <v>3658.28</v>
      </c>
      <c r="H381" s="1" t="s">
        <v>22</v>
      </c>
      <c r="J381">
        <v>3.2</v>
      </c>
      <c r="K381">
        <v>1.1801999999999999</v>
      </c>
      <c r="L381" s="114">
        <v>138.154212</v>
      </c>
      <c r="M381" s="114">
        <v>4179.3478439999999</v>
      </c>
      <c r="N381" s="114">
        <v>4317.5020560000003</v>
      </c>
      <c r="O381" t="s">
        <v>1058</v>
      </c>
    </row>
    <row r="382" spans="1:15" x14ac:dyDescent="0.25">
      <c r="A382" t="s">
        <v>425</v>
      </c>
      <c r="B382" s="159">
        <v>45431.401388888888</v>
      </c>
      <c r="C382" s="1" t="s">
        <v>24</v>
      </c>
      <c r="D382" s="1" t="s">
        <v>25</v>
      </c>
      <c r="E382" t="s">
        <v>39</v>
      </c>
      <c r="F382" t="s">
        <v>29</v>
      </c>
      <c r="G382" s="114">
        <v>3440.61</v>
      </c>
      <c r="H382" s="1" t="s">
        <v>22</v>
      </c>
      <c r="J382">
        <v>3.2</v>
      </c>
      <c r="K382">
        <v>1</v>
      </c>
      <c r="L382" s="114">
        <v>110.1</v>
      </c>
      <c r="M382" s="114">
        <v>3330.51</v>
      </c>
      <c r="N382" s="114">
        <v>3440.61</v>
      </c>
      <c r="O382" t="s">
        <v>1058</v>
      </c>
    </row>
    <row r="383" spans="1:15" x14ac:dyDescent="0.25">
      <c r="A383" t="s">
        <v>426</v>
      </c>
      <c r="B383" s="159">
        <v>45431.69027777778</v>
      </c>
      <c r="C383" s="1" t="s">
        <v>43</v>
      </c>
      <c r="D383" s="1" t="s">
        <v>25</v>
      </c>
      <c r="E383" t="s">
        <v>15</v>
      </c>
      <c r="F383" t="s">
        <v>41</v>
      </c>
      <c r="G383" s="114">
        <v>2994.2</v>
      </c>
      <c r="H383" s="1" t="s">
        <v>34</v>
      </c>
      <c r="I383" t="s">
        <v>62</v>
      </c>
      <c r="J383">
        <v>2.5</v>
      </c>
      <c r="K383">
        <v>1</v>
      </c>
      <c r="L383" s="114">
        <v>0</v>
      </c>
      <c r="M383" s="114">
        <v>0</v>
      </c>
      <c r="N383" s="114">
        <v>0</v>
      </c>
      <c r="O383" t="s">
        <v>1058</v>
      </c>
    </row>
    <row r="384" spans="1:15" x14ac:dyDescent="0.25">
      <c r="A384" t="s">
        <v>427</v>
      </c>
      <c r="B384" s="159">
        <v>45433.044444444444</v>
      </c>
      <c r="C384" s="1" t="s">
        <v>37</v>
      </c>
      <c r="D384" s="1" t="s">
        <v>38</v>
      </c>
      <c r="E384" t="s">
        <v>39</v>
      </c>
      <c r="F384" t="s">
        <v>16</v>
      </c>
      <c r="G384" s="114">
        <v>2436.27</v>
      </c>
      <c r="H384" s="1" t="s">
        <v>17</v>
      </c>
      <c r="J384">
        <v>3.2</v>
      </c>
      <c r="K384">
        <v>0.23269999999999999</v>
      </c>
      <c r="L384" s="114">
        <v>0</v>
      </c>
      <c r="M384" s="114">
        <v>0</v>
      </c>
      <c r="N384" s="114">
        <v>0</v>
      </c>
      <c r="O384" t="s">
        <v>1058</v>
      </c>
    </row>
    <row r="385" spans="1:15" x14ac:dyDescent="0.25">
      <c r="A385" t="s">
        <v>428</v>
      </c>
      <c r="B385" s="159">
        <v>45433.554861111108</v>
      </c>
      <c r="C385" s="1" t="s">
        <v>43</v>
      </c>
      <c r="D385" s="1" t="s">
        <v>25</v>
      </c>
      <c r="E385" t="s">
        <v>28</v>
      </c>
      <c r="F385" t="s">
        <v>21</v>
      </c>
      <c r="G385" s="114">
        <v>1265.98</v>
      </c>
      <c r="H385" s="1" t="s">
        <v>22</v>
      </c>
      <c r="J385">
        <v>2.9</v>
      </c>
      <c r="K385">
        <v>1</v>
      </c>
      <c r="L385" s="114">
        <v>36.71</v>
      </c>
      <c r="M385" s="114">
        <v>1229.27</v>
      </c>
      <c r="N385" s="114">
        <v>1265.98</v>
      </c>
      <c r="O385" t="s">
        <v>1058</v>
      </c>
    </row>
    <row r="386" spans="1:15" x14ac:dyDescent="0.25">
      <c r="A386" t="s">
        <v>429</v>
      </c>
      <c r="B386" s="159">
        <v>45433.572222222225</v>
      </c>
      <c r="C386" s="1" t="s">
        <v>37</v>
      </c>
      <c r="D386" s="1" t="s">
        <v>38</v>
      </c>
      <c r="E386" t="s">
        <v>39</v>
      </c>
      <c r="F386" t="s">
        <v>29</v>
      </c>
      <c r="G386" s="114">
        <v>3905.85</v>
      </c>
      <c r="H386" s="1" t="s">
        <v>22</v>
      </c>
      <c r="J386">
        <v>3.2</v>
      </c>
      <c r="K386">
        <v>0.23269999999999999</v>
      </c>
      <c r="L386" s="114">
        <v>29.085172999999998</v>
      </c>
      <c r="M386" s="114">
        <v>879.80612199999996</v>
      </c>
      <c r="N386" s="114">
        <v>908.8912949999999</v>
      </c>
      <c r="O386" t="s">
        <v>1058</v>
      </c>
    </row>
    <row r="387" spans="1:15" x14ac:dyDescent="0.25">
      <c r="A387" t="s">
        <v>430</v>
      </c>
      <c r="B387" s="159">
        <v>45435.206250000003</v>
      </c>
      <c r="C387" s="1" t="s">
        <v>13</v>
      </c>
      <c r="D387" s="1" t="s">
        <v>14</v>
      </c>
      <c r="E387" t="s">
        <v>44</v>
      </c>
      <c r="F387" t="s">
        <v>21</v>
      </c>
      <c r="G387" s="114">
        <v>3670.39</v>
      </c>
      <c r="H387" s="1" t="s">
        <v>22</v>
      </c>
      <c r="J387">
        <v>2.1</v>
      </c>
      <c r="K387">
        <v>8.7400000000000005E-2</v>
      </c>
      <c r="L387" s="114">
        <v>6.7367920000000003</v>
      </c>
      <c r="M387" s="114">
        <v>314.055294</v>
      </c>
      <c r="N387" s="114">
        <v>320.79208599999998</v>
      </c>
      <c r="O387" t="s">
        <v>1058</v>
      </c>
    </row>
    <row r="388" spans="1:15" x14ac:dyDescent="0.25">
      <c r="A388" t="s">
        <v>431</v>
      </c>
      <c r="B388" s="159">
        <v>45435.62222222222</v>
      </c>
      <c r="C388" s="1" t="s">
        <v>27</v>
      </c>
      <c r="D388" s="1" t="s">
        <v>25</v>
      </c>
      <c r="E388" t="s">
        <v>28</v>
      </c>
      <c r="F388" t="s">
        <v>45</v>
      </c>
      <c r="G388" s="114">
        <v>3099.69</v>
      </c>
      <c r="H388" s="1" t="s">
        <v>22</v>
      </c>
      <c r="J388">
        <v>2.9</v>
      </c>
      <c r="K388">
        <v>1</v>
      </c>
      <c r="L388" s="114">
        <v>89.89</v>
      </c>
      <c r="M388" s="114">
        <v>3009.8</v>
      </c>
      <c r="N388" s="114">
        <v>3099.69</v>
      </c>
      <c r="O388" t="s">
        <v>1058</v>
      </c>
    </row>
    <row r="389" spans="1:15" x14ac:dyDescent="0.25">
      <c r="A389" t="s">
        <v>432</v>
      </c>
      <c r="B389" s="159">
        <v>45435.662499999999</v>
      </c>
      <c r="C389" s="1" t="s">
        <v>31</v>
      </c>
      <c r="D389" s="1" t="s">
        <v>32</v>
      </c>
      <c r="E389" t="s">
        <v>44</v>
      </c>
      <c r="F389" t="s">
        <v>29</v>
      </c>
      <c r="G389" s="114">
        <v>1509.4</v>
      </c>
      <c r="H389" s="1" t="s">
        <v>34</v>
      </c>
      <c r="I389" t="s">
        <v>62</v>
      </c>
      <c r="J389">
        <v>2.1</v>
      </c>
      <c r="K389">
        <v>1.1801999999999999</v>
      </c>
      <c r="L389" s="114">
        <v>0</v>
      </c>
      <c r="M389" s="114">
        <v>0</v>
      </c>
      <c r="N389" s="114">
        <v>0</v>
      </c>
      <c r="O389" t="s">
        <v>1058</v>
      </c>
    </row>
    <row r="390" spans="1:15" x14ac:dyDescent="0.25">
      <c r="A390" t="s">
        <v>433</v>
      </c>
      <c r="B390" s="159">
        <v>45436.010416666664</v>
      </c>
      <c r="C390" s="1" t="s">
        <v>58</v>
      </c>
      <c r="D390" s="1" t="s">
        <v>25</v>
      </c>
      <c r="E390" t="s">
        <v>33</v>
      </c>
      <c r="F390" t="s">
        <v>16</v>
      </c>
      <c r="G390" s="114">
        <v>3129.82</v>
      </c>
      <c r="H390" s="1" t="s">
        <v>34</v>
      </c>
      <c r="I390" t="s">
        <v>55</v>
      </c>
      <c r="J390">
        <v>1.9</v>
      </c>
      <c r="K390">
        <v>1</v>
      </c>
      <c r="L390" s="114">
        <v>0</v>
      </c>
      <c r="M390" s="114">
        <v>0</v>
      </c>
      <c r="N390" s="114">
        <v>0</v>
      </c>
      <c r="O390" t="s">
        <v>1058</v>
      </c>
    </row>
    <row r="391" spans="1:15" x14ac:dyDescent="0.25">
      <c r="A391" t="s">
        <v>434</v>
      </c>
      <c r="B391" s="159">
        <v>45436.159722222219</v>
      </c>
      <c r="C391" s="1" t="s">
        <v>31</v>
      </c>
      <c r="D391" s="1" t="s">
        <v>32</v>
      </c>
      <c r="E391" t="s">
        <v>15</v>
      </c>
      <c r="F391" t="s">
        <v>29</v>
      </c>
      <c r="G391" s="114">
        <v>3048.92</v>
      </c>
      <c r="H391" s="1" t="s">
        <v>22</v>
      </c>
      <c r="J391">
        <v>2.5</v>
      </c>
      <c r="K391">
        <v>1.1801999999999999</v>
      </c>
      <c r="L391" s="114">
        <v>89.954843999999994</v>
      </c>
      <c r="M391" s="114">
        <v>3508.3805399999997</v>
      </c>
      <c r="N391" s="114">
        <v>3598.3353839999995</v>
      </c>
      <c r="O391" t="s">
        <v>1058</v>
      </c>
    </row>
    <row r="392" spans="1:15" x14ac:dyDescent="0.25">
      <c r="A392" t="s">
        <v>435</v>
      </c>
      <c r="B392" s="159">
        <v>45436.484722222223</v>
      </c>
      <c r="C392" s="1" t="s">
        <v>19</v>
      </c>
      <c r="D392" s="1" t="s">
        <v>20</v>
      </c>
      <c r="E392" t="s">
        <v>44</v>
      </c>
      <c r="F392" t="s">
        <v>45</v>
      </c>
      <c r="G392" s="114">
        <v>523.63</v>
      </c>
      <c r="H392" s="1" t="s">
        <v>22</v>
      </c>
      <c r="J392">
        <v>2.1</v>
      </c>
      <c r="K392">
        <v>8.5999999999999993E-2</v>
      </c>
      <c r="L392" s="114">
        <v>0.94599999999999995</v>
      </c>
      <c r="M392" s="114">
        <v>44.086179999999999</v>
      </c>
      <c r="N392" s="114">
        <v>45.032179999999997</v>
      </c>
      <c r="O392" t="s">
        <v>1058</v>
      </c>
    </row>
    <row r="393" spans="1:15" x14ac:dyDescent="0.25">
      <c r="A393" t="s">
        <v>436</v>
      </c>
      <c r="B393" s="159">
        <v>45436.6</v>
      </c>
      <c r="C393" s="1" t="s">
        <v>58</v>
      </c>
      <c r="D393" s="1" t="s">
        <v>25</v>
      </c>
      <c r="E393" t="s">
        <v>28</v>
      </c>
      <c r="F393" t="s">
        <v>16</v>
      </c>
      <c r="G393" s="114">
        <v>790.05</v>
      </c>
      <c r="H393" s="1" t="s">
        <v>22</v>
      </c>
      <c r="J393">
        <v>2.9</v>
      </c>
      <c r="K393">
        <v>1</v>
      </c>
      <c r="L393" s="114">
        <v>22.91</v>
      </c>
      <c r="M393" s="114">
        <v>767.14</v>
      </c>
      <c r="N393" s="114">
        <v>790.05</v>
      </c>
      <c r="O393" t="s">
        <v>1058</v>
      </c>
    </row>
    <row r="394" spans="1:15" x14ac:dyDescent="0.25">
      <c r="A394" t="s">
        <v>437</v>
      </c>
      <c r="B394" s="159">
        <v>45437.01666666667</v>
      </c>
      <c r="C394" s="1" t="s">
        <v>60</v>
      </c>
      <c r="D394" s="1" t="s">
        <v>25</v>
      </c>
      <c r="E394" t="s">
        <v>44</v>
      </c>
      <c r="F394" t="s">
        <v>45</v>
      </c>
      <c r="G394" s="114">
        <v>3901.35</v>
      </c>
      <c r="H394" s="1" t="s">
        <v>22</v>
      </c>
      <c r="J394">
        <v>2.1</v>
      </c>
      <c r="K394">
        <v>1</v>
      </c>
      <c r="L394" s="114">
        <v>81.93</v>
      </c>
      <c r="M394" s="114">
        <v>3819.42</v>
      </c>
      <c r="N394" s="114">
        <v>3901.35</v>
      </c>
      <c r="O394" t="s">
        <v>1058</v>
      </c>
    </row>
    <row r="395" spans="1:15" x14ac:dyDescent="0.25">
      <c r="A395" t="s">
        <v>438</v>
      </c>
      <c r="B395" s="159">
        <v>45437.472222222219</v>
      </c>
      <c r="C395" s="1" t="s">
        <v>13</v>
      </c>
      <c r="D395" s="1" t="s">
        <v>14</v>
      </c>
      <c r="E395" t="s">
        <v>15</v>
      </c>
      <c r="F395" t="s">
        <v>16</v>
      </c>
      <c r="G395" s="114">
        <v>4449.2700000000004</v>
      </c>
      <c r="H395" s="1" t="s">
        <v>34</v>
      </c>
      <c r="I395" t="s">
        <v>100</v>
      </c>
      <c r="J395">
        <v>2.5</v>
      </c>
      <c r="K395">
        <v>8.7400000000000005E-2</v>
      </c>
      <c r="L395" s="114">
        <v>0</v>
      </c>
      <c r="M395" s="114">
        <v>0</v>
      </c>
      <c r="N395" s="114">
        <v>0</v>
      </c>
      <c r="O395" t="s">
        <v>1058</v>
      </c>
    </row>
    <row r="396" spans="1:15" x14ac:dyDescent="0.25">
      <c r="A396" t="s">
        <v>439</v>
      </c>
      <c r="B396" s="159">
        <v>45437.794444444444</v>
      </c>
      <c r="C396" s="1" t="s">
        <v>24</v>
      </c>
      <c r="D396" s="1" t="s">
        <v>25</v>
      </c>
      <c r="E396" t="s">
        <v>39</v>
      </c>
      <c r="F396" t="s">
        <v>16</v>
      </c>
      <c r="G396" s="114">
        <v>2258.7199999999998</v>
      </c>
      <c r="H396" s="1" t="s">
        <v>17</v>
      </c>
      <c r="J396">
        <v>3.2</v>
      </c>
      <c r="K396">
        <v>1</v>
      </c>
      <c r="L396" s="114">
        <v>0</v>
      </c>
      <c r="M396" s="114">
        <v>0</v>
      </c>
      <c r="N396" s="114">
        <v>0</v>
      </c>
      <c r="O396" t="s">
        <v>1058</v>
      </c>
    </row>
    <row r="397" spans="1:15" x14ac:dyDescent="0.25">
      <c r="A397" t="s">
        <v>440</v>
      </c>
      <c r="B397" s="159">
        <v>45437.865972222222</v>
      </c>
      <c r="C397" s="1" t="s">
        <v>13</v>
      </c>
      <c r="D397" s="1" t="s">
        <v>14</v>
      </c>
      <c r="E397" t="s">
        <v>39</v>
      </c>
      <c r="F397" t="s">
        <v>16</v>
      </c>
      <c r="G397" s="114">
        <v>948.12</v>
      </c>
      <c r="H397" s="1" t="s">
        <v>22</v>
      </c>
      <c r="J397">
        <v>3.2</v>
      </c>
      <c r="K397">
        <v>8.7400000000000005E-2</v>
      </c>
      <c r="L397" s="114">
        <v>2.651716</v>
      </c>
      <c r="M397" s="114">
        <v>80.213971999999998</v>
      </c>
      <c r="N397" s="114">
        <v>82.865687999999992</v>
      </c>
      <c r="O397" t="s">
        <v>1058</v>
      </c>
    </row>
    <row r="398" spans="1:15" x14ac:dyDescent="0.25">
      <c r="A398" t="s">
        <v>441</v>
      </c>
      <c r="B398" s="159">
        <v>45438.611111111109</v>
      </c>
      <c r="C398" s="1" t="s">
        <v>27</v>
      </c>
      <c r="D398" s="1" t="s">
        <v>25</v>
      </c>
      <c r="E398" t="s">
        <v>44</v>
      </c>
      <c r="F398" t="s">
        <v>21</v>
      </c>
      <c r="G398" s="114">
        <v>2114.86</v>
      </c>
      <c r="H398" s="1" t="s">
        <v>17</v>
      </c>
      <c r="J398">
        <v>2.1</v>
      </c>
      <c r="K398">
        <v>1</v>
      </c>
      <c r="L398" s="114">
        <v>0</v>
      </c>
      <c r="M398" s="114">
        <v>0</v>
      </c>
      <c r="N398" s="114">
        <v>0</v>
      </c>
      <c r="O398" t="s">
        <v>1058</v>
      </c>
    </row>
    <row r="399" spans="1:15" x14ac:dyDescent="0.25">
      <c r="A399" t="s">
        <v>442</v>
      </c>
      <c r="B399" s="159">
        <v>45438.628472222219</v>
      </c>
      <c r="C399" s="1" t="s">
        <v>27</v>
      </c>
      <c r="D399" s="1" t="s">
        <v>25</v>
      </c>
      <c r="E399" t="s">
        <v>33</v>
      </c>
      <c r="F399" t="s">
        <v>41</v>
      </c>
      <c r="G399" s="114">
        <v>4258.71</v>
      </c>
      <c r="H399" s="1" t="s">
        <v>22</v>
      </c>
      <c r="J399">
        <v>1.9</v>
      </c>
      <c r="K399">
        <v>1</v>
      </c>
      <c r="L399" s="114">
        <v>80.92</v>
      </c>
      <c r="M399" s="114">
        <v>4177.79</v>
      </c>
      <c r="N399" s="114">
        <v>4258.71</v>
      </c>
      <c r="O399" t="s">
        <v>1058</v>
      </c>
    </row>
    <row r="400" spans="1:15" x14ac:dyDescent="0.25">
      <c r="A400" t="s">
        <v>443</v>
      </c>
      <c r="B400" s="159">
        <v>45439.01458333333</v>
      </c>
      <c r="C400" s="1" t="s">
        <v>31</v>
      </c>
      <c r="D400" s="1" t="s">
        <v>32</v>
      </c>
      <c r="E400" t="s">
        <v>39</v>
      </c>
      <c r="F400" t="s">
        <v>16</v>
      </c>
      <c r="G400" s="114">
        <v>2361.2399999999998</v>
      </c>
      <c r="H400" s="1" t="s">
        <v>22</v>
      </c>
      <c r="J400">
        <v>3.2</v>
      </c>
      <c r="K400">
        <v>1.1801999999999999</v>
      </c>
      <c r="L400" s="114">
        <v>89.175911999999997</v>
      </c>
      <c r="M400" s="114">
        <v>2697.5595359999998</v>
      </c>
      <c r="N400" s="114">
        <v>2786.7354479999999</v>
      </c>
      <c r="O400" t="s">
        <v>1058</v>
      </c>
    </row>
    <row r="401" spans="1:15" x14ac:dyDescent="0.25">
      <c r="A401" t="s">
        <v>444</v>
      </c>
      <c r="B401" s="159">
        <v>45439.6</v>
      </c>
      <c r="C401" s="1" t="s">
        <v>37</v>
      </c>
      <c r="D401" s="1" t="s">
        <v>38</v>
      </c>
      <c r="E401" t="s">
        <v>33</v>
      </c>
      <c r="F401" t="s">
        <v>41</v>
      </c>
      <c r="G401" s="114">
        <v>495.85</v>
      </c>
      <c r="H401" s="1" t="s">
        <v>17</v>
      </c>
      <c r="J401">
        <v>1.9</v>
      </c>
      <c r="K401">
        <v>0.23269999999999999</v>
      </c>
      <c r="L401" s="114">
        <v>0</v>
      </c>
      <c r="M401" s="114">
        <v>0</v>
      </c>
      <c r="N401" s="114">
        <v>0</v>
      </c>
      <c r="O401" t="s">
        <v>1058</v>
      </c>
    </row>
    <row r="402" spans="1:15" x14ac:dyDescent="0.25">
      <c r="A402" t="s">
        <v>445</v>
      </c>
      <c r="B402" s="159">
        <v>45439.804861111108</v>
      </c>
      <c r="C402" s="1" t="s">
        <v>37</v>
      </c>
      <c r="D402" s="1" t="s">
        <v>38</v>
      </c>
      <c r="E402" t="s">
        <v>28</v>
      </c>
      <c r="F402" t="s">
        <v>45</v>
      </c>
      <c r="G402" s="114">
        <v>2541.9899999999998</v>
      </c>
      <c r="H402" s="1" t="s">
        <v>22</v>
      </c>
      <c r="J402">
        <v>2.9</v>
      </c>
      <c r="K402">
        <v>0.23269999999999999</v>
      </c>
      <c r="L402" s="114">
        <v>17.154643999999998</v>
      </c>
      <c r="M402" s="114">
        <v>574.36642899999993</v>
      </c>
      <c r="N402" s="114">
        <v>591.52107299999989</v>
      </c>
      <c r="O402" t="s">
        <v>1058</v>
      </c>
    </row>
    <row r="403" spans="1:15" x14ac:dyDescent="0.25">
      <c r="A403" t="s">
        <v>446</v>
      </c>
      <c r="B403" s="159">
        <v>45439.966666666667</v>
      </c>
      <c r="C403" s="1" t="s">
        <v>43</v>
      </c>
      <c r="D403" s="1" t="s">
        <v>25</v>
      </c>
      <c r="E403" t="s">
        <v>39</v>
      </c>
      <c r="F403" t="s">
        <v>16</v>
      </c>
      <c r="G403" s="114">
        <v>1168.19</v>
      </c>
      <c r="H403" s="1" t="s">
        <v>22</v>
      </c>
      <c r="J403">
        <v>3.2</v>
      </c>
      <c r="K403">
        <v>1</v>
      </c>
      <c r="L403" s="114">
        <v>37.380000000000003</v>
      </c>
      <c r="M403" s="114">
        <v>1130.81</v>
      </c>
      <c r="N403" s="114">
        <v>1168.19</v>
      </c>
      <c r="O403" t="s">
        <v>1058</v>
      </c>
    </row>
    <row r="404" spans="1:15" x14ac:dyDescent="0.25">
      <c r="A404" t="s">
        <v>447</v>
      </c>
      <c r="B404" s="159">
        <v>45440.506249999999</v>
      </c>
      <c r="C404" s="1" t="s">
        <v>27</v>
      </c>
      <c r="D404" s="1" t="s">
        <v>25</v>
      </c>
      <c r="E404" t="s">
        <v>39</v>
      </c>
      <c r="F404" t="s">
        <v>41</v>
      </c>
      <c r="G404" s="114">
        <v>2384.5100000000002</v>
      </c>
      <c r="H404" s="1" t="s">
        <v>22</v>
      </c>
      <c r="J404">
        <v>3.2</v>
      </c>
      <c r="K404">
        <v>1</v>
      </c>
      <c r="L404" s="114">
        <v>76.3</v>
      </c>
      <c r="M404" s="114">
        <v>2308.21</v>
      </c>
      <c r="N404" s="114">
        <v>2384.5100000000002</v>
      </c>
      <c r="O404" t="s">
        <v>1058</v>
      </c>
    </row>
    <row r="405" spans="1:15" x14ac:dyDescent="0.25">
      <c r="A405" t="s">
        <v>448</v>
      </c>
      <c r="B405" s="159">
        <v>45440.602083333331</v>
      </c>
      <c r="C405" s="1" t="s">
        <v>31</v>
      </c>
      <c r="D405" s="1" t="s">
        <v>32</v>
      </c>
      <c r="E405" t="s">
        <v>15</v>
      </c>
      <c r="F405" t="s">
        <v>21</v>
      </c>
      <c r="G405" s="114">
        <v>751.55</v>
      </c>
      <c r="H405" s="1" t="s">
        <v>22</v>
      </c>
      <c r="J405">
        <v>2.5</v>
      </c>
      <c r="K405">
        <v>1.1801999999999999</v>
      </c>
      <c r="L405" s="114">
        <v>22.175957999999998</v>
      </c>
      <c r="M405" s="114">
        <v>864.8033519999999</v>
      </c>
      <c r="N405" s="114">
        <v>886.97930999999994</v>
      </c>
      <c r="O405" t="s">
        <v>1058</v>
      </c>
    </row>
    <row r="406" spans="1:15" x14ac:dyDescent="0.25">
      <c r="A406" t="s">
        <v>449</v>
      </c>
      <c r="B406" s="159">
        <v>45440.615277777775</v>
      </c>
      <c r="C406" s="1" t="s">
        <v>13</v>
      </c>
      <c r="D406" s="1" t="s">
        <v>14</v>
      </c>
      <c r="E406" t="s">
        <v>33</v>
      </c>
      <c r="F406" t="s">
        <v>45</v>
      </c>
      <c r="G406" s="114">
        <v>1695.8</v>
      </c>
      <c r="H406" s="1" t="s">
        <v>22</v>
      </c>
      <c r="J406">
        <v>1.9</v>
      </c>
      <c r="K406">
        <v>8.7400000000000005E-2</v>
      </c>
      <c r="L406" s="114">
        <v>2.8160280000000002</v>
      </c>
      <c r="M406" s="114">
        <v>145.39689200000001</v>
      </c>
      <c r="N406" s="114">
        <v>148.21292</v>
      </c>
      <c r="O406" t="s">
        <v>1058</v>
      </c>
    </row>
    <row r="407" spans="1:15" x14ac:dyDescent="0.25">
      <c r="A407" t="s">
        <v>450</v>
      </c>
      <c r="B407" s="159">
        <v>45441.25277777778</v>
      </c>
      <c r="C407" s="1" t="s">
        <v>60</v>
      </c>
      <c r="D407" s="1" t="s">
        <v>25</v>
      </c>
      <c r="E407" t="s">
        <v>44</v>
      </c>
      <c r="F407" t="s">
        <v>45</v>
      </c>
      <c r="G407" s="114">
        <v>3226.91</v>
      </c>
      <c r="H407" s="1" t="s">
        <v>34</v>
      </c>
      <c r="I407" t="s">
        <v>100</v>
      </c>
      <c r="J407">
        <v>2.1</v>
      </c>
      <c r="K407">
        <v>1</v>
      </c>
      <c r="L407" s="114">
        <v>0</v>
      </c>
      <c r="M407" s="114">
        <v>0</v>
      </c>
      <c r="N407" s="114">
        <v>0</v>
      </c>
      <c r="O407" t="s">
        <v>1058</v>
      </c>
    </row>
    <row r="408" spans="1:15" x14ac:dyDescent="0.25">
      <c r="A408" t="s">
        <v>451</v>
      </c>
      <c r="B408" s="159">
        <v>45441.558333333334</v>
      </c>
      <c r="C408" s="1" t="s">
        <v>31</v>
      </c>
      <c r="D408" s="1" t="s">
        <v>32</v>
      </c>
      <c r="E408" t="s">
        <v>33</v>
      </c>
      <c r="F408" t="s">
        <v>29</v>
      </c>
      <c r="G408" s="114">
        <v>2864.08</v>
      </c>
      <c r="H408" s="1" t="s">
        <v>22</v>
      </c>
      <c r="J408">
        <v>1.9</v>
      </c>
      <c r="K408">
        <v>1.1801999999999999</v>
      </c>
      <c r="L408" s="114">
        <v>64.226483999999999</v>
      </c>
      <c r="M408" s="114">
        <v>3315.9607319999996</v>
      </c>
      <c r="N408" s="114">
        <v>3380.1872159999994</v>
      </c>
      <c r="O408" t="s">
        <v>1058</v>
      </c>
    </row>
    <row r="409" spans="1:15" x14ac:dyDescent="0.25">
      <c r="A409" t="s">
        <v>452</v>
      </c>
      <c r="B409" s="159">
        <v>45441.600694444445</v>
      </c>
      <c r="C409" s="1" t="s">
        <v>47</v>
      </c>
      <c r="D409" s="1" t="s">
        <v>25</v>
      </c>
      <c r="E409" t="s">
        <v>39</v>
      </c>
      <c r="F409" t="s">
        <v>16</v>
      </c>
      <c r="G409" s="114">
        <v>840.77</v>
      </c>
      <c r="H409" s="1" t="s">
        <v>22</v>
      </c>
      <c r="J409">
        <v>3.2</v>
      </c>
      <c r="K409">
        <v>1</v>
      </c>
      <c r="L409" s="114">
        <v>26.9</v>
      </c>
      <c r="M409" s="114">
        <v>813.87</v>
      </c>
      <c r="N409" s="114">
        <v>840.77</v>
      </c>
      <c r="O409" t="s">
        <v>1058</v>
      </c>
    </row>
    <row r="410" spans="1:15" x14ac:dyDescent="0.25">
      <c r="A410" t="s">
        <v>453</v>
      </c>
      <c r="B410" s="159">
        <v>45441.988888888889</v>
      </c>
      <c r="C410" s="1" t="s">
        <v>43</v>
      </c>
      <c r="D410" s="1" t="s">
        <v>25</v>
      </c>
      <c r="E410" t="s">
        <v>33</v>
      </c>
      <c r="F410" t="s">
        <v>29</v>
      </c>
      <c r="G410" s="114">
        <v>1636.17</v>
      </c>
      <c r="H410" s="1" t="s">
        <v>22</v>
      </c>
      <c r="J410">
        <v>1.9</v>
      </c>
      <c r="K410">
        <v>1</v>
      </c>
      <c r="L410" s="114">
        <v>31.09</v>
      </c>
      <c r="M410" s="114">
        <v>1605.08</v>
      </c>
      <c r="N410" s="114">
        <v>1636.1699999999998</v>
      </c>
      <c r="O410" t="s">
        <v>1058</v>
      </c>
    </row>
    <row r="411" spans="1:15" x14ac:dyDescent="0.25">
      <c r="A411" t="s">
        <v>454</v>
      </c>
      <c r="B411" s="159">
        <v>45442.145833333336</v>
      </c>
      <c r="C411" s="1" t="s">
        <v>27</v>
      </c>
      <c r="D411" s="1" t="s">
        <v>25</v>
      </c>
      <c r="E411" t="s">
        <v>39</v>
      </c>
      <c r="F411" t="s">
        <v>45</v>
      </c>
      <c r="G411" s="114">
        <v>3816.96</v>
      </c>
      <c r="H411" s="1" t="s">
        <v>22</v>
      </c>
      <c r="J411">
        <v>3.2</v>
      </c>
      <c r="K411">
        <v>1</v>
      </c>
      <c r="L411" s="114">
        <v>122.14</v>
      </c>
      <c r="M411" s="114">
        <v>3694.82</v>
      </c>
      <c r="N411" s="114">
        <v>3816.96</v>
      </c>
      <c r="O411" t="s">
        <v>1058</v>
      </c>
    </row>
    <row r="412" spans="1:15" x14ac:dyDescent="0.25">
      <c r="A412" t="s">
        <v>455</v>
      </c>
      <c r="B412" s="159">
        <v>45442.571527777778</v>
      </c>
      <c r="C412" s="1" t="s">
        <v>13</v>
      </c>
      <c r="D412" s="1" t="s">
        <v>14</v>
      </c>
      <c r="E412" t="s">
        <v>44</v>
      </c>
      <c r="F412" t="s">
        <v>16</v>
      </c>
      <c r="G412" s="114">
        <v>1740.03</v>
      </c>
      <c r="H412" s="1" t="s">
        <v>34</v>
      </c>
      <c r="I412" t="s">
        <v>78</v>
      </c>
      <c r="J412">
        <v>2.1</v>
      </c>
      <c r="K412">
        <v>8.7400000000000005E-2</v>
      </c>
      <c r="L412" s="114">
        <v>0</v>
      </c>
      <c r="M412" s="114">
        <v>0</v>
      </c>
      <c r="N412" s="114">
        <v>0</v>
      </c>
      <c r="O412" t="s">
        <v>1058</v>
      </c>
    </row>
    <row r="413" spans="1:15" x14ac:dyDescent="0.25">
      <c r="A413" t="s">
        <v>456</v>
      </c>
      <c r="B413" s="159">
        <v>45443.356944444444</v>
      </c>
      <c r="C413" s="1" t="s">
        <v>37</v>
      </c>
      <c r="D413" s="1" t="s">
        <v>38</v>
      </c>
      <c r="E413" t="s">
        <v>15</v>
      </c>
      <c r="F413" t="s">
        <v>41</v>
      </c>
      <c r="G413" s="114">
        <v>3881.83</v>
      </c>
      <c r="H413" s="1" t="s">
        <v>17</v>
      </c>
      <c r="J413">
        <v>2.5</v>
      </c>
      <c r="K413">
        <v>0.23269999999999999</v>
      </c>
      <c r="L413" s="114">
        <v>0</v>
      </c>
      <c r="M413" s="114">
        <v>0</v>
      </c>
      <c r="N413" s="114">
        <v>0</v>
      </c>
      <c r="O413" t="s">
        <v>1058</v>
      </c>
    </row>
    <row r="414" spans="1:15" x14ac:dyDescent="0.25">
      <c r="A414" t="s">
        <v>457</v>
      </c>
      <c r="B414" s="159">
        <v>45443.449305555558</v>
      </c>
      <c r="C414" s="1" t="s">
        <v>58</v>
      </c>
      <c r="D414" s="1" t="s">
        <v>25</v>
      </c>
      <c r="E414" t="s">
        <v>44</v>
      </c>
      <c r="F414" t="s">
        <v>29</v>
      </c>
      <c r="G414" s="114">
        <v>669.48</v>
      </c>
      <c r="H414" s="1" t="s">
        <v>17</v>
      </c>
      <c r="J414">
        <v>2.1</v>
      </c>
      <c r="K414">
        <v>1</v>
      </c>
      <c r="L414" s="114">
        <v>0</v>
      </c>
      <c r="M414" s="114">
        <v>0</v>
      </c>
      <c r="N414" s="114">
        <v>0</v>
      </c>
      <c r="O414" t="s">
        <v>1058</v>
      </c>
    </row>
    <row r="415" spans="1:15" x14ac:dyDescent="0.25">
      <c r="A415" t="s">
        <v>458</v>
      </c>
      <c r="B415" s="159">
        <v>45443.835416666669</v>
      </c>
      <c r="C415" s="1" t="s">
        <v>24</v>
      </c>
      <c r="D415" s="1" t="s">
        <v>25</v>
      </c>
      <c r="E415" t="s">
        <v>15</v>
      </c>
      <c r="F415" t="s">
        <v>16</v>
      </c>
      <c r="G415" s="114">
        <v>572.59</v>
      </c>
      <c r="H415" s="1" t="s">
        <v>34</v>
      </c>
      <c r="I415" t="s">
        <v>100</v>
      </c>
      <c r="J415">
        <v>2.5</v>
      </c>
      <c r="K415">
        <v>1</v>
      </c>
      <c r="L415" s="114">
        <v>0</v>
      </c>
      <c r="M415" s="114">
        <v>0</v>
      </c>
      <c r="N415" s="114">
        <v>0</v>
      </c>
      <c r="O415" t="s">
        <v>1058</v>
      </c>
    </row>
    <row r="416" spans="1:15" x14ac:dyDescent="0.25">
      <c r="A416" t="s">
        <v>459</v>
      </c>
      <c r="B416" s="159">
        <v>45444.061111111114</v>
      </c>
      <c r="C416" s="1" t="s">
        <v>47</v>
      </c>
      <c r="D416" s="1" t="s">
        <v>25</v>
      </c>
      <c r="E416" t="s">
        <v>39</v>
      </c>
      <c r="F416" t="s">
        <v>41</v>
      </c>
      <c r="G416" s="114">
        <v>2200.96</v>
      </c>
      <c r="H416" s="1" t="s">
        <v>22</v>
      </c>
      <c r="J416">
        <v>3.2</v>
      </c>
      <c r="K416">
        <v>1</v>
      </c>
      <c r="L416" s="114">
        <v>70.430000000000007</v>
      </c>
      <c r="M416" s="114">
        <v>2130.5300000000002</v>
      </c>
      <c r="N416" s="114">
        <v>2200.96</v>
      </c>
      <c r="O416" t="s">
        <v>1135</v>
      </c>
    </row>
    <row r="417" spans="1:15" x14ac:dyDescent="0.25">
      <c r="A417" t="s">
        <v>460</v>
      </c>
      <c r="B417" s="159">
        <v>45444.775694444441</v>
      </c>
      <c r="C417" s="1" t="s">
        <v>43</v>
      </c>
      <c r="D417" s="1" t="s">
        <v>25</v>
      </c>
      <c r="E417" t="s">
        <v>44</v>
      </c>
      <c r="F417" t="s">
        <v>16</v>
      </c>
      <c r="G417" s="114">
        <v>2697.52</v>
      </c>
      <c r="H417" s="1" t="s">
        <v>22</v>
      </c>
      <c r="J417">
        <v>2.1</v>
      </c>
      <c r="K417">
        <v>1</v>
      </c>
      <c r="L417" s="114">
        <v>56.65</v>
      </c>
      <c r="M417" s="114">
        <v>2640.87</v>
      </c>
      <c r="N417" s="114">
        <v>2697.52</v>
      </c>
      <c r="O417" t="s">
        <v>1135</v>
      </c>
    </row>
    <row r="418" spans="1:15" x14ac:dyDescent="0.25">
      <c r="A418" t="s">
        <v>461</v>
      </c>
      <c r="B418" s="159">
        <v>45444.879166666666</v>
      </c>
      <c r="C418" s="1" t="s">
        <v>43</v>
      </c>
      <c r="D418" s="1" t="s">
        <v>25</v>
      </c>
      <c r="E418" t="s">
        <v>28</v>
      </c>
      <c r="F418" t="s">
        <v>21</v>
      </c>
      <c r="G418" s="114">
        <v>4941.92</v>
      </c>
      <c r="H418" s="1" t="s">
        <v>22</v>
      </c>
      <c r="J418">
        <v>2.9</v>
      </c>
      <c r="K418">
        <v>1</v>
      </c>
      <c r="L418" s="114">
        <v>143.32</v>
      </c>
      <c r="M418" s="114">
        <v>4798.6000000000004</v>
      </c>
      <c r="N418" s="114">
        <v>4941.92</v>
      </c>
      <c r="O418" t="s">
        <v>1135</v>
      </c>
    </row>
    <row r="419" spans="1:15" x14ac:dyDescent="0.25">
      <c r="A419" t="s">
        <v>462</v>
      </c>
      <c r="B419" s="159">
        <v>45445.239583333336</v>
      </c>
      <c r="C419" s="1" t="s">
        <v>27</v>
      </c>
      <c r="D419" s="1" t="s">
        <v>25</v>
      </c>
      <c r="E419" t="s">
        <v>39</v>
      </c>
      <c r="F419" t="s">
        <v>45</v>
      </c>
      <c r="G419" s="114">
        <v>1128.97</v>
      </c>
      <c r="H419" s="1" t="s">
        <v>22</v>
      </c>
      <c r="J419">
        <v>3.2</v>
      </c>
      <c r="K419">
        <v>1</v>
      </c>
      <c r="L419" s="114">
        <v>36.130000000000003</v>
      </c>
      <c r="M419" s="114">
        <v>1092.8399999999999</v>
      </c>
      <c r="N419" s="114">
        <v>1128.97</v>
      </c>
      <c r="O419" t="s">
        <v>1135</v>
      </c>
    </row>
    <row r="420" spans="1:15" x14ac:dyDescent="0.25">
      <c r="A420" t="s">
        <v>463</v>
      </c>
      <c r="B420" s="159">
        <v>45445.357638888891</v>
      </c>
      <c r="C420" s="1" t="s">
        <v>19</v>
      </c>
      <c r="D420" s="1" t="s">
        <v>20</v>
      </c>
      <c r="E420" t="s">
        <v>28</v>
      </c>
      <c r="F420" t="s">
        <v>16</v>
      </c>
      <c r="G420" s="114">
        <v>503.88</v>
      </c>
      <c r="H420" s="1" t="s">
        <v>22</v>
      </c>
      <c r="J420">
        <v>2.9</v>
      </c>
      <c r="K420">
        <v>8.5999999999999993E-2</v>
      </c>
      <c r="L420" s="114">
        <v>1.2564599999999999</v>
      </c>
      <c r="M420" s="114">
        <v>42.077219999999997</v>
      </c>
      <c r="N420" s="114">
        <v>43.333679999999994</v>
      </c>
      <c r="O420" t="s">
        <v>1135</v>
      </c>
    </row>
    <row r="421" spans="1:15" x14ac:dyDescent="0.25">
      <c r="A421" t="s">
        <v>464</v>
      </c>
      <c r="B421" s="159">
        <v>45445.404166666667</v>
      </c>
      <c r="C421" s="1" t="s">
        <v>19</v>
      </c>
      <c r="D421" s="1" t="s">
        <v>20</v>
      </c>
      <c r="E421" t="s">
        <v>44</v>
      </c>
      <c r="F421" t="s">
        <v>16</v>
      </c>
      <c r="G421" s="114">
        <v>2603.14</v>
      </c>
      <c r="H421" s="1" t="s">
        <v>22</v>
      </c>
      <c r="J421">
        <v>2.1</v>
      </c>
      <c r="K421">
        <v>8.5999999999999993E-2</v>
      </c>
      <c r="L421" s="114">
        <v>4.7016200000000001</v>
      </c>
      <c r="M421" s="114">
        <v>219.16841999999997</v>
      </c>
      <c r="N421" s="114">
        <v>223.87003999999996</v>
      </c>
      <c r="O421" t="s">
        <v>1135</v>
      </c>
    </row>
    <row r="422" spans="1:15" x14ac:dyDescent="0.25">
      <c r="A422" t="s">
        <v>465</v>
      </c>
      <c r="B422" s="159">
        <v>45445.443055555559</v>
      </c>
      <c r="C422" s="1" t="s">
        <v>24</v>
      </c>
      <c r="D422" s="1" t="s">
        <v>25</v>
      </c>
      <c r="E422" t="s">
        <v>15</v>
      </c>
      <c r="F422" t="s">
        <v>21</v>
      </c>
      <c r="G422" s="114">
        <v>896.41</v>
      </c>
      <c r="H422" s="1" t="s">
        <v>34</v>
      </c>
      <c r="I422" t="s">
        <v>62</v>
      </c>
      <c r="J422">
        <v>2.5</v>
      </c>
      <c r="K422">
        <v>1</v>
      </c>
      <c r="L422" s="114">
        <v>0</v>
      </c>
      <c r="M422" s="114">
        <v>0</v>
      </c>
      <c r="N422" s="114">
        <v>0</v>
      </c>
      <c r="O422" t="s">
        <v>1135</v>
      </c>
    </row>
    <row r="423" spans="1:15" x14ac:dyDescent="0.25">
      <c r="A423" t="s">
        <v>466</v>
      </c>
      <c r="B423" s="159">
        <v>45445.870138888888</v>
      </c>
      <c r="C423" s="1" t="s">
        <v>43</v>
      </c>
      <c r="D423" s="1" t="s">
        <v>25</v>
      </c>
      <c r="E423" t="s">
        <v>28</v>
      </c>
      <c r="F423" t="s">
        <v>21</v>
      </c>
      <c r="G423" s="114">
        <v>2091.61</v>
      </c>
      <c r="H423" s="1" t="s">
        <v>34</v>
      </c>
      <c r="I423" t="s">
        <v>35</v>
      </c>
      <c r="J423">
        <v>2.9</v>
      </c>
      <c r="K423">
        <v>1</v>
      </c>
      <c r="L423" s="114">
        <v>0</v>
      </c>
      <c r="M423" s="114">
        <v>0</v>
      </c>
      <c r="N423" s="114">
        <v>0</v>
      </c>
      <c r="O423" t="s">
        <v>1135</v>
      </c>
    </row>
    <row r="424" spans="1:15" x14ac:dyDescent="0.25">
      <c r="A424" t="s">
        <v>467</v>
      </c>
      <c r="B424" s="159">
        <v>45446.03125</v>
      </c>
      <c r="C424" s="1" t="s">
        <v>13</v>
      </c>
      <c r="D424" s="1" t="s">
        <v>14</v>
      </c>
      <c r="E424" t="s">
        <v>44</v>
      </c>
      <c r="F424" t="s">
        <v>21</v>
      </c>
      <c r="G424" s="114">
        <v>237.12</v>
      </c>
      <c r="H424" s="1" t="s">
        <v>22</v>
      </c>
      <c r="J424">
        <v>2.1</v>
      </c>
      <c r="K424">
        <v>8.7400000000000005E-2</v>
      </c>
      <c r="L424" s="114">
        <v>0.43525200000000008</v>
      </c>
      <c r="M424" s="114">
        <v>20.289035999999999</v>
      </c>
      <c r="N424" s="114">
        <v>20.724287999999998</v>
      </c>
      <c r="O424" t="s">
        <v>1135</v>
      </c>
    </row>
    <row r="425" spans="1:15" x14ac:dyDescent="0.25">
      <c r="A425" t="s">
        <v>468</v>
      </c>
      <c r="B425" s="159">
        <v>45446.124305555553</v>
      </c>
      <c r="C425" s="1" t="s">
        <v>24</v>
      </c>
      <c r="D425" s="1" t="s">
        <v>25</v>
      </c>
      <c r="E425" t="s">
        <v>39</v>
      </c>
      <c r="F425" t="s">
        <v>29</v>
      </c>
      <c r="G425" s="114">
        <v>4298.49</v>
      </c>
      <c r="H425" s="1" t="s">
        <v>22</v>
      </c>
      <c r="J425">
        <v>3.2</v>
      </c>
      <c r="K425">
        <v>1</v>
      </c>
      <c r="L425" s="114">
        <v>137.55000000000001</v>
      </c>
      <c r="M425" s="114">
        <v>4160.9399999999996</v>
      </c>
      <c r="N425" s="114">
        <v>4298.49</v>
      </c>
      <c r="O425" t="s">
        <v>1135</v>
      </c>
    </row>
    <row r="426" spans="1:15" x14ac:dyDescent="0.25">
      <c r="A426" t="s">
        <v>469</v>
      </c>
      <c r="B426" s="159">
        <v>45446.195833333331</v>
      </c>
      <c r="C426" s="1" t="s">
        <v>13</v>
      </c>
      <c r="D426" s="1" t="s">
        <v>14</v>
      </c>
      <c r="E426" t="s">
        <v>44</v>
      </c>
      <c r="F426" t="s">
        <v>16</v>
      </c>
      <c r="G426" s="114">
        <v>1509.5</v>
      </c>
      <c r="H426" s="1" t="s">
        <v>22</v>
      </c>
      <c r="J426">
        <v>2.1</v>
      </c>
      <c r="K426">
        <v>8.7400000000000005E-2</v>
      </c>
      <c r="L426" s="114">
        <v>2.7705800000000003</v>
      </c>
      <c r="M426" s="114">
        <v>129.15971999999999</v>
      </c>
      <c r="N426" s="114">
        <v>131.93029999999999</v>
      </c>
      <c r="O426" t="s">
        <v>1135</v>
      </c>
    </row>
    <row r="427" spans="1:15" x14ac:dyDescent="0.25">
      <c r="A427" t="s">
        <v>470</v>
      </c>
      <c r="B427" s="159">
        <v>45446.272916666669</v>
      </c>
      <c r="C427" s="1" t="s">
        <v>47</v>
      </c>
      <c r="D427" s="1" t="s">
        <v>25</v>
      </c>
      <c r="E427" t="s">
        <v>44</v>
      </c>
      <c r="F427" t="s">
        <v>41</v>
      </c>
      <c r="G427" s="114">
        <v>1877.34</v>
      </c>
      <c r="H427" s="1" t="s">
        <v>22</v>
      </c>
      <c r="J427">
        <v>2.1</v>
      </c>
      <c r="K427">
        <v>1</v>
      </c>
      <c r="L427" s="114">
        <v>39.42</v>
      </c>
      <c r="M427" s="114">
        <v>1837.92</v>
      </c>
      <c r="N427" s="114">
        <v>1877.3400000000001</v>
      </c>
      <c r="O427" t="s">
        <v>1135</v>
      </c>
    </row>
    <row r="428" spans="1:15" x14ac:dyDescent="0.25">
      <c r="A428" t="s">
        <v>471</v>
      </c>
      <c r="B428" s="159">
        <v>45447.629861111112</v>
      </c>
      <c r="C428" s="1" t="s">
        <v>31</v>
      </c>
      <c r="D428" s="1" t="s">
        <v>32</v>
      </c>
      <c r="E428" t="s">
        <v>44</v>
      </c>
      <c r="F428" t="s">
        <v>45</v>
      </c>
      <c r="G428" s="114">
        <v>686.96</v>
      </c>
      <c r="H428" s="1" t="s">
        <v>34</v>
      </c>
      <c r="I428" t="s">
        <v>62</v>
      </c>
      <c r="J428">
        <v>2.1</v>
      </c>
      <c r="K428">
        <v>1.1801999999999999</v>
      </c>
      <c r="L428" s="114">
        <v>0</v>
      </c>
      <c r="M428" s="114">
        <v>0</v>
      </c>
      <c r="N428" s="114">
        <v>0</v>
      </c>
      <c r="O428" t="s">
        <v>1135</v>
      </c>
    </row>
    <row r="429" spans="1:15" x14ac:dyDescent="0.25">
      <c r="A429" t="s">
        <v>472</v>
      </c>
      <c r="B429" s="159">
        <v>45448.900694444441</v>
      </c>
      <c r="C429" s="1" t="s">
        <v>37</v>
      </c>
      <c r="D429" s="1" t="s">
        <v>38</v>
      </c>
      <c r="E429" t="s">
        <v>15</v>
      </c>
      <c r="F429" t="s">
        <v>45</v>
      </c>
      <c r="G429" s="114">
        <v>2659.3</v>
      </c>
      <c r="H429" s="1" t="s">
        <v>34</v>
      </c>
      <c r="I429" t="s">
        <v>100</v>
      </c>
      <c r="J429">
        <v>2.5</v>
      </c>
      <c r="K429">
        <v>0.23269999999999999</v>
      </c>
      <c r="L429" s="114">
        <v>0</v>
      </c>
      <c r="M429" s="114">
        <v>0</v>
      </c>
      <c r="N429" s="114">
        <v>0</v>
      </c>
      <c r="O429" t="s">
        <v>1135</v>
      </c>
    </row>
    <row r="430" spans="1:15" x14ac:dyDescent="0.25">
      <c r="A430" t="s">
        <v>473</v>
      </c>
      <c r="B430" s="159">
        <v>45449.175694444442</v>
      </c>
      <c r="C430" s="1" t="s">
        <v>27</v>
      </c>
      <c r="D430" s="1" t="s">
        <v>25</v>
      </c>
      <c r="E430" t="s">
        <v>28</v>
      </c>
      <c r="F430" t="s">
        <v>16</v>
      </c>
      <c r="G430" s="114">
        <v>3457.18</v>
      </c>
      <c r="H430" s="1" t="s">
        <v>22</v>
      </c>
      <c r="J430">
        <v>2.9</v>
      </c>
      <c r="K430">
        <v>1</v>
      </c>
      <c r="L430" s="114">
        <v>100.26</v>
      </c>
      <c r="M430" s="114">
        <v>3356.92</v>
      </c>
      <c r="N430" s="114">
        <v>3457.1800000000003</v>
      </c>
      <c r="O430" t="s">
        <v>1135</v>
      </c>
    </row>
    <row r="431" spans="1:15" x14ac:dyDescent="0.25">
      <c r="A431" t="s">
        <v>474</v>
      </c>
      <c r="B431" s="159">
        <v>45449.497916666667</v>
      </c>
      <c r="C431" s="1" t="s">
        <v>60</v>
      </c>
      <c r="D431" s="1" t="s">
        <v>25</v>
      </c>
      <c r="E431" t="s">
        <v>39</v>
      </c>
      <c r="F431" t="s">
        <v>29</v>
      </c>
      <c r="G431" s="114">
        <v>3413.51</v>
      </c>
      <c r="H431" s="1" t="s">
        <v>22</v>
      </c>
      <c r="J431">
        <v>3.2</v>
      </c>
      <c r="K431">
        <v>1</v>
      </c>
      <c r="L431" s="114">
        <v>109.23</v>
      </c>
      <c r="M431" s="114">
        <v>3304.28</v>
      </c>
      <c r="N431" s="114">
        <v>3413.51</v>
      </c>
      <c r="O431" t="s">
        <v>1135</v>
      </c>
    </row>
    <row r="432" spans="1:15" x14ac:dyDescent="0.25">
      <c r="A432" t="s">
        <v>475</v>
      </c>
      <c r="B432" s="159">
        <v>45449.50277777778</v>
      </c>
      <c r="C432" s="1" t="s">
        <v>19</v>
      </c>
      <c r="D432" s="1" t="s">
        <v>20</v>
      </c>
      <c r="E432" t="s">
        <v>28</v>
      </c>
      <c r="F432" t="s">
        <v>45</v>
      </c>
      <c r="G432" s="114">
        <v>3859</v>
      </c>
      <c r="H432" s="1" t="s">
        <v>34</v>
      </c>
      <c r="I432" t="s">
        <v>62</v>
      </c>
      <c r="J432">
        <v>2.9</v>
      </c>
      <c r="K432">
        <v>8.5999999999999993E-2</v>
      </c>
      <c r="L432" s="114">
        <v>0</v>
      </c>
      <c r="M432" s="114">
        <v>0</v>
      </c>
      <c r="N432" s="114">
        <v>0</v>
      </c>
      <c r="O432" t="s">
        <v>1135</v>
      </c>
    </row>
    <row r="433" spans="1:15" x14ac:dyDescent="0.25">
      <c r="A433" t="s">
        <v>476</v>
      </c>
      <c r="B433" s="159">
        <v>45449.625694444447</v>
      </c>
      <c r="C433" s="1" t="s">
        <v>31</v>
      </c>
      <c r="D433" s="1" t="s">
        <v>32</v>
      </c>
      <c r="E433" t="s">
        <v>15</v>
      </c>
      <c r="F433" t="s">
        <v>45</v>
      </c>
      <c r="G433" s="114">
        <v>2291.58</v>
      </c>
      <c r="H433" s="1" t="s">
        <v>22</v>
      </c>
      <c r="J433">
        <v>2.5</v>
      </c>
      <c r="K433">
        <v>1.1801999999999999</v>
      </c>
      <c r="L433" s="114">
        <v>67.613658000000001</v>
      </c>
      <c r="M433" s="114">
        <v>2636.9090579999997</v>
      </c>
      <c r="N433" s="114">
        <v>2704.5227159999999</v>
      </c>
      <c r="O433" t="s">
        <v>1135</v>
      </c>
    </row>
    <row r="434" spans="1:15" x14ac:dyDescent="0.25">
      <c r="A434" t="s">
        <v>477</v>
      </c>
      <c r="B434" s="159">
        <v>45450.105555555558</v>
      </c>
      <c r="C434" s="1" t="s">
        <v>24</v>
      </c>
      <c r="D434" s="1" t="s">
        <v>25</v>
      </c>
      <c r="E434" t="s">
        <v>44</v>
      </c>
      <c r="F434" t="s">
        <v>45</v>
      </c>
      <c r="G434" s="114">
        <v>1640.48</v>
      </c>
      <c r="H434" s="1" t="s">
        <v>17</v>
      </c>
      <c r="J434">
        <v>2.1</v>
      </c>
      <c r="K434">
        <v>1</v>
      </c>
      <c r="L434" s="114">
        <v>0</v>
      </c>
      <c r="M434" s="114">
        <v>0</v>
      </c>
      <c r="N434" s="114">
        <v>0</v>
      </c>
      <c r="O434" t="s">
        <v>1135</v>
      </c>
    </row>
    <row r="435" spans="1:15" x14ac:dyDescent="0.25">
      <c r="A435" t="s">
        <v>478</v>
      </c>
      <c r="B435" s="159">
        <v>45450.217361111114</v>
      </c>
      <c r="C435" s="1" t="s">
        <v>37</v>
      </c>
      <c r="D435" s="1" t="s">
        <v>38</v>
      </c>
      <c r="E435" t="s">
        <v>15</v>
      </c>
      <c r="F435" t="s">
        <v>29</v>
      </c>
      <c r="G435" s="114">
        <v>1140.45</v>
      </c>
      <c r="H435" s="1" t="s">
        <v>22</v>
      </c>
      <c r="J435">
        <v>2.5</v>
      </c>
      <c r="K435">
        <v>0.23269999999999999</v>
      </c>
      <c r="L435" s="114">
        <v>6.634277</v>
      </c>
      <c r="M435" s="114">
        <v>258.74843800000002</v>
      </c>
      <c r="N435" s="114">
        <v>265.38271500000002</v>
      </c>
      <c r="O435" t="s">
        <v>1135</v>
      </c>
    </row>
    <row r="436" spans="1:15" x14ac:dyDescent="0.25">
      <c r="A436" t="s">
        <v>479</v>
      </c>
      <c r="B436" s="159">
        <v>45450.935416666667</v>
      </c>
      <c r="C436" s="1" t="s">
        <v>24</v>
      </c>
      <c r="D436" s="1" t="s">
        <v>25</v>
      </c>
      <c r="E436" t="s">
        <v>28</v>
      </c>
      <c r="F436" t="s">
        <v>29</v>
      </c>
      <c r="G436" s="114">
        <v>440.2</v>
      </c>
      <c r="H436" s="1" t="s">
        <v>34</v>
      </c>
      <c r="I436" t="s">
        <v>78</v>
      </c>
      <c r="J436">
        <v>2.9</v>
      </c>
      <c r="K436">
        <v>1</v>
      </c>
      <c r="L436" s="114">
        <v>0</v>
      </c>
      <c r="M436" s="114">
        <v>0</v>
      </c>
      <c r="N436" s="114">
        <v>0</v>
      </c>
      <c r="O436" t="s">
        <v>1135</v>
      </c>
    </row>
    <row r="437" spans="1:15" x14ac:dyDescent="0.25">
      <c r="A437" t="s">
        <v>480</v>
      </c>
      <c r="B437" s="159">
        <v>45450.947916666664</v>
      </c>
      <c r="C437" s="1" t="s">
        <v>13</v>
      </c>
      <c r="D437" s="1" t="s">
        <v>14</v>
      </c>
      <c r="E437" t="s">
        <v>44</v>
      </c>
      <c r="F437" t="s">
        <v>16</v>
      </c>
      <c r="G437" s="114">
        <v>4978.47</v>
      </c>
      <c r="H437" s="1" t="s">
        <v>22</v>
      </c>
      <c r="J437">
        <v>2.1</v>
      </c>
      <c r="K437">
        <v>8.7400000000000005E-2</v>
      </c>
      <c r="L437" s="114">
        <v>9.13767</v>
      </c>
      <c r="M437" s="114">
        <v>425.98060800000002</v>
      </c>
      <c r="N437" s="114">
        <v>435.11827800000003</v>
      </c>
      <c r="O437" t="s">
        <v>1135</v>
      </c>
    </row>
    <row r="438" spans="1:15" x14ac:dyDescent="0.25">
      <c r="A438" t="s">
        <v>481</v>
      </c>
      <c r="B438" s="159">
        <v>45451.932638888888</v>
      </c>
      <c r="C438" s="1" t="s">
        <v>27</v>
      </c>
      <c r="D438" s="1" t="s">
        <v>25</v>
      </c>
      <c r="E438" t="s">
        <v>15</v>
      </c>
      <c r="F438" t="s">
        <v>45</v>
      </c>
      <c r="G438" s="114">
        <v>2620.37</v>
      </c>
      <c r="H438" s="1" t="s">
        <v>22</v>
      </c>
      <c r="J438">
        <v>2.5</v>
      </c>
      <c r="K438">
        <v>1</v>
      </c>
      <c r="L438" s="114">
        <v>65.510000000000005</v>
      </c>
      <c r="M438" s="114">
        <v>2554.86</v>
      </c>
      <c r="N438" s="114">
        <v>2620.3700000000003</v>
      </c>
      <c r="O438" t="s">
        <v>1135</v>
      </c>
    </row>
    <row r="439" spans="1:15" x14ac:dyDescent="0.25">
      <c r="A439" t="s">
        <v>482</v>
      </c>
      <c r="B439" s="159">
        <v>45453.083333333336</v>
      </c>
      <c r="C439" s="1" t="s">
        <v>43</v>
      </c>
      <c r="D439" s="1" t="s">
        <v>25</v>
      </c>
      <c r="E439" t="s">
        <v>33</v>
      </c>
      <c r="F439" t="s">
        <v>45</v>
      </c>
      <c r="G439" s="114">
        <v>4980.5200000000004</v>
      </c>
      <c r="H439" s="1" t="s">
        <v>22</v>
      </c>
      <c r="J439">
        <v>1.9</v>
      </c>
      <c r="K439">
        <v>1</v>
      </c>
      <c r="L439" s="114">
        <v>94.63</v>
      </c>
      <c r="M439" s="114">
        <v>4885.8900000000003</v>
      </c>
      <c r="N439" s="114">
        <v>4980.5200000000004</v>
      </c>
      <c r="O439" t="s">
        <v>1135</v>
      </c>
    </row>
    <row r="440" spans="1:15" x14ac:dyDescent="0.25">
      <c r="A440" t="s">
        <v>483</v>
      </c>
      <c r="B440" s="159">
        <v>45453.146527777775</v>
      </c>
      <c r="C440" s="1" t="s">
        <v>60</v>
      </c>
      <c r="D440" s="1" t="s">
        <v>25</v>
      </c>
      <c r="E440" t="s">
        <v>28</v>
      </c>
      <c r="F440" t="s">
        <v>16</v>
      </c>
      <c r="G440" s="114">
        <v>2067.5700000000002</v>
      </c>
      <c r="H440" s="1" t="s">
        <v>17</v>
      </c>
      <c r="J440">
        <v>2.9</v>
      </c>
      <c r="K440">
        <v>1</v>
      </c>
      <c r="L440" s="114">
        <v>0</v>
      </c>
      <c r="M440" s="114">
        <v>0</v>
      </c>
      <c r="N440" s="114">
        <v>0</v>
      </c>
      <c r="O440" t="s">
        <v>1135</v>
      </c>
    </row>
    <row r="441" spans="1:15" x14ac:dyDescent="0.25">
      <c r="A441" t="s">
        <v>484</v>
      </c>
      <c r="B441" s="159">
        <v>45453.157638888886</v>
      </c>
      <c r="C441" s="1" t="s">
        <v>13</v>
      </c>
      <c r="D441" s="1" t="s">
        <v>14</v>
      </c>
      <c r="E441" t="s">
        <v>44</v>
      </c>
      <c r="F441" t="s">
        <v>29</v>
      </c>
      <c r="G441" s="114">
        <v>1089.76</v>
      </c>
      <c r="H441" s="1" t="s">
        <v>34</v>
      </c>
      <c r="I441" t="s">
        <v>62</v>
      </c>
      <c r="J441">
        <v>2.1</v>
      </c>
      <c r="K441">
        <v>8.7400000000000005E-2</v>
      </c>
      <c r="L441" s="114">
        <v>0</v>
      </c>
      <c r="M441" s="114">
        <v>0</v>
      </c>
      <c r="N441" s="114">
        <v>0</v>
      </c>
      <c r="O441" t="s">
        <v>1135</v>
      </c>
    </row>
    <row r="442" spans="1:15" x14ac:dyDescent="0.25">
      <c r="A442" t="s">
        <v>485</v>
      </c>
      <c r="B442" s="159">
        <v>45453.722222222219</v>
      </c>
      <c r="C442" s="1" t="s">
        <v>37</v>
      </c>
      <c r="D442" s="1" t="s">
        <v>38</v>
      </c>
      <c r="E442" t="s">
        <v>15</v>
      </c>
      <c r="F442" t="s">
        <v>16</v>
      </c>
      <c r="G442" s="114">
        <v>4132.51</v>
      </c>
      <c r="H442" s="1" t="s">
        <v>22</v>
      </c>
      <c r="J442">
        <v>2.5</v>
      </c>
      <c r="K442">
        <v>0.23269999999999999</v>
      </c>
      <c r="L442" s="114">
        <v>24.040237000000001</v>
      </c>
      <c r="M442" s="114">
        <v>937.59483999999986</v>
      </c>
      <c r="N442" s="114">
        <v>961.63507699999991</v>
      </c>
      <c r="O442" t="s">
        <v>1135</v>
      </c>
    </row>
    <row r="443" spans="1:15" x14ac:dyDescent="0.25">
      <c r="A443" t="s">
        <v>486</v>
      </c>
      <c r="B443" s="159">
        <v>45453.910416666666</v>
      </c>
      <c r="C443" s="1" t="s">
        <v>47</v>
      </c>
      <c r="D443" s="1" t="s">
        <v>25</v>
      </c>
      <c r="E443" t="s">
        <v>39</v>
      </c>
      <c r="F443" t="s">
        <v>21</v>
      </c>
      <c r="G443" s="114">
        <v>488.21</v>
      </c>
      <c r="H443" s="1" t="s">
        <v>17</v>
      </c>
      <c r="J443">
        <v>3.2</v>
      </c>
      <c r="K443">
        <v>1</v>
      </c>
      <c r="L443" s="114">
        <v>0</v>
      </c>
      <c r="M443" s="114">
        <v>0</v>
      </c>
      <c r="N443" s="114">
        <v>0</v>
      </c>
      <c r="O443" t="s">
        <v>1135</v>
      </c>
    </row>
    <row r="444" spans="1:15" x14ac:dyDescent="0.25">
      <c r="A444" t="s">
        <v>487</v>
      </c>
      <c r="B444" s="159">
        <v>45453.916666666664</v>
      </c>
      <c r="C444" s="1" t="s">
        <v>60</v>
      </c>
      <c r="D444" s="1" t="s">
        <v>25</v>
      </c>
      <c r="E444" t="s">
        <v>44</v>
      </c>
      <c r="F444" t="s">
        <v>16</v>
      </c>
      <c r="G444" s="114">
        <v>2909.23</v>
      </c>
      <c r="H444" s="1" t="s">
        <v>22</v>
      </c>
      <c r="J444">
        <v>2.1</v>
      </c>
      <c r="K444">
        <v>1</v>
      </c>
      <c r="L444" s="114">
        <v>61.09</v>
      </c>
      <c r="M444" s="114">
        <v>2848.14</v>
      </c>
      <c r="N444" s="114">
        <v>2909.23</v>
      </c>
      <c r="O444" t="s">
        <v>1135</v>
      </c>
    </row>
    <row r="445" spans="1:15" x14ac:dyDescent="0.25">
      <c r="A445" t="s">
        <v>488</v>
      </c>
      <c r="B445" s="159">
        <v>45454.107638888891</v>
      </c>
      <c r="C445" s="1" t="s">
        <v>13</v>
      </c>
      <c r="D445" s="1" t="s">
        <v>14</v>
      </c>
      <c r="E445" t="s">
        <v>28</v>
      </c>
      <c r="F445" t="s">
        <v>29</v>
      </c>
      <c r="G445" s="114">
        <v>1594.81</v>
      </c>
      <c r="H445" s="1" t="s">
        <v>22</v>
      </c>
      <c r="J445">
        <v>2.9</v>
      </c>
      <c r="K445">
        <v>8.7400000000000005E-2</v>
      </c>
      <c r="L445" s="114">
        <v>4.0422500000000001</v>
      </c>
      <c r="M445" s="114">
        <v>135.344144</v>
      </c>
      <c r="N445" s="114">
        <v>139.386394</v>
      </c>
      <c r="O445" t="s">
        <v>1135</v>
      </c>
    </row>
    <row r="446" spans="1:15" x14ac:dyDescent="0.25">
      <c r="A446" t="s">
        <v>489</v>
      </c>
      <c r="B446" s="159">
        <v>45454.595138888886</v>
      </c>
      <c r="C446" s="1" t="s">
        <v>24</v>
      </c>
      <c r="D446" s="1" t="s">
        <v>25</v>
      </c>
      <c r="E446" t="s">
        <v>28</v>
      </c>
      <c r="F446" t="s">
        <v>29</v>
      </c>
      <c r="G446" s="114">
        <v>689.2</v>
      </c>
      <c r="H446" s="1" t="s">
        <v>17</v>
      </c>
      <c r="J446">
        <v>2.9</v>
      </c>
      <c r="K446">
        <v>1</v>
      </c>
      <c r="L446" s="114">
        <v>0</v>
      </c>
      <c r="M446" s="114">
        <v>0</v>
      </c>
      <c r="N446" s="114">
        <v>0</v>
      </c>
      <c r="O446" t="s">
        <v>1135</v>
      </c>
    </row>
    <row r="447" spans="1:15" x14ac:dyDescent="0.25">
      <c r="A447" t="s">
        <v>490</v>
      </c>
      <c r="B447" s="159">
        <v>45454.755555555559</v>
      </c>
      <c r="C447" s="1" t="s">
        <v>43</v>
      </c>
      <c r="D447" s="1" t="s">
        <v>25</v>
      </c>
      <c r="E447" t="s">
        <v>39</v>
      </c>
      <c r="F447" t="s">
        <v>21</v>
      </c>
      <c r="G447" s="114">
        <v>930.64</v>
      </c>
      <c r="H447" s="1" t="s">
        <v>17</v>
      </c>
      <c r="J447">
        <v>3.2</v>
      </c>
      <c r="K447">
        <v>1</v>
      </c>
      <c r="L447" s="114">
        <v>0</v>
      </c>
      <c r="M447" s="114">
        <v>0</v>
      </c>
      <c r="N447" s="114">
        <v>0</v>
      </c>
      <c r="O447" t="s">
        <v>1135</v>
      </c>
    </row>
    <row r="448" spans="1:15" x14ac:dyDescent="0.25">
      <c r="A448" t="s">
        <v>491</v>
      </c>
      <c r="B448" s="159">
        <v>45455.55972222222</v>
      </c>
      <c r="C448" s="1" t="s">
        <v>47</v>
      </c>
      <c r="D448" s="1" t="s">
        <v>25</v>
      </c>
      <c r="E448" t="s">
        <v>15</v>
      </c>
      <c r="F448" t="s">
        <v>21</v>
      </c>
      <c r="G448" s="114">
        <v>768.27</v>
      </c>
      <c r="H448" s="1" t="s">
        <v>22</v>
      </c>
      <c r="J448">
        <v>2.5</v>
      </c>
      <c r="K448">
        <v>1</v>
      </c>
      <c r="L448" s="114">
        <v>19.21</v>
      </c>
      <c r="M448" s="114">
        <v>749.06</v>
      </c>
      <c r="N448" s="114">
        <v>768.27</v>
      </c>
      <c r="O448" t="s">
        <v>1135</v>
      </c>
    </row>
    <row r="449" spans="1:15" x14ac:dyDescent="0.25">
      <c r="A449" t="s">
        <v>492</v>
      </c>
      <c r="B449" s="159">
        <v>45455.604166666664</v>
      </c>
      <c r="C449" s="1" t="s">
        <v>27</v>
      </c>
      <c r="D449" s="1" t="s">
        <v>25</v>
      </c>
      <c r="E449" t="s">
        <v>39</v>
      </c>
      <c r="F449" t="s">
        <v>29</v>
      </c>
      <c r="G449" s="114">
        <v>3440.46</v>
      </c>
      <c r="H449" s="1" t="s">
        <v>22</v>
      </c>
      <c r="J449">
        <v>3.2</v>
      </c>
      <c r="K449">
        <v>1</v>
      </c>
      <c r="L449" s="114">
        <v>110.09</v>
      </c>
      <c r="M449" s="114">
        <v>3330.37</v>
      </c>
      <c r="N449" s="114">
        <v>3440.46</v>
      </c>
      <c r="O449" t="s">
        <v>1135</v>
      </c>
    </row>
    <row r="450" spans="1:15" x14ac:dyDescent="0.25">
      <c r="A450" t="s">
        <v>493</v>
      </c>
      <c r="B450" s="159">
        <v>45455.73333333333</v>
      </c>
      <c r="C450" s="1" t="s">
        <v>27</v>
      </c>
      <c r="D450" s="1" t="s">
        <v>25</v>
      </c>
      <c r="E450" t="s">
        <v>39</v>
      </c>
      <c r="F450" t="s">
        <v>45</v>
      </c>
      <c r="G450" s="114">
        <v>3491.87</v>
      </c>
      <c r="H450" s="1" t="s">
        <v>22</v>
      </c>
      <c r="J450">
        <v>3.2</v>
      </c>
      <c r="K450">
        <v>1</v>
      </c>
      <c r="L450" s="114">
        <v>111.74</v>
      </c>
      <c r="M450" s="114">
        <v>3380.13</v>
      </c>
      <c r="N450" s="114">
        <v>3491.87</v>
      </c>
      <c r="O450" t="s">
        <v>1135</v>
      </c>
    </row>
    <row r="451" spans="1:15" x14ac:dyDescent="0.25">
      <c r="A451" t="s">
        <v>494</v>
      </c>
      <c r="B451" s="159">
        <v>45455.93472222222</v>
      </c>
      <c r="C451" s="1" t="s">
        <v>58</v>
      </c>
      <c r="D451" s="1" t="s">
        <v>25</v>
      </c>
      <c r="E451" t="s">
        <v>44</v>
      </c>
      <c r="F451" t="s">
        <v>21</v>
      </c>
      <c r="G451" s="114">
        <v>1888.54</v>
      </c>
      <c r="H451" s="1" t="s">
        <v>17</v>
      </c>
      <c r="J451">
        <v>2.1</v>
      </c>
      <c r="K451">
        <v>1</v>
      </c>
      <c r="L451" s="114">
        <v>0</v>
      </c>
      <c r="M451" s="114">
        <v>0</v>
      </c>
      <c r="N451" s="114">
        <v>0</v>
      </c>
      <c r="O451" t="s">
        <v>1135</v>
      </c>
    </row>
    <row r="452" spans="1:15" x14ac:dyDescent="0.25">
      <c r="A452" t="s">
        <v>495</v>
      </c>
      <c r="B452" s="159">
        <v>45456.283333333333</v>
      </c>
      <c r="C452" s="1" t="s">
        <v>60</v>
      </c>
      <c r="D452" s="1" t="s">
        <v>25</v>
      </c>
      <c r="E452" t="s">
        <v>33</v>
      </c>
      <c r="F452" t="s">
        <v>29</v>
      </c>
      <c r="G452" s="114">
        <v>1684.16</v>
      </c>
      <c r="H452" s="1" t="s">
        <v>22</v>
      </c>
      <c r="J452">
        <v>1.9</v>
      </c>
      <c r="K452">
        <v>1</v>
      </c>
      <c r="L452" s="114">
        <v>32</v>
      </c>
      <c r="M452" s="114">
        <v>1652.16</v>
      </c>
      <c r="N452" s="114">
        <v>1684.16</v>
      </c>
      <c r="O452" t="s">
        <v>1135</v>
      </c>
    </row>
    <row r="453" spans="1:15" x14ac:dyDescent="0.25">
      <c r="A453" t="s">
        <v>496</v>
      </c>
      <c r="B453" s="159">
        <v>45456.675000000003</v>
      </c>
      <c r="C453" s="1" t="s">
        <v>60</v>
      </c>
      <c r="D453" s="1" t="s">
        <v>25</v>
      </c>
      <c r="E453" t="s">
        <v>28</v>
      </c>
      <c r="F453" t="s">
        <v>29</v>
      </c>
      <c r="G453" s="114">
        <v>1139.07</v>
      </c>
      <c r="H453" s="1" t="s">
        <v>22</v>
      </c>
      <c r="J453">
        <v>2.9</v>
      </c>
      <c r="K453">
        <v>1</v>
      </c>
      <c r="L453" s="114">
        <v>33.03</v>
      </c>
      <c r="M453" s="114">
        <v>1106.04</v>
      </c>
      <c r="N453" s="114">
        <v>1139.07</v>
      </c>
      <c r="O453" t="s">
        <v>1135</v>
      </c>
    </row>
    <row r="454" spans="1:15" x14ac:dyDescent="0.25">
      <c r="A454" t="s">
        <v>497</v>
      </c>
      <c r="B454" s="159">
        <v>45457.328472222223</v>
      </c>
      <c r="C454" s="1" t="s">
        <v>31</v>
      </c>
      <c r="D454" s="1" t="s">
        <v>32</v>
      </c>
      <c r="E454" t="s">
        <v>39</v>
      </c>
      <c r="F454" t="s">
        <v>16</v>
      </c>
      <c r="G454" s="114">
        <v>1226.8800000000001</v>
      </c>
      <c r="H454" s="1" t="s">
        <v>34</v>
      </c>
      <c r="I454" t="s">
        <v>100</v>
      </c>
      <c r="J454">
        <v>3.2</v>
      </c>
      <c r="K454">
        <v>1.1801999999999999</v>
      </c>
      <c r="L454" s="114">
        <v>0</v>
      </c>
      <c r="M454" s="114">
        <v>0</v>
      </c>
      <c r="N454" s="114">
        <v>0</v>
      </c>
      <c r="O454" t="s">
        <v>1135</v>
      </c>
    </row>
    <row r="455" spans="1:15" x14ac:dyDescent="0.25">
      <c r="A455" t="s">
        <v>498</v>
      </c>
      <c r="B455" s="159">
        <v>45458.054166666669</v>
      </c>
      <c r="C455" s="1" t="s">
        <v>37</v>
      </c>
      <c r="D455" s="1" t="s">
        <v>38</v>
      </c>
      <c r="E455" t="s">
        <v>39</v>
      </c>
      <c r="F455" t="s">
        <v>16</v>
      </c>
      <c r="G455" s="114">
        <v>736.39</v>
      </c>
      <c r="H455" s="1" t="s">
        <v>17</v>
      </c>
      <c r="J455">
        <v>3.2</v>
      </c>
      <c r="K455">
        <v>0.23269999999999999</v>
      </c>
      <c r="L455" s="114">
        <v>0</v>
      </c>
      <c r="M455" s="114">
        <v>0</v>
      </c>
      <c r="N455" s="114">
        <v>0</v>
      </c>
      <c r="O455" t="s">
        <v>1135</v>
      </c>
    </row>
    <row r="456" spans="1:15" x14ac:dyDescent="0.25">
      <c r="A456" t="s">
        <v>499</v>
      </c>
      <c r="B456" s="159">
        <v>45458.632638888892</v>
      </c>
      <c r="C456" s="1" t="s">
        <v>43</v>
      </c>
      <c r="D456" s="1" t="s">
        <v>25</v>
      </c>
      <c r="E456" t="s">
        <v>33</v>
      </c>
      <c r="F456" t="s">
        <v>41</v>
      </c>
      <c r="G456" s="114">
        <v>2980.2</v>
      </c>
      <c r="H456" s="1" t="s">
        <v>22</v>
      </c>
      <c r="J456">
        <v>1.9</v>
      </c>
      <c r="K456">
        <v>1</v>
      </c>
      <c r="L456" s="114">
        <v>56.62</v>
      </c>
      <c r="M456" s="114">
        <v>2923.58</v>
      </c>
      <c r="N456" s="114">
        <v>2980.2</v>
      </c>
      <c r="O456" t="s">
        <v>1135</v>
      </c>
    </row>
    <row r="457" spans="1:15" x14ac:dyDescent="0.25">
      <c r="A457" t="s">
        <v>500</v>
      </c>
      <c r="B457" s="159">
        <v>45458.990277777775</v>
      </c>
      <c r="C457" s="1" t="s">
        <v>19</v>
      </c>
      <c r="D457" s="1" t="s">
        <v>20</v>
      </c>
      <c r="E457" t="s">
        <v>44</v>
      </c>
      <c r="F457" t="s">
        <v>29</v>
      </c>
      <c r="G457" s="114">
        <v>4317.76</v>
      </c>
      <c r="H457" s="1" t="s">
        <v>22</v>
      </c>
      <c r="J457">
        <v>2.1</v>
      </c>
      <c r="K457">
        <v>8.5999999999999993E-2</v>
      </c>
      <c r="L457" s="114">
        <v>7.7976199999999993</v>
      </c>
      <c r="M457" s="114">
        <v>363.52974</v>
      </c>
      <c r="N457" s="114">
        <v>371.32736</v>
      </c>
      <c r="O457" t="s">
        <v>1135</v>
      </c>
    </row>
    <row r="458" spans="1:15" x14ac:dyDescent="0.25">
      <c r="A458" t="s">
        <v>501</v>
      </c>
      <c r="B458" s="159">
        <v>45459.027777777781</v>
      </c>
      <c r="C458" s="1" t="s">
        <v>47</v>
      </c>
      <c r="D458" s="1" t="s">
        <v>25</v>
      </c>
      <c r="E458" t="s">
        <v>15</v>
      </c>
      <c r="F458" t="s">
        <v>16</v>
      </c>
      <c r="G458" s="114">
        <v>1148.4100000000001</v>
      </c>
      <c r="H458" s="1" t="s">
        <v>17</v>
      </c>
      <c r="J458">
        <v>2.5</v>
      </c>
      <c r="K458">
        <v>1</v>
      </c>
      <c r="L458" s="114">
        <v>0</v>
      </c>
      <c r="M458" s="114">
        <v>0</v>
      </c>
      <c r="N458" s="114">
        <v>0</v>
      </c>
      <c r="O458" t="s">
        <v>1135</v>
      </c>
    </row>
    <row r="459" spans="1:15" x14ac:dyDescent="0.25">
      <c r="A459" t="s">
        <v>502</v>
      </c>
      <c r="B459" s="159">
        <v>45459.567361111112</v>
      </c>
      <c r="C459" s="1" t="s">
        <v>24</v>
      </c>
      <c r="D459" s="1" t="s">
        <v>25</v>
      </c>
      <c r="E459" t="s">
        <v>33</v>
      </c>
      <c r="F459" t="s">
        <v>29</v>
      </c>
      <c r="G459" s="114">
        <v>4569.6400000000003</v>
      </c>
      <c r="H459" s="1" t="s">
        <v>22</v>
      </c>
      <c r="J459">
        <v>1.9</v>
      </c>
      <c r="K459">
        <v>1</v>
      </c>
      <c r="L459" s="114">
        <v>86.82</v>
      </c>
      <c r="M459" s="114">
        <v>4482.82</v>
      </c>
      <c r="N459" s="114">
        <v>4569.6399999999994</v>
      </c>
      <c r="O459" t="s">
        <v>1135</v>
      </c>
    </row>
    <row r="460" spans="1:15" x14ac:dyDescent="0.25">
      <c r="A460" t="s">
        <v>503</v>
      </c>
      <c r="B460" s="159">
        <v>45459.692361111112</v>
      </c>
      <c r="C460" s="1" t="s">
        <v>24</v>
      </c>
      <c r="D460" s="1" t="s">
        <v>25</v>
      </c>
      <c r="E460" t="s">
        <v>39</v>
      </c>
      <c r="F460" t="s">
        <v>16</v>
      </c>
      <c r="G460" s="114">
        <v>498.96</v>
      </c>
      <c r="H460" s="1" t="s">
        <v>34</v>
      </c>
      <c r="I460" t="s">
        <v>55</v>
      </c>
      <c r="J460">
        <v>3.2</v>
      </c>
      <c r="K460">
        <v>1</v>
      </c>
      <c r="L460" s="114">
        <v>0</v>
      </c>
      <c r="M460" s="114">
        <v>0</v>
      </c>
      <c r="N460" s="114">
        <v>0</v>
      </c>
      <c r="O460" t="s">
        <v>1135</v>
      </c>
    </row>
    <row r="461" spans="1:15" x14ac:dyDescent="0.25">
      <c r="A461" t="s">
        <v>504</v>
      </c>
      <c r="B461" s="159">
        <v>45460.149305555555</v>
      </c>
      <c r="C461" s="1" t="s">
        <v>58</v>
      </c>
      <c r="D461" s="1" t="s">
        <v>25</v>
      </c>
      <c r="E461" t="s">
        <v>39</v>
      </c>
      <c r="F461" t="s">
        <v>21</v>
      </c>
      <c r="G461" s="114">
        <v>3621.43</v>
      </c>
      <c r="H461" s="1" t="s">
        <v>17</v>
      </c>
      <c r="J461">
        <v>3.2</v>
      </c>
      <c r="K461">
        <v>1</v>
      </c>
      <c r="L461" s="114">
        <v>0</v>
      </c>
      <c r="M461" s="114">
        <v>0</v>
      </c>
      <c r="N461" s="114">
        <v>0</v>
      </c>
      <c r="O461" t="s">
        <v>1135</v>
      </c>
    </row>
    <row r="462" spans="1:15" x14ac:dyDescent="0.25">
      <c r="A462" t="s">
        <v>505</v>
      </c>
      <c r="B462" s="159">
        <v>45461.291666666664</v>
      </c>
      <c r="C462" s="1" t="s">
        <v>60</v>
      </c>
      <c r="D462" s="1" t="s">
        <v>25</v>
      </c>
      <c r="E462" t="s">
        <v>28</v>
      </c>
      <c r="F462" t="s">
        <v>41</v>
      </c>
      <c r="G462" s="114">
        <v>4177.8100000000004</v>
      </c>
      <c r="H462" s="1" t="s">
        <v>34</v>
      </c>
      <c r="I462" t="s">
        <v>35</v>
      </c>
      <c r="J462">
        <v>2.9</v>
      </c>
      <c r="K462">
        <v>1</v>
      </c>
      <c r="L462" s="114">
        <v>0</v>
      </c>
      <c r="M462" s="114">
        <v>0</v>
      </c>
      <c r="N462" s="114">
        <v>0</v>
      </c>
      <c r="O462" t="s">
        <v>1135</v>
      </c>
    </row>
    <row r="463" spans="1:15" x14ac:dyDescent="0.25">
      <c r="A463" t="s">
        <v>506</v>
      </c>
      <c r="B463" s="159">
        <v>45461.488888888889</v>
      </c>
      <c r="C463" s="1" t="s">
        <v>43</v>
      </c>
      <c r="D463" s="1" t="s">
        <v>25</v>
      </c>
      <c r="E463" t="s">
        <v>39</v>
      </c>
      <c r="F463" t="s">
        <v>21</v>
      </c>
      <c r="G463" s="114">
        <v>1264.5</v>
      </c>
      <c r="H463" s="1" t="s">
        <v>22</v>
      </c>
      <c r="J463">
        <v>3.2</v>
      </c>
      <c r="K463">
        <v>1</v>
      </c>
      <c r="L463" s="114">
        <v>40.46</v>
      </c>
      <c r="M463" s="114">
        <v>1224.04</v>
      </c>
      <c r="N463" s="114">
        <v>1264.5</v>
      </c>
      <c r="O463" t="s">
        <v>1135</v>
      </c>
    </row>
    <row r="464" spans="1:15" x14ac:dyDescent="0.25">
      <c r="A464" t="s">
        <v>507</v>
      </c>
      <c r="B464" s="159">
        <v>45462.109027777777</v>
      </c>
      <c r="C464" s="1" t="s">
        <v>27</v>
      </c>
      <c r="D464" s="1" t="s">
        <v>25</v>
      </c>
      <c r="E464" t="s">
        <v>39</v>
      </c>
      <c r="F464" t="s">
        <v>21</v>
      </c>
      <c r="G464" s="114">
        <v>4838.8100000000004</v>
      </c>
      <c r="H464" s="1" t="s">
        <v>34</v>
      </c>
      <c r="I464" t="s">
        <v>35</v>
      </c>
      <c r="J464">
        <v>3.2</v>
      </c>
      <c r="K464">
        <v>1</v>
      </c>
      <c r="L464" s="114">
        <v>0</v>
      </c>
      <c r="M464" s="114">
        <v>0</v>
      </c>
      <c r="N464" s="114">
        <v>0</v>
      </c>
      <c r="O464" t="s">
        <v>1135</v>
      </c>
    </row>
    <row r="465" spans="1:15" x14ac:dyDescent="0.25">
      <c r="A465" t="s">
        <v>508</v>
      </c>
      <c r="B465" s="159">
        <v>45462.642361111109</v>
      </c>
      <c r="C465" s="1" t="s">
        <v>27</v>
      </c>
      <c r="D465" s="1" t="s">
        <v>25</v>
      </c>
      <c r="E465" t="s">
        <v>28</v>
      </c>
      <c r="F465" t="s">
        <v>21</v>
      </c>
      <c r="G465" s="114">
        <v>3424.71</v>
      </c>
      <c r="H465" s="1" t="s">
        <v>22</v>
      </c>
      <c r="J465">
        <v>2.9</v>
      </c>
      <c r="K465">
        <v>1</v>
      </c>
      <c r="L465" s="114">
        <v>99.32</v>
      </c>
      <c r="M465" s="114">
        <v>3325.39</v>
      </c>
      <c r="N465" s="114">
        <v>3424.71</v>
      </c>
      <c r="O465" t="s">
        <v>1135</v>
      </c>
    </row>
    <row r="466" spans="1:15" x14ac:dyDescent="0.25">
      <c r="A466" t="s">
        <v>509</v>
      </c>
      <c r="B466" s="159">
        <v>45463.395138888889</v>
      </c>
      <c r="C466" s="1" t="s">
        <v>13</v>
      </c>
      <c r="D466" s="1" t="s">
        <v>14</v>
      </c>
      <c r="E466" t="s">
        <v>33</v>
      </c>
      <c r="F466" t="s">
        <v>16</v>
      </c>
      <c r="G466" s="114">
        <v>4447.41</v>
      </c>
      <c r="H466" s="1" t="s">
        <v>22</v>
      </c>
      <c r="J466">
        <v>1.9</v>
      </c>
      <c r="K466">
        <v>8.7400000000000005E-2</v>
      </c>
      <c r="L466" s="114">
        <v>7.3853000000000009</v>
      </c>
      <c r="M466" s="114">
        <v>381.31833399999999</v>
      </c>
      <c r="N466" s="114">
        <v>388.70363399999997</v>
      </c>
      <c r="O466" t="s">
        <v>1135</v>
      </c>
    </row>
    <row r="467" spans="1:15" x14ac:dyDescent="0.25">
      <c r="A467" t="s">
        <v>510</v>
      </c>
      <c r="B467" s="159">
        <v>45465.145138888889</v>
      </c>
      <c r="C467" s="1" t="s">
        <v>31</v>
      </c>
      <c r="D467" s="1" t="s">
        <v>32</v>
      </c>
      <c r="E467" t="s">
        <v>44</v>
      </c>
      <c r="F467" t="s">
        <v>29</v>
      </c>
      <c r="G467" s="114">
        <v>4302.1000000000004</v>
      </c>
      <c r="H467" s="1" t="s">
        <v>34</v>
      </c>
      <c r="I467" t="s">
        <v>100</v>
      </c>
      <c r="J467">
        <v>2.1</v>
      </c>
      <c r="K467">
        <v>1.1801999999999999</v>
      </c>
      <c r="L467" s="114">
        <v>0</v>
      </c>
      <c r="M467" s="114">
        <v>0</v>
      </c>
      <c r="N467" s="114">
        <v>0</v>
      </c>
      <c r="O467" t="s">
        <v>1135</v>
      </c>
    </row>
    <row r="468" spans="1:15" x14ac:dyDescent="0.25">
      <c r="A468" t="s">
        <v>511</v>
      </c>
      <c r="B468" s="159">
        <v>45465.73541666667</v>
      </c>
      <c r="C468" s="1" t="s">
        <v>60</v>
      </c>
      <c r="D468" s="1" t="s">
        <v>25</v>
      </c>
      <c r="E468" t="s">
        <v>44</v>
      </c>
      <c r="F468" t="s">
        <v>16</v>
      </c>
      <c r="G468" s="114">
        <v>4823.21</v>
      </c>
      <c r="H468" s="1" t="s">
        <v>22</v>
      </c>
      <c r="J468">
        <v>2.1</v>
      </c>
      <c r="K468">
        <v>1</v>
      </c>
      <c r="L468" s="114">
        <v>101.29</v>
      </c>
      <c r="M468" s="114">
        <v>4721.92</v>
      </c>
      <c r="N468" s="114">
        <v>4823.21</v>
      </c>
      <c r="O468" t="s">
        <v>1135</v>
      </c>
    </row>
    <row r="469" spans="1:15" x14ac:dyDescent="0.25">
      <c r="A469" t="s">
        <v>512</v>
      </c>
      <c r="B469" s="159">
        <v>45466.224305555559</v>
      </c>
      <c r="C469" s="1" t="s">
        <v>47</v>
      </c>
      <c r="D469" s="1" t="s">
        <v>25</v>
      </c>
      <c r="E469" t="s">
        <v>39</v>
      </c>
      <c r="F469" t="s">
        <v>45</v>
      </c>
      <c r="G469" s="114">
        <v>2985.16</v>
      </c>
      <c r="H469" s="1" t="s">
        <v>22</v>
      </c>
      <c r="J469">
        <v>3.2</v>
      </c>
      <c r="K469">
        <v>1</v>
      </c>
      <c r="L469" s="114">
        <v>95.53</v>
      </c>
      <c r="M469" s="114">
        <v>2889.63</v>
      </c>
      <c r="N469" s="114">
        <v>2985.1600000000003</v>
      </c>
      <c r="O469" t="s">
        <v>1135</v>
      </c>
    </row>
    <row r="470" spans="1:15" x14ac:dyDescent="0.25">
      <c r="A470" t="s">
        <v>513</v>
      </c>
      <c r="B470" s="159">
        <v>45466.495138888888</v>
      </c>
      <c r="C470" s="1" t="s">
        <v>47</v>
      </c>
      <c r="D470" s="1" t="s">
        <v>25</v>
      </c>
      <c r="E470" t="s">
        <v>33</v>
      </c>
      <c r="F470" t="s">
        <v>45</v>
      </c>
      <c r="G470" s="114">
        <v>1875.71</v>
      </c>
      <c r="H470" s="1" t="s">
        <v>22</v>
      </c>
      <c r="J470">
        <v>1.9</v>
      </c>
      <c r="K470">
        <v>1</v>
      </c>
      <c r="L470" s="114">
        <v>35.64</v>
      </c>
      <c r="M470" s="114">
        <v>1840.07</v>
      </c>
      <c r="N470" s="114">
        <v>1875.71</v>
      </c>
      <c r="O470" t="s">
        <v>1135</v>
      </c>
    </row>
    <row r="471" spans="1:15" x14ac:dyDescent="0.25">
      <c r="A471" t="s">
        <v>514</v>
      </c>
      <c r="B471" s="159">
        <v>45466.79791666667</v>
      </c>
      <c r="C471" s="1" t="s">
        <v>37</v>
      </c>
      <c r="D471" s="1" t="s">
        <v>38</v>
      </c>
      <c r="E471" t="s">
        <v>39</v>
      </c>
      <c r="F471" t="s">
        <v>21</v>
      </c>
      <c r="G471" s="114">
        <v>4877.12</v>
      </c>
      <c r="H471" s="1" t="s">
        <v>22</v>
      </c>
      <c r="J471">
        <v>3.2</v>
      </c>
      <c r="K471">
        <v>0.23269999999999999</v>
      </c>
      <c r="L471" s="114">
        <v>36.317488999999995</v>
      </c>
      <c r="M471" s="114">
        <v>1098.5883349999999</v>
      </c>
      <c r="N471" s="114">
        <v>1134.9058239999999</v>
      </c>
      <c r="O471" t="s">
        <v>1135</v>
      </c>
    </row>
    <row r="472" spans="1:15" x14ac:dyDescent="0.25">
      <c r="A472" t="s">
        <v>515</v>
      </c>
      <c r="B472" s="159">
        <v>45467.861805555556</v>
      </c>
      <c r="C472" s="1" t="s">
        <v>37</v>
      </c>
      <c r="D472" s="1" t="s">
        <v>38</v>
      </c>
      <c r="E472" t="s">
        <v>15</v>
      </c>
      <c r="F472" t="s">
        <v>45</v>
      </c>
      <c r="G472" s="114">
        <v>3332.62</v>
      </c>
      <c r="H472" s="1" t="s">
        <v>17</v>
      </c>
      <c r="J472">
        <v>2.5</v>
      </c>
      <c r="K472">
        <v>0.23269999999999999</v>
      </c>
      <c r="L472" s="114">
        <v>0</v>
      </c>
      <c r="M472" s="114">
        <v>0</v>
      </c>
      <c r="N472" s="114">
        <v>0</v>
      </c>
      <c r="O472" t="s">
        <v>1135</v>
      </c>
    </row>
    <row r="473" spans="1:15" x14ac:dyDescent="0.25">
      <c r="A473" t="s">
        <v>516</v>
      </c>
      <c r="B473" s="159">
        <v>45468.018055555556</v>
      </c>
      <c r="C473" s="1" t="s">
        <v>31</v>
      </c>
      <c r="D473" s="1" t="s">
        <v>32</v>
      </c>
      <c r="E473" t="s">
        <v>39</v>
      </c>
      <c r="F473" t="s">
        <v>45</v>
      </c>
      <c r="G473" s="114">
        <v>1002.8</v>
      </c>
      <c r="H473" s="1" t="s">
        <v>17</v>
      </c>
      <c r="J473">
        <v>3.2</v>
      </c>
      <c r="K473">
        <v>1.1801999999999999</v>
      </c>
      <c r="L473" s="114">
        <v>0</v>
      </c>
      <c r="M473" s="114">
        <v>0</v>
      </c>
      <c r="N473" s="114">
        <v>0</v>
      </c>
      <c r="O473" t="s">
        <v>1135</v>
      </c>
    </row>
    <row r="474" spans="1:15" x14ac:dyDescent="0.25">
      <c r="A474" t="s">
        <v>517</v>
      </c>
      <c r="B474" s="159">
        <v>45468.109027777777</v>
      </c>
      <c r="C474" s="1" t="s">
        <v>60</v>
      </c>
      <c r="D474" s="1" t="s">
        <v>25</v>
      </c>
      <c r="E474" t="s">
        <v>33</v>
      </c>
      <c r="F474" t="s">
        <v>45</v>
      </c>
      <c r="G474" s="114">
        <v>2026.95</v>
      </c>
      <c r="H474" s="1" t="s">
        <v>22</v>
      </c>
      <c r="J474">
        <v>1.9</v>
      </c>
      <c r="K474">
        <v>1</v>
      </c>
      <c r="L474" s="114">
        <v>38.51</v>
      </c>
      <c r="M474" s="114">
        <v>1988.44</v>
      </c>
      <c r="N474" s="114">
        <v>2026.95</v>
      </c>
      <c r="O474" t="s">
        <v>1135</v>
      </c>
    </row>
    <row r="475" spans="1:15" x14ac:dyDescent="0.25">
      <c r="A475" t="s">
        <v>518</v>
      </c>
      <c r="B475" s="159">
        <v>45468.323611111111</v>
      </c>
      <c r="C475" s="1" t="s">
        <v>31</v>
      </c>
      <c r="D475" s="1" t="s">
        <v>32</v>
      </c>
      <c r="E475" t="s">
        <v>33</v>
      </c>
      <c r="F475" t="s">
        <v>21</v>
      </c>
      <c r="G475" s="114">
        <v>675.71</v>
      </c>
      <c r="H475" s="1" t="s">
        <v>22</v>
      </c>
      <c r="J475">
        <v>1.9</v>
      </c>
      <c r="K475">
        <v>1.1801999999999999</v>
      </c>
      <c r="L475" s="114">
        <v>15.153767999999999</v>
      </c>
      <c r="M475" s="114">
        <v>782.31917399999998</v>
      </c>
      <c r="N475" s="114">
        <v>797.47294199999999</v>
      </c>
      <c r="O475" t="s">
        <v>1135</v>
      </c>
    </row>
    <row r="476" spans="1:15" x14ac:dyDescent="0.25">
      <c r="A476" t="s">
        <v>519</v>
      </c>
      <c r="B476" s="159">
        <v>45468.395833333336</v>
      </c>
      <c r="C476" s="1" t="s">
        <v>13</v>
      </c>
      <c r="D476" s="1" t="s">
        <v>14</v>
      </c>
      <c r="E476" t="s">
        <v>28</v>
      </c>
      <c r="F476" t="s">
        <v>16</v>
      </c>
      <c r="G476" s="114">
        <v>4735.32</v>
      </c>
      <c r="H476" s="1" t="s">
        <v>34</v>
      </c>
      <c r="I476" t="s">
        <v>62</v>
      </c>
      <c r="J476">
        <v>2.9</v>
      </c>
      <c r="K476">
        <v>8.7400000000000005E-2</v>
      </c>
      <c r="L476" s="114">
        <v>0</v>
      </c>
      <c r="M476" s="114">
        <v>0</v>
      </c>
      <c r="N476" s="114">
        <v>0</v>
      </c>
      <c r="O476" t="s">
        <v>1135</v>
      </c>
    </row>
    <row r="477" spans="1:15" x14ac:dyDescent="0.25">
      <c r="A477" t="s">
        <v>520</v>
      </c>
      <c r="B477" s="159">
        <v>45469.904861111114</v>
      </c>
      <c r="C477" s="1" t="s">
        <v>58</v>
      </c>
      <c r="D477" s="1" t="s">
        <v>25</v>
      </c>
      <c r="E477" t="s">
        <v>44</v>
      </c>
      <c r="F477" t="s">
        <v>45</v>
      </c>
      <c r="G477" s="114">
        <v>4461.3900000000003</v>
      </c>
      <c r="H477" s="1" t="s">
        <v>17</v>
      </c>
      <c r="J477">
        <v>2.1</v>
      </c>
      <c r="K477">
        <v>1</v>
      </c>
      <c r="L477" s="114">
        <v>0</v>
      </c>
      <c r="M477" s="114">
        <v>0</v>
      </c>
      <c r="N477" s="114">
        <v>0</v>
      </c>
      <c r="O477" t="s">
        <v>1135</v>
      </c>
    </row>
    <row r="478" spans="1:15" x14ac:dyDescent="0.25">
      <c r="A478" t="s">
        <v>521</v>
      </c>
      <c r="B478" s="159">
        <v>45471.368055555555</v>
      </c>
      <c r="C478" s="1" t="s">
        <v>31</v>
      </c>
      <c r="D478" s="1" t="s">
        <v>32</v>
      </c>
      <c r="E478" t="s">
        <v>28</v>
      </c>
      <c r="F478" t="s">
        <v>41</v>
      </c>
      <c r="G478" s="114">
        <v>1935.83</v>
      </c>
      <c r="H478" s="1" t="s">
        <v>34</v>
      </c>
      <c r="I478" t="s">
        <v>35</v>
      </c>
      <c r="J478">
        <v>2.9</v>
      </c>
      <c r="K478">
        <v>1.1801999999999999</v>
      </c>
      <c r="L478" s="114">
        <v>0</v>
      </c>
      <c r="M478" s="114">
        <v>0</v>
      </c>
      <c r="N478" s="114">
        <v>0</v>
      </c>
      <c r="O478" t="s">
        <v>1135</v>
      </c>
    </row>
    <row r="479" spans="1:15" x14ac:dyDescent="0.25">
      <c r="A479" t="s">
        <v>522</v>
      </c>
      <c r="B479" s="159">
        <v>45471.394444444442</v>
      </c>
      <c r="C479" s="1" t="s">
        <v>13</v>
      </c>
      <c r="D479" s="1" t="s">
        <v>14</v>
      </c>
      <c r="E479" t="s">
        <v>28</v>
      </c>
      <c r="F479" t="s">
        <v>29</v>
      </c>
      <c r="G479" s="114">
        <v>3641.99</v>
      </c>
      <c r="H479" s="1" t="s">
        <v>34</v>
      </c>
      <c r="I479" t="s">
        <v>55</v>
      </c>
      <c r="J479">
        <v>2.9</v>
      </c>
      <c r="K479">
        <v>8.7400000000000005E-2</v>
      </c>
      <c r="L479" s="114">
        <v>0</v>
      </c>
      <c r="M479" s="114">
        <v>0</v>
      </c>
      <c r="N479" s="114">
        <v>0</v>
      </c>
      <c r="O479" t="s">
        <v>1135</v>
      </c>
    </row>
    <row r="480" spans="1:15" x14ac:dyDescent="0.25">
      <c r="A480" t="s">
        <v>523</v>
      </c>
      <c r="B480" s="159">
        <v>45471.785416666666</v>
      </c>
      <c r="C480" s="1" t="s">
        <v>19</v>
      </c>
      <c r="D480" s="1" t="s">
        <v>20</v>
      </c>
      <c r="E480" t="s">
        <v>28</v>
      </c>
      <c r="F480" t="s">
        <v>16</v>
      </c>
      <c r="G480" s="114">
        <v>678.08</v>
      </c>
      <c r="H480" s="1" t="s">
        <v>34</v>
      </c>
      <c r="I480" t="s">
        <v>35</v>
      </c>
      <c r="J480">
        <v>2.9</v>
      </c>
      <c r="K480">
        <v>8.5999999999999993E-2</v>
      </c>
      <c r="L480" s="114">
        <v>0</v>
      </c>
      <c r="M480" s="114">
        <v>0</v>
      </c>
      <c r="N480" s="114">
        <v>0</v>
      </c>
      <c r="O480" t="s">
        <v>1135</v>
      </c>
    </row>
    <row r="481" spans="1:15" x14ac:dyDescent="0.25">
      <c r="A481" t="s">
        <v>524</v>
      </c>
      <c r="B481" s="159">
        <v>45471.827777777777</v>
      </c>
      <c r="C481" s="1" t="s">
        <v>43</v>
      </c>
      <c r="D481" s="1" t="s">
        <v>25</v>
      </c>
      <c r="E481" t="s">
        <v>33</v>
      </c>
      <c r="F481" t="s">
        <v>29</v>
      </c>
      <c r="G481" s="114">
        <v>2207.91</v>
      </c>
      <c r="H481" s="1" t="s">
        <v>22</v>
      </c>
      <c r="J481">
        <v>1.9</v>
      </c>
      <c r="K481">
        <v>1</v>
      </c>
      <c r="L481" s="114">
        <v>41.95</v>
      </c>
      <c r="M481" s="114">
        <v>2165.96</v>
      </c>
      <c r="N481" s="114">
        <v>2207.91</v>
      </c>
      <c r="O481" t="s">
        <v>1135</v>
      </c>
    </row>
    <row r="482" spans="1:15" x14ac:dyDescent="0.25">
      <c r="A482" t="s">
        <v>525</v>
      </c>
      <c r="B482" s="159">
        <v>45472.387499999997</v>
      </c>
      <c r="C482" s="1" t="s">
        <v>27</v>
      </c>
      <c r="D482" s="1" t="s">
        <v>25</v>
      </c>
      <c r="E482" t="s">
        <v>28</v>
      </c>
      <c r="F482" t="s">
        <v>45</v>
      </c>
      <c r="G482" s="114">
        <v>3749.63</v>
      </c>
      <c r="H482" s="1" t="s">
        <v>17</v>
      </c>
      <c r="J482">
        <v>2.9</v>
      </c>
      <c r="K482">
        <v>1</v>
      </c>
      <c r="L482" s="114">
        <v>0</v>
      </c>
      <c r="M482" s="114">
        <v>0</v>
      </c>
      <c r="N482" s="114">
        <v>0</v>
      </c>
      <c r="O482" t="s">
        <v>1135</v>
      </c>
    </row>
    <row r="483" spans="1:15" x14ac:dyDescent="0.25">
      <c r="A483" t="s">
        <v>526</v>
      </c>
      <c r="B483" s="159">
        <v>45472.568055555559</v>
      </c>
      <c r="C483" s="1" t="s">
        <v>13</v>
      </c>
      <c r="D483" s="1" t="s">
        <v>14</v>
      </c>
      <c r="E483" t="s">
        <v>39</v>
      </c>
      <c r="F483" t="s">
        <v>16</v>
      </c>
      <c r="G483" s="114">
        <v>3479.1</v>
      </c>
      <c r="H483" s="1" t="s">
        <v>22</v>
      </c>
      <c r="J483">
        <v>3.2</v>
      </c>
      <c r="K483">
        <v>8.7400000000000005E-2</v>
      </c>
      <c r="L483" s="114">
        <v>9.7302420000000005</v>
      </c>
      <c r="M483" s="114">
        <v>294.343098</v>
      </c>
      <c r="N483" s="114">
        <v>304.07333999999997</v>
      </c>
      <c r="O483" t="s">
        <v>1135</v>
      </c>
    </row>
    <row r="484" spans="1:15" x14ac:dyDescent="0.25">
      <c r="A484" t="s">
        <v>527</v>
      </c>
      <c r="B484" s="159">
        <v>45472.729166666664</v>
      </c>
      <c r="C484" s="1" t="s">
        <v>19</v>
      </c>
      <c r="D484" s="1" t="s">
        <v>20</v>
      </c>
      <c r="E484" t="s">
        <v>33</v>
      </c>
      <c r="F484" t="s">
        <v>16</v>
      </c>
      <c r="G484" s="114">
        <v>3374.47</v>
      </c>
      <c r="H484" s="1" t="s">
        <v>17</v>
      </c>
      <c r="J484">
        <v>1.9</v>
      </c>
      <c r="K484">
        <v>8.5999999999999993E-2</v>
      </c>
      <c r="L484" s="114">
        <v>0</v>
      </c>
      <c r="M484" s="114">
        <v>0</v>
      </c>
      <c r="N484" s="114">
        <v>0</v>
      </c>
      <c r="O484" t="s">
        <v>1135</v>
      </c>
    </row>
    <row r="485" spans="1:15" x14ac:dyDescent="0.25">
      <c r="A485" t="s">
        <v>528</v>
      </c>
      <c r="B485" s="159">
        <v>45472.892361111109</v>
      </c>
      <c r="C485" s="1" t="s">
        <v>58</v>
      </c>
      <c r="D485" s="1" t="s">
        <v>25</v>
      </c>
      <c r="E485" t="s">
        <v>33</v>
      </c>
      <c r="F485" t="s">
        <v>29</v>
      </c>
      <c r="G485" s="114">
        <v>2593.54</v>
      </c>
      <c r="H485" s="1" t="s">
        <v>22</v>
      </c>
      <c r="J485">
        <v>1.9</v>
      </c>
      <c r="K485">
        <v>1</v>
      </c>
      <c r="L485" s="114">
        <v>49.28</v>
      </c>
      <c r="M485" s="114">
        <v>2544.2600000000002</v>
      </c>
      <c r="N485" s="114">
        <v>2593.5400000000004</v>
      </c>
      <c r="O485" t="s">
        <v>1135</v>
      </c>
    </row>
    <row r="486" spans="1:15" x14ac:dyDescent="0.25">
      <c r="A486" t="s">
        <v>529</v>
      </c>
      <c r="B486" s="159">
        <v>45473.089583333334</v>
      </c>
      <c r="C486" s="1" t="s">
        <v>47</v>
      </c>
      <c r="D486" s="1" t="s">
        <v>25</v>
      </c>
      <c r="E486" t="s">
        <v>28</v>
      </c>
      <c r="F486" t="s">
        <v>21</v>
      </c>
      <c r="G486" s="114">
        <v>4918.26</v>
      </c>
      <c r="H486" s="1" t="s">
        <v>17</v>
      </c>
      <c r="J486">
        <v>2.9</v>
      </c>
      <c r="K486">
        <v>1</v>
      </c>
      <c r="L486" s="114">
        <v>0</v>
      </c>
      <c r="M486" s="114">
        <v>0</v>
      </c>
      <c r="N486" s="114">
        <v>0</v>
      </c>
      <c r="O486" t="s">
        <v>1135</v>
      </c>
    </row>
    <row r="487" spans="1:15" x14ac:dyDescent="0.25">
      <c r="A487" t="s">
        <v>530</v>
      </c>
      <c r="B487" s="159">
        <v>45474.097222222219</v>
      </c>
      <c r="C487" s="1" t="s">
        <v>60</v>
      </c>
      <c r="D487" s="1" t="s">
        <v>25</v>
      </c>
      <c r="E487" t="s">
        <v>33</v>
      </c>
      <c r="F487" t="s">
        <v>29</v>
      </c>
      <c r="G487" s="114">
        <v>2921.32</v>
      </c>
      <c r="H487" s="1" t="s">
        <v>22</v>
      </c>
      <c r="J487">
        <v>1.9</v>
      </c>
      <c r="K487">
        <v>1</v>
      </c>
      <c r="L487" s="114">
        <v>55.51</v>
      </c>
      <c r="M487" s="114">
        <v>2865.81</v>
      </c>
      <c r="N487" s="114">
        <v>2921.32</v>
      </c>
      <c r="O487" t="s">
        <v>1136</v>
      </c>
    </row>
    <row r="488" spans="1:15" x14ac:dyDescent="0.25">
      <c r="A488" t="s">
        <v>531</v>
      </c>
      <c r="B488" s="159">
        <v>45474.881944444445</v>
      </c>
      <c r="C488" s="1" t="s">
        <v>27</v>
      </c>
      <c r="D488" s="1" t="s">
        <v>25</v>
      </c>
      <c r="E488" t="s">
        <v>33</v>
      </c>
      <c r="F488" t="s">
        <v>41</v>
      </c>
      <c r="G488" s="114">
        <v>4036.01</v>
      </c>
      <c r="H488" s="1" t="s">
        <v>22</v>
      </c>
      <c r="J488">
        <v>1.9</v>
      </c>
      <c r="K488">
        <v>1</v>
      </c>
      <c r="L488" s="114">
        <v>76.680000000000007</v>
      </c>
      <c r="M488" s="114">
        <v>3959.33</v>
      </c>
      <c r="N488" s="114">
        <v>4036.0099999999998</v>
      </c>
      <c r="O488" t="s">
        <v>1136</v>
      </c>
    </row>
    <row r="489" spans="1:15" x14ac:dyDescent="0.25">
      <c r="A489" t="s">
        <v>532</v>
      </c>
      <c r="B489" s="159">
        <v>45475.61041666667</v>
      </c>
      <c r="C489" s="1" t="s">
        <v>47</v>
      </c>
      <c r="D489" s="1" t="s">
        <v>25</v>
      </c>
      <c r="E489" t="s">
        <v>28</v>
      </c>
      <c r="F489" t="s">
        <v>21</v>
      </c>
      <c r="G489" s="114">
        <v>4076.67</v>
      </c>
      <c r="H489" s="1" t="s">
        <v>22</v>
      </c>
      <c r="J489">
        <v>2.9</v>
      </c>
      <c r="K489">
        <v>1</v>
      </c>
      <c r="L489" s="114">
        <v>118.22</v>
      </c>
      <c r="M489" s="114">
        <v>3958.45</v>
      </c>
      <c r="N489" s="114">
        <v>4076.6699999999996</v>
      </c>
      <c r="O489" t="s">
        <v>1136</v>
      </c>
    </row>
    <row r="490" spans="1:15" x14ac:dyDescent="0.25">
      <c r="A490" t="s">
        <v>534</v>
      </c>
      <c r="B490" s="159">
        <v>45475.93472222222</v>
      </c>
      <c r="C490" s="1" t="s">
        <v>47</v>
      </c>
      <c r="D490" s="1" t="s">
        <v>25</v>
      </c>
      <c r="E490" t="s">
        <v>44</v>
      </c>
      <c r="F490" t="s">
        <v>41</v>
      </c>
      <c r="G490" s="114">
        <v>2745.21</v>
      </c>
      <c r="H490" s="1" t="s">
        <v>22</v>
      </c>
      <c r="J490">
        <v>2.1</v>
      </c>
      <c r="K490">
        <v>1</v>
      </c>
      <c r="L490" s="114">
        <v>57.65</v>
      </c>
      <c r="M490" s="114">
        <v>2687.56</v>
      </c>
      <c r="N490" s="114">
        <v>2745.21</v>
      </c>
      <c r="O490" t="s">
        <v>1136</v>
      </c>
    </row>
    <row r="491" spans="1:15" x14ac:dyDescent="0.25">
      <c r="A491" t="s">
        <v>535</v>
      </c>
      <c r="B491" s="159">
        <v>45476.54791666667</v>
      </c>
      <c r="C491" s="1" t="s">
        <v>47</v>
      </c>
      <c r="D491" s="1" t="s">
        <v>25</v>
      </c>
      <c r="E491" t="s">
        <v>44</v>
      </c>
      <c r="F491" t="s">
        <v>29</v>
      </c>
      <c r="G491" s="114">
        <v>67.900000000000006</v>
      </c>
      <c r="H491" s="1" t="s">
        <v>22</v>
      </c>
      <c r="J491">
        <v>2.1</v>
      </c>
      <c r="K491">
        <v>1</v>
      </c>
      <c r="L491" s="114">
        <v>1.43</v>
      </c>
      <c r="M491" s="114">
        <v>66.47</v>
      </c>
      <c r="N491" s="114">
        <v>67.900000000000006</v>
      </c>
      <c r="O491" t="s">
        <v>1136</v>
      </c>
    </row>
    <row r="492" spans="1:15" x14ac:dyDescent="0.25">
      <c r="A492" t="s">
        <v>533</v>
      </c>
      <c r="B492" s="159">
        <v>45475.879166666666</v>
      </c>
      <c r="C492" s="1" t="s">
        <v>37</v>
      </c>
      <c r="D492" s="1" t="s">
        <v>38</v>
      </c>
      <c r="E492" t="s">
        <v>33</v>
      </c>
      <c r="F492" t="s">
        <v>29</v>
      </c>
      <c r="G492" s="114">
        <v>2453.2199999999998</v>
      </c>
      <c r="H492" s="1" t="s">
        <v>34</v>
      </c>
      <c r="I492" t="s">
        <v>55</v>
      </c>
      <c r="J492">
        <v>1.9</v>
      </c>
      <c r="K492">
        <v>0.23269999999999999</v>
      </c>
      <c r="L492" s="114">
        <v>0</v>
      </c>
      <c r="M492" s="114">
        <v>0</v>
      </c>
      <c r="N492" s="114">
        <v>0</v>
      </c>
      <c r="O492" t="s">
        <v>1136</v>
      </c>
    </row>
    <row r="493" spans="1:15" x14ac:dyDescent="0.25">
      <c r="A493" t="s">
        <v>536</v>
      </c>
      <c r="B493" s="159">
        <v>45477.692361111112</v>
      </c>
      <c r="C493" s="1" t="s">
        <v>31</v>
      </c>
      <c r="D493" s="1" t="s">
        <v>32</v>
      </c>
      <c r="E493" t="s">
        <v>15</v>
      </c>
      <c r="F493" t="s">
        <v>45</v>
      </c>
      <c r="G493" s="114">
        <v>1115.53</v>
      </c>
      <c r="H493" s="1" t="s">
        <v>17</v>
      </c>
      <c r="J493">
        <v>2.5</v>
      </c>
      <c r="K493">
        <v>1.1801999999999999</v>
      </c>
      <c r="L493" s="114">
        <v>0</v>
      </c>
      <c r="M493" s="114">
        <v>0</v>
      </c>
      <c r="N493" s="114">
        <v>0</v>
      </c>
      <c r="O493" t="s">
        <v>1136</v>
      </c>
    </row>
    <row r="494" spans="1:15" x14ac:dyDescent="0.25">
      <c r="A494" t="s">
        <v>537</v>
      </c>
      <c r="B494" s="159">
        <v>45477.822916666664</v>
      </c>
      <c r="C494" s="1" t="s">
        <v>31</v>
      </c>
      <c r="D494" s="1" t="s">
        <v>32</v>
      </c>
      <c r="E494" t="s">
        <v>44</v>
      </c>
      <c r="F494" t="s">
        <v>16</v>
      </c>
      <c r="G494" s="114">
        <v>4057.75</v>
      </c>
      <c r="H494" s="1" t="s">
        <v>22</v>
      </c>
      <c r="J494">
        <v>2.1</v>
      </c>
      <c r="K494">
        <v>1.1801999999999999</v>
      </c>
      <c r="L494" s="114">
        <v>100.56484199999998</v>
      </c>
      <c r="M494" s="114">
        <v>4688.3917079999992</v>
      </c>
      <c r="N494" s="114">
        <v>4788.956549999999</v>
      </c>
      <c r="O494" t="s">
        <v>1136</v>
      </c>
    </row>
    <row r="495" spans="1:15" x14ac:dyDescent="0.25">
      <c r="A495" t="s">
        <v>538</v>
      </c>
      <c r="B495" s="159">
        <v>45478.077777777777</v>
      </c>
      <c r="C495" s="1" t="s">
        <v>24</v>
      </c>
      <c r="D495" s="1" t="s">
        <v>25</v>
      </c>
      <c r="E495" t="s">
        <v>15</v>
      </c>
      <c r="F495" t="s">
        <v>21</v>
      </c>
      <c r="G495" s="114">
        <v>2805.15</v>
      </c>
      <c r="H495" s="1" t="s">
        <v>17</v>
      </c>
      <c r="J495">
        <v>2.5</v>
      </c>
      <c r="K495">
        <v>1</v>
      </c>
      <c r="L495" s="114">
        <v>0</v>
      </c>
      <c r="M495" s="114">
        <v>0</v>
      </c>
      <c r="N495" s="114">
        <v>0</v>
      </c>
      <c r="O495" t="s">
        <v>1136</v>
      </c>
    </row>
    <row r="496" spans="1:15" x14ac:dyDescent="0.25">
      <c r="A496" t="s">
        <v>539</v>
      </c>
      <c r="B496" s="159">
        <v>45478.165972222225</v>
      </c>
      <c r="C496" s="1" t="s">
        <v>19</v>
      </c>
      <c r="D496" s="1" t="s">
        <v>20</v>
      </c>
      <c r="E496" t="s">
        <v>44</v>
      </c>
      <c r="F496" t="s">
        <v>45</v>
      </c>
      <c r="G496" s="114">
        <v>4986.3500000000004</v>
      </c>
      <c r="H496" s="1" t="s">
        <v>22</v>
      </c>
      <c r="J496">
        <v>2.1</v>
      </c>
      <c r="K496">
        <v>8.5999999999999993E-2</v>
      </c>
      <c r="L496" s="114">
        <v>9.0050599999999985</v>
      </c>
      <c r="M496" s="114">
        <v>419.82103999999998</v>
      </c>
      <c r="N496" s="114">
        <v>428.8261</v>
      </c>
      <c r="O496" t="s">
        <v>1136</v>
      </c>
    </row>
    <row r="497" spans="1:15" x14ac:dyDescent="0.25">
      <c r="A497" t="s">
        <v>540</v>
      </c>
      <c r="B497" s="159">
        <v>45478.589583333334</v>
      </c>
      <c r="C497" s="1" t="s">
        <v>24</v>
      </c>
      <c r="D497" s="1" t="s">
        <v>25</v>
      </c>
      <c r="E497" t="s">
        <v>44</v>
      </c>
      <c r="F497" t="s">
        <v>21</v>
      </c>
      <c r="G497" s="114">
        <v>4222.17</v>
      </c>
      <c r="H497" s="1" t="s">
        <v>34</v>
      </c>
      <c r="I497" t="s">
        <v>62</v>
      </c>
      <c r="J497">
        <v>2.1</v>
      </c>
      <c r="K497">
        <v>1</v>
      </c>
      <c r="L497" s="114">
        <v>0</v>
      </c>
      <c r="M497" s="114">
        <v>0</v>
      </c>
      <c r="N497" s="114">
        <v>0</v>
      </c>
      <c r="O497" t="s">
        <v>1136</v>
      </c>
    </row>
    <row r="498" spans="1:15" x14ac:dyDescent="0.25">
      <c r="A498" t="s">
        <v>541</v>
      </c>
      <c r="B498" s="159">
        <v>45479.059027777781</v>
      </c>
      <c r="C498" s="1" t="s">
        <v>60</v>
      </c>
      <c r="D498" s="1" t="s">
        <v>25</v>
      </c>
      <c r="E498" t="s">
        <v>33</v>
      </c>
      <c r="F498" t="s">
        <v>45</v>
      </c>
      <c r="G498" s="114">
        <v>981.33</v>
      </c>
      <c r="H498" s="1" t="s">
        <v>17</v>
      </c>
      <c r="J498">
        <v>1.9</v>
      </c>
      <c r="K498">
        <v>1</v>
      </c>
      <c r="L498" s="114">
        <v>0</v>
      </c>
      <c r="M498" s="114">
        <v>0</v>
      </c>
      <c r="N498" s="114">
        <v>0</v>
      </c>
      <c r="O498" t="s">
        <v>1136</v>
      </c>
    </row>
    <row r="499" spans="1:15" x14ac:dyDescent="0.25">
      <c r="A499" t="s">
        <v>542</v>
      </c>
      <c r="B499" s="159">
        <v>45479.118055555555</v>
      </c>
      <c r="C499" s="1" t="s">
        <v>58</v>
      </c>
      <c r="D499" s="1" t="s">
        <v>25</v>
      </c>
      <c r="E499" t="s">
        <v>28</v>
      </c>
      <c r="F499" t="s">
        <v>21</v>
      </c>
      <c r="G499" s="114">
        <v>2687.5</v>
      </c>
      <c r="H499" s="1" t="s">
        <v>34</v>
      </c>
      <c r="I499" t="s">
        <v>62</v>
      </c>
      <c r="J499">
        <v>2.9</v>
      </c>
      <c r="K499">
        <v>1</v>
      </c>
      <c r="L499" s="114">
        <v>0</v>
      </c>
      <c r="M499" s="114">
        <v>0</v>
      </c>
      <c r="N499" s="114">
        <v>0</v>
      </c>
      <c r="O499" t="s">
        <v>1136</v>
      </c>
    </row>
    <row r="500" spans="1:15" x14ac:dyDescent="0.25">
      <c r="A500" t="s">
        <v>543</v>
      </c>
      <c r="B500" s="159">
        <v>45479.229861111111</v>
      </c>
      <c r="C500" s="1" t="s">
        <v>58</v>
      </c>
      <c r="D500" s="1" t="s">
        <v>25</v>
      </c>
      <c r="E500" t="s">
        <v>44</v>
      </c>
      <c r="F500" t="s">
        <v>16</v>
      </c>
      <c r="G500" s="114">
        <v>3506.56</v>
      </c>
      <c r="H500" s="1" t="s">
        <v>22</v>
      </c>
      <c r="J500">
        <v>2.1</v>
      </c>
      <c r="K500">
        <v>1</v>
      </c>
      <c r="L500" s="114">
        <v>73.64</v>
      </c>
      <c r="M500" s="114">
        <v>3432.92</v>
      </c>
      <c r="N500" s="114">
        <v>3506.56</v>
      </c>
      <c r="O500" t="s">
        <v>1136</v>
      </c>
    </row>
    <row r="501" spans="1:15" x14ac:dyDescent="0.25">
      <c r="A501" t="s">
        <v>544</v>
      </c>
      <c r="B501" s="159">
        <v>45479.466666666667</v>
      </c>
      <c r="C501" s="1" t="s">
        <v>37</v>
      </c>
      <c r="D501" s="1" t="s">
        <v>38</v>
      </c>
      <c r="E501" t="s">
        <v>39</v>
      </c>
      <c r="F501" t="s">
        <v>45</v>
      </c>
      <c r="G501" s="114">
        <v>3280.5</v>
      </c>
      <c r="H501" s="1" t="s">
        <v>22</v>
      </c>
      <c r="J501">
        <v>3.2</v>
      </c>
      <c r="K501">
        <v>0.23269999999999999</v>
      </c>
      <c r="L501" s="114">
        <v>24.428846</v>
      </c>
      <c r="M501" s="114">
        <v>738.94350399999996</v>
      </c>
      <c r="N501" s="114">
        <v>763.37234999999998</v>
      </c>
      <c r="O501" t="s">
        <v>1136</v>
      </c>
    </row>
    <row r="502" spans="1:15" x14ac:dyDescent="0.25">
      <c r="A502" t="s">
        <v>545</v>
      </c>
      <c r="B502" s="159">
        <v>45479.738194444442</v>
      </c>
      <c r="C502" s="1" t="s">
        <v>27</v>
      </c>
      <c r="D502" s="1" t="s">
        <v>25</v>
      </c>
      <c r="E502" t="s">
        <v>15</v>
      </c>
      <c r="F502" t="s">
        <v>41</v>
      </c>
      <c r="G502" s="114">
        <v>93.28</v>
      </c>
      <c r="H502" s="1" t="s">
        <v>22</v>
      </c>
      <c r="J502">
        <v>2.5</v>
      </c>
      <c r="K502">
        <v>1</v>
      </c>
      <c r="L502" s="114">
        <v>2.33</v>
      </c>
      <c r="M502" s="114">
        <v>90.95</v>
      </c>
      <c r="N502" s="114">
        <v>93.28</v>
      </c>
      <c r="O502" t="s">
        <v>1136</v>
      </c>
    </row>
    <row r="503" spans="1:15" x14ac:dyDescent="0.25">
      <c r="A503" t="s">
        <v>546</v>
      </c>
      <c r="B503" s="159">
        <v>45480.771527777775</v>
      </c>
      <c r="C503" s="1" t="s">
        <v>24</v>
      </c>
      <c r="D503" s="1" t="s">
        <v>25</v>
      </c>
      <c r="E503" t="s">
        <v>33</v>
      </c>
      <c r="F503" t="s">
        <v>29</v>
      </c>
      <c r="G503" s="114">
        <v>761.33</v>
      </c>
      <c r="H503" s="1" t="s">
        <v>34</v>
      </c>
      <c r="I503" t="s">
        <v>78</v>
      </c>
      <c r="J503">
        <v>1.9</v>
      </c>
      <c r="K503">
        <v>1</v>
      </c>
      <c r="L503" s="114">
        <v>0</v>
      </c>
      <c r="M503" s="114">
        <v>0</v>
      </c>
      <c r="N503" s="114">
        <v>0</v>
      </c>
      <c r="O503" t="s">
        <v>1136</v>
      </c>
    </row>
    <row r="504" spans="1:15" x14ac:dyDescent="0.25">
      <c r="A504" t="s">
        <v>547</v>
      </c>
      <c r="B504" s="159">
        <v>45480.9</v>
      </c>
      <c r="C504" s="1" t="s">
        <v>43</v>
      </c>
      <c r="D504" s="1" t="s">
        <v>25</v>
      </c>
      <c r="E504" t="s">
        <v>15</v>
      </c>
      <c r="F504" t="s">
        <v>21</v>
      </c>
      <c r="G504" s="114">
        <v>3892.84</v>
      </c>
      <c r="H504" s="1" t="s">
        <v>17</v>
      </c>
      <c r="J504">
        <v>2.5</v>
      </c>
      <c r="K504">
        <v>1</v>
      </c>
      <c r="L504" s="114">
        <v>0</v>
      </c>
      <c r="M504" s="114">
        <v>0</v>
      </c>
      <c r="N504" s="114">
        <v>0</v>
      </c>
      <c r="O504" t="s">
        <v>1136</v>
      </c>
    </row>
    <row r="505" spans="1:15" x14ac:dyDescent="0.25">
      <c r="A505" t="s">
        <v>548</v>
      </c>
      <c r="B505" s="159">
        <v>45481.106944444444</v>
      </c>
      <c r="C505" s="1" t="s">
        <v>24</v>
      </c>
      <c r="D505" s="1" t="s">
        <v>25</v>
      </c>
      <c r="E505" t="s">
        <v>28</v>
      </c>
      <c r="F505" t="s">
        <v>21</v>
      </c>
      <c r="G505" s="114">
        <v>1892.07</v>
      </c>
      <c r="H505" s="1" t="s">
        <v>17</v>
      </c>
      <c r="J505">
        <v>2.9</v>
      </c>
      <c r="K505">
        <v>1</v>
      </c>
      <c r="L505" s="114">
        <v>0</v>
      </c>
      <c r="M505" s="114">
        <v>0</v>
      </c>
      <c r="N505" s="114">
        <v>0</v>
      </c>
      <c r="O505" t="s">
        <v>1136</v>
      </c>
    </row>
    <row r="506" spans="1:15" x14ac:dyDescent="0.25">
      <c r="A506" t="s">
        <v>549</v>
      </c>
      <c r="B506" s="159">
        <v>45481.732638888891</v>
      </c>
      <c r="C506" s="1" t="s">
        <v>43</v>
      </c>
      <c r="D506" s="1" t="s">
        <v>25</v>
      </c>
      <c r="E506" t="s">
        <v>39</v>
      </c>
      <c r="F506" t="s">
        <v>21</v>
      </c>
      <c r="G506" s="114">
        <v>2892.48</v>
      </c>
      <c r="H506" s="1" t="s">
        <v>34</v>
      </c>
      <c r="I506" t="s">
        <v>35</v>
      </c>
      <c r="J506">
        <v>3.2</v>
      </c>
      <c r="K506">
        <v>1</v>
      </c>
      <c r="L506" s="114">
        <v>0</v>
      </c>
      <c r="M506" s="114">
        <v>0</v>
      </c>
      <c r="N506" s="114">
        <v>0</v>
      </c>
      <c r="O506" t="s">
        <v>1136</v>
      </c>
    </row>
    <row r="507" spans="1:15" x14ac:dyDescent="0.25">
      <c r="A507" t="s">
        <v>550</v>
      </c>
      <c r="B507" s="159">
        <v>45482.39166666667</v>
      </c>
      <c r="C507" s="1" t="s">
        <v>58</v>
      </c>
      <c r="D507" s="1" t="s">
        <v>25</v>
      </c>
      <c r="E507" t="s">
        <v>39</v>
      </c>
      <c r="F507" t="s">
        <v>45</v>
      </c>
      <c r="G507" s="114">
        <v>271.3</v>
      </c>
      <c r="H507" s="1" t="s">
        <v>22</v>
      </c>
      <c r="J507">
        <v>3.2</v>
      </c>
      <c r="K507">
        <v>1</v>
      </c>
      <c r="L507" s="114">
        <v>8.68</v>
      </c>
      <c r="M507" s="114">
        <v>262.62</v>
      </c>
      <c r="N507" s="114">
        <v>271.3</v>
      </c>
      <c r="O507" t="s">
        <v>1136</v>
      </c>
    </row>
    <row r="508" spans="1:15" x14ac:dyDescent="0.25">
      <c r="A508" t="s">
        <v>551</v>
      </c>
      <c r="B508" s="159">
        <v>45482.40902777778</v>
      </c>
      <c r="C508" s="1" t="s">
        <v>60</v>
      </c>
      <c r="D508" s="1" t="s">
        <v>25</v>
      </c>
      <c r="E508" t="s">
        <v>44</v>
      </c>
      <c r="F508" t="s">
        <v>21</v>
      </c>
      <c r="G508" s="114">
        <v>1429.07</v>
      </c>
      <c r="H508" s="1" t="s">
        <v>22</v>
      </c>
      <c r="J508">
        <v>2.1</v>
      </c>
      <c r="K508">
        <v>1</v>
      </c>
      <c r="L508" s="114">
        <v>30.01</v>
      </c>
      <c r="M508" s="114">
        <v>1399.06</v>
      </c>
      <c r="N508" s="114">
        <v>1429.07</v>
      </c>
      <c r="O508" t="s">
        <v>1136</v>
      </c>
    </row>
    <row r="509" spans="1:15" x14ac:dyDescent="0.25">
      <c r="A509" t="s">
        <v>552</v>
      </c>
      <c r="B509" s="159">
        <v>45483.387499999997</v>
      </c>
      <c r="C509" s="1" t="s">
        <v>43</v>
      </c>
      <c r="D509" s="1" t="s">
        <v>25</v>
      </c>
      <c r="E509" t="s">
        <v>28</v>
      </c>
      <c r="F509" t="s">
        <v>29</v>
      </c>
      <c r="G509" s="114">
        <v>719.28</v>
      </c>
      <c r="H509" s="1" t="s">
        <v>17</v>
      </c>
      <c r="J509">
        <v>2.9</v>
      </c>
      <c r="K509">
        <v>1</v>
      </c>
      <c r="L509" s="114">
        <v>0</v>
      </c>
      <c r="M509" s="114">
        <v>0</v>
      </c>
      <c r="N509" s="114">
        <v>0</v>
      </c>
      <c r="O509" t="s">
        <v>1136</v>
      </c>
    </row>
    <row r="510" spans="1:15" x14ac:dyDescent="0.25">
      <c r="A510" t="s">
        <v>553</v>
      </c>
      <c r="B510" s="159">
        <v>45483.520138888889</v>
      </c>
      <c r="C510" s="1" t="s">
        <v>19</v>
      </c>
      <c r="D510" s="1" t="s">
        <v>20</v>
      </c>
      <c r="E510" t="s">
        <v>44</v>
      </c>
      <c r="F510" t="s">
        <v>29</v>
      </c>
      <c r="G510" s="114">
        <v>1506.87</v>
      </c>
      <c r="H510" s="1" t="s">
        <v>22</v>
      </c>
      <c r="J510">
        <v>2.1</v>
      </c>
      <c r="K510">
        <v>8.5999999999999993E-2</v>
      </c>
      <c r="L510" s="114">
        <v>2.7210399999999999</v>
      </c>
      <c r="M510" s="114">
        <v>126.86977999999999</v>
      </c>
      <c r="N510" s="114">
        <v>129.59081999999998</v>
      </c>
      <c r="O510" t="s">
        <v>1136</v>
      </c>
    </row>
    <row r="511" spans="1:15" x14ac:dyDescent="0.25">
      <c r="A511" t="s">
        <v>554</v>
      </c>
      <c r="B511" s="159">
        <v>45483.790972222225</v>
      </c>
      <c r="C511" s="1" t="s">
        <v>31</v>
      </c>
      <c r="D511" s="1" t="s">
        <v>32</v>
      </c>
      <c r="E511" t="s">
        <v>39</v>
      </c>
      <c r="F511" t="s">
        <v>29</v>
      </c>
      <c r="G511" s="114">
        <v>154.08000000000001</v>
      </c>
      <c r="H511" s="1" t="s">
        <v>34</v>
      </c>
      <c r="I511" t="s">
        <v>55</v>
      </c>
      <c r="J511">
        <v>3.2</v>
      </c>
      <c r="K511">
        <v>1.1801999999999999</v>
      </c>
      <c r="L511" s="114">
        <v>0</v>
      </c>
      <c r="M511" s="114">
        <v>0</v>
      </c>
      <c r="N511" s="114">
        <v>0</v>
      </c>
      <c r="O511" t="s">
        <v>1136</v>
      </c>
    </row>
    <row r="512" spans="1:15" x14ac:dyDescent="0.25">
      <c r="A512" t="s">
        <v>555</v>
      </c>
      <c r="B512" s="159">
        <v>45484.424305555556</v>
      </c>
      <c r="C512" s="1" t="s">
        <v>43</v>
      </c>
      <c r="D512" s="1" t="s">
        <v>25</v>
      </c>
      <c r="E512" t="s">
        <v>33</v>
      </c>
      <c r="F512" t="s">
        <v>21</v>
      </c>
      <c r="G512" s="114">
        <v>2735.9</v>
      </c>
      <c r="H512" s="1" t="s">
        <v>22</v>
      </c>
      <c r="J512">
        <v>1.9</v>
      </c>
      <c r="K512">
        <v>1</v>
      </c>
      <c r="L512" s="114">
        <v>51.98</v>
      </c>
      <c r="M512" s="114">
        <v>2683.92</v>
      </c>
      <c r="N512" s="114">
        <v>2735.9</v>
      </c>
      <c r="O512" t="s">
        <v>1136</v>
      </c>
    </row>
    <row r="513" spans="1:15" x14ac:dyDescent="0.25">
      <c r="A513" t="s">
        <v>556</v>
      </c>
      <c r="B513" s="159">
        <v>45484.85</v>
      </c>
      <c r="C513" s="1" t="s">
        <v>37</v>
      </c>
      <c r="D513" s="1" t="s">
        <v>38</v>
      </c>
      <c r="E513" t="s">
        <v>33</v>
      </c>
      <c r="F513" t="s">
        <v>41</v>
      </c>
      <c r="G513" s="114">
        <v>2588.15</v>
      </c>
      <c r="H513" s="1" t="s">
        <v>34</v>
      </c>
      <c r="I513" t="s">
        <v>35</v>
      </c>
      <c r="J513">
        <v>1.9</v>
      </c>
      <c r="K513">
        <v>0.23269999999999999</v>
      </c>
      <c r="L513" s="114">
        <v>0</v>
      </c>
      <c r="M513" s="114">
        <v>0</v>
      </c>
      <c r="N513" s="114">
        <v>0</v>
      </c>
      <c r="O513" t="s">
        <v>1136</v>
      </c>
    </row>
    <row r="514" spans="1:15" x14ac:dyDescent="0.25">
      <c r="A514" t="s">
        <v>557</v>
      </c>
      <c r="B514" s="159">
        <v>45485.060416666667</v>
      </c>
      <c r="C514" s="1" t="s">
        <v>47</v>
      </c>
      <c r="D514" s="1" t="s">
        <v>25</v>
      </c>
      <c r="E514" t="s">
        <v>33</v>
      </c>
      <c r="F514" t="s">
        <v>21</v>
      </c>
      <c r="G514" s="114">
        <v>659.03</v>
      </c>
      <c r="H514" s="1" t="s">
        <v>17</v>
      </c>
      <c r="J514">
        <v>1.9</v>
      </c>
      <c r="K514">
        <v>1</v>
      </c>
      <c r="L514" s="114">
        <v>0</v>
      </c>
      <c r="M514" s="114">
        <v>0</v>
      </c>
      <c r="N514" s="114">
        <v>0</v>
      </c>
      <c r="O514" t="s">
        <v>1136</v>
      </c>
    </row>
    <row r="515" spans="1:15" x14ac:dyDescent="0.25">
      <c r="A515" t="s">
        <v>558</v>
      </c>
      <c r="B515" s="159">
        <v>45485.406944444447</v>
      </c>
      <c r="C515" s="1" t="s">
        <v>47</v>
      </c>
      <c r="D515" s="1" t="s">
        <v>25</v>
      </c>
      <c r="E515" t="s">
        <v>44</v>
      </c>
      <c r="F515" t="s">
        <v>29</v>
      </c>
      <c r="G515" s="114">
        <v>3646.87</v>
      </c>
      <c r="H515" s="1" t="s">
        <v>17</v>
      </c>
      <c r="J515">
        <v>2.1</v>
      </c>
      <c r="K515">
        <v>1</v>
      </c>
      <c r="L515" s="114">
        <v>0</v>
      </c>
      <c r="M515" s="114">
        <v>0</v>
      </c>
      <c r="N515" s="114">
        <v>0</v>
      </c>
      <c r="O515" t="s">
        <v>1136</v>
      </c>
    </row>
    <row r="516" spans="1:15" x14ac:dyDescent="0.25">
      <c r="A516" t="s">
        <v>559</v>
      </c>
      <c r="B516" s="159">
        <v>45486.116666666669</v>
      </c>
      <c r="C516" s="1" t="s">
        <v>58</v>
      </c>
      <c r="D516" s="1" t="s">
        <v>25</v>
      </c>
      <c r="E516" t="s">
        <v>33</v>
      </c>
      <c r="F516" t="s">
        <v>41</v>
      </c>
      <c r="G516" s="114">
        <v>1471.24</v>
      </c>
      <c r="H516" s="1" t="s">
        <v>22</v>
      </c>
      <c r="J516">
        <v>1.9</v>
      </c>
      <c r="K516">
        <v>1</v>
      </c>
      <c r="L516" s="114">
        <v>27.95</v>
      </c>
      <c r="M516" s="114">
        <v>1443.29</v>
      </c>
      <c r="N516" s="114">
        <v>1471.24</v>
      </c>
      <c r="O516" t="s">
        <v>1136</v>
      </c>
    </row>
    <row r="517" spans="1:15" x14ac:dyDescent="0.25">
      <c r="A517" t="s">
        <v>560</v>
      </c>
      <c r="B517" s="159">
        <v>45486.697916666664</v>
      </c>
      <c r="C517" s="1" t="s">
        <v>31</v>
      </c>
      <c r="D517" s="1" t="s">
        <v>32</v>
      </c>
      <c r="E517" t="s">
        <v>39</v>
      </c>
      <c r="F517" t="s">
        <v>16</v>
      </c>
      <c r="G517" s="114">
        <v>4335.2</v>
      </c>
      <c r="H517" s="1" t="s">
        <v>17</v>
      </c>
      <c r="J517">
        <v>3.2</v>
      </c>
      <c r="K517">
        <v>1.1801999999999999</v>
      </c>
      <c r="L517" s="114">
        <v>0</v>
      </c>
      <c r="M517" s="114">
        <v>0</v>
      </c>
      <c r="N517" s="114">
        <v>0</v>
      </c>
      <c r="O517" t="s">
        <v>1136</v>
      </c>
    </row>
    <row r="518" spans="1:15" x14ac:dyDescent="0.25">
      <c r="A518" t="s">
        <v>561</v>
      </c>
      <c r="B518" s="159">
        <v>45486.90625</v>
      </c>
      <c r="C518" s="1" t="s">
        <v>58</v>
      </c>
      <c r="D518" s="1" t="s">
        <v>25</v>
      </c>
      <c r="E518" t="s">
        <v>15</v>
      </c>
      <c r="F518" t="s">
        <v>21</v>
      </c>
      <c r="G518" s="114">
        <v>734.3</v>
      </c>
      <c r="H518" s="1" t="s">
        <v>34</v>
      </c>
      <c r="I518" t="s">
        <v>78</v>
      </c>
      <c r="J518">
        <v>2.5</v>
      </c>
      <c r="K518">
        <v>1</v>
      </c>
      <c r="L518" s="114">
        <v>0</v>
      </c>
      <c r="M518" s="114">
        <v>0</v>
      </c>
      <c r="N518" s="114">
        <v>0</v>
      </c>
      <c r="O518" t="s">
        <v>1136</v>
      </c>
    </row>
    <row r="519" spans="1:15" x14ac:dyDescent="0.25">
      <c r="A519" t="s">
        <v>562</v>
      </c>
      <c r="B519" s="159">
        <v>45487.51458333333</v>
      </c>
      <c r="C519" s="1" t="s">
        <v>60</v>
      </c>
      <c r="D519" s="1" t="s">
        <v>25</v>
      </c>
      <c r="E519" t="s">
        <v>39</v>
      </c>
      <c r="F519" t="s">
        <v>21</v>
      </c>
      <c r="G519" s="114">
        <v>897.87</v>
      </c>
      <c r="H519" s="1" t="s">
        <v>22</v>
      </c>
      <c r="J519">
        <v>3.2</v>
      </c>
      <c r="K519">
        <v>1</v>
      </c>
      <c r="L519" s="114">
        <v>28.73</v>
      </c>
      <c r="M519" s="114">
        <v>869.14</v>
      </c>
      <c r="N519" s="114">
        <v>897.87</v>
      </c>
      <c r="O519" t="s">
        <v>1136</v>
      </c>
    </row>
    <row r="520" spans="1:15" x14ac:dyDescent="0.25">
      <c r="A520" t="s">
        <v>563</v>
      </c>
      <c r="B520" s="159">
        <v>45487.56527777778</v>
      </c>
      <c r="C520" s="1" t="s">
        <v>24</v>
      </c>
      <c r="D520" s="1" t="s">
        <v>25</v>
      </c>
      <c r="E520" t="s">
        <v>44</v>
      </c>
      <c r="F520" t="s">
        <v>16</v>
      </c>
      <c r="G520" s="114">
        <v>703.95</v>
      </c>
      <c r="H520" s="1" t="s">
        <v>17</v>
      </c>
      <c r="J520">
        <v>2.1</v>
      </c>
      <c r="K520">
        <v>1</v>
      </c>
      <c r="L520" s="114">
        <v>0</v>
      </c>
      <c r="M520" s="114">
        <v>0</v>
      </c>
      <c r="N520" s="114">
        <v>0</v>
      </c>
      <c r="O520" t="s">
        <v>1136</v>
      </c>
    </row>
    <row r="521" spans="1:15" x14ac:dyDescent="0.25">
      <c r="A521" t="s">
        <v>564</v>
      </c>
      <c r="B521" s="159">
        <v>45487.621527777781</v>
      </c>
      <c r="C521" s="1" t="s">
        <v>58</v>
      </c>
      <c r="D521" s="1" t="s">
        <v>25</v>
      </c>
      <c r="E521" t="s">
        <v>15</v>
      </c>
      <c r="F521" t="s">
        <v>41</v>
      </c>
      <c r="G521" s="114">
        <v>3416.82</v>
      </c>
      <c r="H521" s="1" t="s">
        <v>17</v>
      </c>
      <c r="J521">
        <v>2.5</v>
      </c>
      <c r="K521">
        <v>1</v>
      </c>
      <c r="L521" s="114">
        <v>0</v>
      </c>
      <c r="M521" s="114">
        <v>0</v>
      </c>
      <c r="N521" s="114">
        <v>0</v>
      </c>
      <c r="O521" t="s">
        <v>1136</v>
      </c>
    </row>
    <row r="522" spans="1:15" x14ac:dyDescent="0.25">
      <c r="A522" t="s">
        <v>565</v>
      </c>
      <c r="B522" s="159">
        <v>45488.045138888891</v>
      </c>
      <c r="C522" s="1" t="s">
        <v>58</v>
      </c>
      <c r="D522" s="1" t="s">
        <v>25</v>
      </c>
      <c r="E522" t="s">
        <v>15</v>
      </c>
      <c r="F522" t="s">
        <v>29</v>
      </c>
      <c r="G522" s="114">
        <v>3526.34</v>
      </c>
      <c r="H522" s="1" t="s">
        <v>17</v>
      </c>
      <c r="J522">
        <v>2.5</v>
      </c>
      <c r="K522">
        <v>1</v>
      </c>
      <c r="L522" s="114">
        <v>0</v>
      </c>
      <c r="M522" s="114">
        <v>0</v>
      </c>
      <c r="N522" s="114">
        <v>0</v>
      </c>
      <c r="O522" t="s">
        <v>1136</v>
      </c>
    </row>
    <row r="523" spans="1:15" x14ac:dyDescent="0.25">
      <c r="A523" t="s">
        <v>566</v>
      </c>
      <c r="B523" s="159">
        <v>45489.17083333333</v>
      </c>
      <c r="C523" s="1" t="s">
        <v>60</v>
      </c>
      <c r="D523" s="1" t="s">
        <v>25</v>
      </c>
      <c r="E523" t="s">
        <v>44</v>
      </c>
      <c r="F523" t="s">
        <v>45</v>
      </c>
      <c r="G523" s="114">
        <v>4299.3599999999997</v>
      </c>
      <c r="H523" s="1" t="s">
        <v>17</v>
      </c>
      <c r="J523">
        <v>2.1</v>
      </c>
      <c r="K523">
        <v>1</v>
      </c>
      <c r="L523" s="114">
        <v>0</v>
      </c>
      <c r="M523" s="114">
        <v>0</v>
      </c>
      <c r="N523" s="114">
        <v>0</v>
      </c>
      <c r="O523" t="s">
        <v>1136</v>
      </c>
    </row>
    <row r="524" spans="1:15" x14ac:dyDescent="0.25">
      <c r="A524" t="s">
        <v>567</v>
      </c>
      <c r="B524" s="159">
        <v>45489.395138888889</v>
      </c>
      <c r="C524" s="1" t="s">
        <v>19</v>
      </c>
      <c r="D524" s="1" t="s">
        <v>20</v>
      </c>
      <c r="E524" t="s">
        <v>39</v>
      </c>
      <c r="F524" t="s">
        <v>16</v>
      </c>
      <c r="G524" s="114">
        <v>1137.1099999999999</v>
      </c>
      <c r="H524" s="1" t="s">
        <v>34</v>
      </c>
      <c r="I524" t="s">
        <v>62</v>
      </c>
      <c r="J524">
        <v>3.2</v>
      </c>
      <c r="K524">
        <v>8.5999999999999993E-2</v>
      </c>
      <c r="L524" s="114">
        <v>0</v>
      </c>
      <c r="M524" s="114">
        <v>0</v>
      </c>
      <c r="N524" s="114">
        <v>0</v>
      </c>
      <c r="O524" t="s">
        <v>1136</v>
      </c>
    </row>
    <row r="525" spans="1:15" x14ac:dyDescent="0.25">
      <c r="A525" t="s">
        <v>568</v>
      </c>
      <c r="B525" s="159">
        <v>45490.463888888888</v>
      </c>
      <c r="C525" s="1" t="s">
        <v>43</v>
      </c>
      <c r="D525" s="1" t="s">
        <v>25</v>
      </c>
      <c r="E525" t="s">
        <v>44</v>
      </c>
      <c r="F525" t="s">
        <v>21</v>
      </c>
      <c r="G525" s="114">
        <v>4878.0200000000004</v>
      </c>
      <c r="H525" s="1" t="s">
        <v>22</v>
      </c>
      <c r="J525">
        <v>2.1</v>
      </c>
      <c r="K525">
        <v>1</v>
      </c>
      <c r="L525" s="114">
        <v>102.44</v>
      </c>
      <c r="M525" s="114">
        <v>4775.58</v>
      </c>
      <c r="N525" s="114">
        <v>4878.0199999999995</v>
      </c>
      <c r="O525" t="s">
        <v>1136</v>
      </c>
    </row>
    <row r="526" spans="1:15" x14ac:dyDescent="0.25">
      <c r="A526" t="s">
        <v>569</v>
      </c>
      <c r="B526" s="159">
        <v>45490.576388888891</v>
      </c>
      <c r="C526" s="1" t="s">
        <v>37</v>
      </c>
      <c r="D526" s="1" t="s">
        <v>38</v>
      </c>
      <c r="E526" t="s">
        <v>33</v>
      </c>
      <c r="F526" t="s">
        <v>41</v>
      </c>
      <c r="G526" s="114">
        <v>74.7</v>
      </c>
      <c r="H526" s="1" t="s">
        <v>22</v>
      </c>
      <c r="J526">
        <v>1.9</v>
      </c>
      <c r="K526">
        <v>0.23269999999999999</v>
      </c>
      <c r="L526" s="114">
        <v>0.33043399999999995</v>
      </c>
      <c r="M526" s="114">
        <v>17.052256</v>
      </c>
      <c r="N526" s="114">
        <v>17.38269</v>
      </c>
      <c r="O526" t="s">
        <v>1136</v>
      </c>
    </row>
    <row r="527" spans="1:15" x14ac:dyDescent="0.25">
      <c r="A527" t="s">
        <v>570</v>
      </c>
      <c r="B527" s="159">
        <v>45490.725694444445</v>
      </c>
      <c r="C527" s="1" t="s">
        <v>13</v>
      </c>
      <c r="D527" s="1" t="s">
        <v>14</v>
      </c>
      <c r="E527" t="s">
        <v>39</v>
      </c>
      <c r="F527" t="s">
        <v>21</v>
      </c>
      <c r="G527" s="114">
        <v>2603.2399999999998</v>
      </c>
      <c r="H527" s="1" t="s">
        <v>22</v>
      </c>
      <c r="J527">
        <v>3.2</v>
      </c>
      <c r="K527">
        <v>8.7400000000000005E-2</v>
      </c>
      <c r="L527" s="114">
        <v>7.2804200000000003</v>
      </c>
      <c r="M527" s="114">
        <v>220.24275600000001</v>
      </c>
      <c r="N527" s="114">
        <v>227.52317600000001</v>
      </c>
      <c r="O527" t="s">
        <v>1136</v>
      </c>
    </row>
    <row r="528" spans="1:15" x14ac:dyDescent="0.25">
      <c r="A528" t="s">
        <v>571</v>
      </c>
      <c r="B528" s="159">
        <v>45491.445833333331</v>
      </c>
      <c r="C528" s="1" t="s">
        <v>58</v>
      </c>
      <c r="D528" s="1" t="s">
        <v>25</v>
      </c>
      <c r="E528" t="s">
        <v>44</v>
      </c>
      <c r="F528" t="s">
        <v>16</v>
      </c>
      <c r="G528" s="114">
        <v>4598.51</v>
      </c>
      <c r="H528" s="1" t="s">
        <v>17</v>
      </c>
      <c r="J528">
        <v>2.1</v>
      </c>
      <c r="K528">
        <v>1</v>
      </c>
      <c r="L528" s="114">
        <v>0</v>
      </c>
      <c r="M528" s="114">
        <v>0</v>
      </c>
      <c r="N528" s="114">
        <v>0</v>
      </c>
      <c r="O528" t="s">
        <v>1136</v>
      </c>
    </row>
    <row r="529" spans="1:15" x14ac:dyDescent="0.25">
      <c r="A529" t="s">
        <v>572</v>
      </c>
      <c r="B529" s="159">
        <v>45491.626388888886</v>
      </c>
      <c r="C529" s="1" t="s">
        <v>58</v>
      </c>
      <c r="D529" s="1" t="s">
        <v>25</v>
      </c>
      <c r="E529" t="s">
        <v>39</v>
      </c>
      <c r="F529" t="s">
        <v>21</v>
      </c>
      <c r="G529" s="114">
        <v>3739.11</v>
      </c>
      <c r="H529" s="1" t="s">
        <v>22</v>
      </c>
      <c r="J529">
        <v>3.2</v>
      </c>
      <c r="K529">
        <v>1</v>
      </c>
      <c r="L529" s="114">
        <v>119.65</v>
      </c>
      <c r="M529" s="114">
        <v>3619.46</v>
      </c>
      <c r="N529" s="114">
        <v>3739.11</v>
      </c>
      <c r="O529" t="s">
        <v>1136</v>
      </c>
    </row>
    <row r="530" spans="1:15" x14ac:dyDescent="0.25">
      <c r="A530" t="s">
        <v>573</v>
      </c>
      <c r="B530" s="159">
        <v>45491.990277777775</v>
      </c>
      <c r="C530" s="1" t="s">
        <v>27</v>
      </c>
      <c r="D530" s="1" t="s">
        <v>25</v>
      </c>
      <c r="E530" t="s">
        <v>33</v>
      </c>
      <c r="F530" t="s">
        <v>45</v>
      </c>
      <c r="G530" s="114">
        <v>1426.8</v>
      </c>
      <c r="H530" s="1" t="s">
        <v>22</v>
      </c>
      <c r="J530">
        <v>1.9</v>
      </c>
      <c r="K530">
        <v>1</v>
      </c>
      <c r="L530" s="114">
        <v>27.11</v>
      </c>
      <c r="M530" s="114">
        <v>1399.69</v>
      </c>
      <c r="N530" s="114">
        <v>1426.8</v>
      </c>
      <c r="O530" t="s">
        <v>1136</v>
      </c>
    </row>
    <row r="531" spans="1:15" x14ac:dyDescent="0.25">
      <c r="A531" t="s">
        <v>574</v>
      </c>
      <c r="B531" s="159">
        <v>45492.331250000003</v>
      </c>
      <c r="C531" s="1" t="s">
        <v>19</v>
      </c>
      <c r="D531" s="1" t="s">
        <v>20</v>
      </c>
      <c r="E531" t="s">
        <v>39</v>
      </c>
      <c r="F531" t="s">
        <v>29</v>
      </c>
      <c r="G531" s="114">
        <v>2328.86</v>
      </c>
      <c r="H531" s="1" t="s">
        <v>17</v>
      </c>
      <c r="J531">
        <v>3.2</v>
      </c>
      <c r="K531">
        <v>8.5999999999999993E-2</v>
      </c>
      <c r="L531" s="114">
        <v>0</v>
      </c>
      <c r="M531" s="114">
        <v>0</v>
      </c>
      <c r="N531" s="114">
        <v>0</v>
      </c>
      <c r="O531" t="s">
        <v>1136</v>
      </c>
    </row>
    <row r="532" spans="1:15" x14ac:dyDescent="0.25">
      <c r="A532" t="s">
        <v>575</v>
      </c>
      <c r="B532" s="159">
        <v>45492.354861111111</v>
      </c>
      <c r="C532" s="1" t="s">
        <v>19</v>
      </c>
      <c r="D532" s="1" t="s">
        <v>20</v>
      </c>
      <c r="E532" t="s">
        <v>15</v>
      </c>
      <c r="F532" t="s">
        <v>45</v>
      </c>
      <c r="G532" s="114">
        <v>3385.67</v>
      </c>
      <c r="H532" s="1" t="s">
        <v>22</v>
      </c>
      <c r="J532">
        <v>2.5</v>
      </c>
      <c r="K532">
        <v>8.5999999999999993E-2</v>
      </c>
      <c r="L532" s="114">
        <v>7.2790399999999993</v>
      </c>
      <c r="M532" s="114">
        <v>283.88857999999999</v>
      </c>
      <c r="N532" s="114">
        <v>291.16762</v>
      </c>
      <c r="O532" t="s">
        <v>1136</v>
      </c>
    </row>
    <row r="533" spans="1:15" x14ac:dyDescent="0.25">
      <c r="A533" t="s">
        <v>576</v>
      </c>
      <c r="B533" s="159">
        <v>45492.720833333333</v>
      </c>
      <c r="C533" s="1" t="s">
        <v>27</v>
      </c>
      <c r="D533" s="1" t="s">
        <v>25</v>
      </c>
      <c r="E533" t="s">
        <v>39</v>
      </c>
      <c r="F533" t="s">
        <v>21</v>
      </c>
      <c r="G533" s="114">
        <v>4787.38</v>
      </c>
      <c r="H533" s="1" t="s">
        <v>22</v>
      </c>
      <c r="J533">
        <v>3.2</v>
      </c>
      <c r="K533">
        <v>1</v>
      </c>
      <c r="L533" s="114">
        <v>153.19999999999999</v>
      </c>
      <c r="M533" s="114">
        <v>4634.18</v>
      </c>
      <c r="N533" s="114">
        <v>4787.38</v>
      </c>
      <c r="O533" t="s">
        <v>1136</v>
      </c>
    </row>
    <row r="534" spans="1:15" x14ac:dyDescent="0.25">
      <c r="A534" t="s">
        <v>577</v>
      </c>
      <c r="B534" s="159">
        <v>45493.270138888889</v>
      </c>
      <c r="C534" s="1" t="s">
        <v>24</v>
      </c>
      <c r="D534" s="1" t="s">
        <v>25</v>
      </c>
      <c r="E534" t="s">
        <v>39</v>
      </c>
      <c r="F534" t="s">
        <v>41</v>
      </c>
      <c r="G534" s="114">
        <v>3788.18</v>
      </c>
      <c r="H534" s="1" t="s">
        <v>22</v>
      </c>
      <c r="J534">
        <v>3.2</v>
      </c>
      <c r="K534">
        <v>1</v>
      </c>
      <c r="L534" s="114">
        <v>121.22</v>
      </c>
      <c r="M534" s="114">
        <v>3666.96</v>
      </c>
      <c r="N534" s="114">
        <v>3788.18</v>
      </c>
      <c r="O534" t="s">
        <v>1136</v>
      </c>
    </row>
    <row r="535" spans="1:15" x14ac:dyDescent="0.25">
      <c r="A535" t="s">
        <v>578</v>
      </c>
      <c r="B535" s="159">
        <v>45493.775000000001</v>
      </c>
      <c r="C535" s="1" t="s">
        <v>60</v>
      </c>
      <c r="D535" s="1" t="s">
        <v>25</v>
      </c>
      <c r="E535" t="s">
        <v>28</v>
      </c>
      <c r="F535" t="s">
        <v>16</v>
      </c>
      <c r="G535" s="114">
        <v>687.14</v>
      </c>
      <c r="H535" s="1" t="s">
        <v>34</v>
      </c>
      <c r="I535" t="s">
        <v>35</v>
      </c>
      <c r="J535">
        <v>2.9</v>
      </c>
      <c r="K535">
        <v>1</v>
      </c>
      <c r="L535" s="114">
        <v>0</v>
      </c>
      <c r="M535" s="114">
        <v>0</v>
      </c>
      <c r="N535" s="114">
        <v>0</v>
      </c>
      <c r="O535" t="s">
        <v>1136</v>
      </c>
    </row>
    <row r="536" spans="1:15" x14ac:dyDescent="0.25">
      <c r="A536" t="s">
        <v>579</v>
      </c>
      <c r="B536" s="159">
        <v>45494.606249999997</v>
      </c>
      <c r="C536" s="1" t="s">
        <v>31</v>
      </c>
      <c r="D536" s="1" t="s">
        <v>32</v>
      </c>
      <c r="E536" t="s">
        <v>28</v>
      </c>
      <c r="F536" t="s">
        <v>29</v>
      </c>
      <c r="G536" s="114">
        <v>1980.11</v>
      </c>
      <c r="H536" s="1" t="s">
        <v>17</v>
      </c>
      <c r="J536">
        <v>2.9</v>
      </c>
      <c r="K536">
        <v>1.1801999999999999</v>
      </c>
      <c r="L536" s="114">
        <v>0</v>
      </c>
      <c r="M536" s="114">
        <v>0</v>
      </c>
      <c r="N536" s="114">
        <v>0</v>
      </c>
      <c r="O536" t="s">
        <v>1136</v>
      </c>
    </row>
    <row r="537" spans="1:15" x14ac:dyDescent="0.25">
      <c r="A537" t="s">
        <v>580</v>
      </c>
      <c r="B537" s="159">
        <v>45495.031944444447</v>
      </c>
      <c r="C537" s="1" t="s">
        <v>60</v>
      </c>
      <c r="D537" s="1" t="s">
        <v>25</v>
      </c>
      <c r="E537" t="s">
        <v>39</v>
      </c>
      <c r="F537" t="s">
        <v>45</v>
      </c>
      <c r="G537" s="114">
        <v>91.35</v>
      </c>
      <c r="H537" s="1" t="s">
        <v>22</v>
      </c>
      <c r="J537">
        <v>3.2</v>
      </c>
      <c r="K537">
        <v>1</v>
      </c>
      <c r="L537" s="114">
        <v>2.92</v>
      </c>
      <c r="M537" s="114">
        <v>88.43</v>
      </c>
      <c r="N537" s="114">
        <v>91.350000000000009</v>
      </c>
      <c r="O537" t="s">
        <v>1136</v>
      </c>
    </row>
    <row r="538" spans="1:15" x14ac:dyDescent="0.25">
      <c r="A538" t="s">
        <v>581</v>
      </c>
      <c r="B538" s="159">
        <v>45495.315972222219</v>
      </c>
      <c r="C538" s="1" t="s">
        <v>37</v>
      </c>
      <c r="D538" s="1" t="s">
        <v>38</v>
      </c>
      <c r="E538" t="s">
        <v>39</v>
      </c>
      <c r="F538" t="s">
        <v>16</v>
      </c>
      <c r="G538" s="114">
        <v>2336.59</v>
      </c>
      <c r="H538" s="1" t="s">
        <v>22</v>
      </c>
      <c r="J538">
        <v>3.2</v>
      </c>
      <c r="K538">
        <v>0.23269999999999999</v>
      </c>
      <c r="L538" s="114">
        <v>17.398978999999997</v>
      </c>
      <c r="M538" s="114">
        <v>526.325514</v>
      </c>
      <c r="N538" s="114">
        <v>543.72449299999994</v>
      </c>
      <c r="O538" t="s">
        <v>1136</v>
      </c>
    </row>
    <row r="539" spans="1:15" x14ac:dyDescent="0.25">
      <c r="A539" t="s">
        <v>582</v>
      </c>
      <c r="B539" s="159">
        <v>45495.324999999997</v>
      </c>
      <c r="C539" s="1" t="s">
        <v>19</v>
      </c>
      <c r="D539" s="1" t="s">
        <v>20</v>
      </c>
      <c r="E539" t="s">
        <v>44</v>
      </c>
      <c r="F539" t="s">
        <v>41</v>
      </c>
      <c r="G539" s="114">
        <v>2633.42</v>
      </c>
      <c r="H539" s="1" t="s">
        <v>34</v>
      </c>
      <c r="I539" t="s">
        <v>55</v>
      </c>
      <c r="J539">
        <v>2.1</v>
      </c>
      <c r="K539">
        <v>8.5999999999999993E-2</v>
      </c>
      <c r="L539" s="114">
        <v>0</v>
      </c>
      <c r="M539" s="114">
        <v>0</v>
      </c>
      <c r="N539" s="114">
        <v>0</v>
      </c>
      <c r="O539" t="s">
        <v>1136</v>
      </c>
    </row>
    <row r="540" spans="1:15" x14ac:dyDescent="0.25">
      <c r="A540" t="s">
        <v>583</v>
      </c>
      <c r="B540" s="159">
        <v>45495.480555555558</v>
      </c>
      <c r="C540" s="1" t="s">
        <v>60</v>
      </c>
      <c r="D540" s="1" t="s">
        <v>25</v>
      </c>
      <c r="E540" t="s">
        <v>44</v>
      </c>
      <c r="F540" t="s">
        <v>45</v>
      </c>
      <c r="G540" s="114">
        <v>3423.97</v>
      </c>
      <c r="H540" s="1" t="s">
        <v>17</v>
      </c>
      <c r="J540">
        <v>2.1</v>
      </c>
      <c r="K540">
        <v>1</v>
      </c>
      <c r="L540" s="114">
        <v>0</v>
      </c>
      <c r="M540" s="114">
        <v>0</v>
      </c>
      <c r="N540" s="114">
        <v>0</v>
      </c>
      <c r="O540" t="s">
        <v>1136</v>
      </c>
    </row>
    <row r="541" spans="1:15" x14ac:dyDescent="0.25">
      <c r="A541" t="s">
        <v>584</v>
      </c>
      <c r="B541" s="159">
        <v>45495.632638888892</v>
      </c>
      <c r="C541" s="1" t="s">
        <v>47</v>
      </c>
      <c r="D541" s="1" t="s">
        <v>25</v>
      </c>
      <c r="E541" t="s">
        <v>28</v>
      </c>
      <c r="F541" t="s">
        <v>41</v>
      </c>
      <c r="G541" s="114">
        <v>1498.98</v>
      </c>
      <c r="H541" s="1" t="s">
        <v>17</v>
      </c>
      <c r="J541">
        <v>2.9</v>
      </c>
      <c r="K541">
        <v>1</v>
      </c>
      <c r="L541" s="114">
        <v>0</v>
      </c>
      <c r="M541" s="114">
        <v>0</v>
      </c>
      <c r="N541" s="114">
        <v>0</v>
      </c>
      <c r="O541" t="s">
        <v>1136</v>
      </c>
    </row>
    <row r="542" spans="1:15" x14ac:dyDescent="0.25">
      <c r="A542" t="s">
        <v>585</v>
      </c>
      <c r="B542" s="159">
        <v>45495.874305555553</v>
      </c>
      <c r="C542" s="1" t="s">
        <v>31</v>
      </c>
      <c r="D542" s="1" t="s">
        <v>32</v>
      </c>
      <c r="E542" t="s">
        <v>28</v>
      </c>
      <c r="F542" t="s">
        <v>29</v>
      </c>
      <c r="G542" s="114">
        <v>1868.61</v>
      </c>
      <c r="H542" s="1" t="s">
        <v>17</v>
      </c>
      <c r="J542">
        <v>2.9</v>
      </c>
      <c r="K542">
        <v>1.1801999999999999</v>
      </c>
      <c r="L542" s="114">
        <v>0</v>
      </c>
      <c r="M542" s="114">
        <v>0</v>
      </c>
      <c r="N542" s="114">
        <v>0</v>
      </c>
      <c r="O542" t="s">
        <v>1136</v>
      </c>
    </row>
    <row r="543" spans="1:15" x14ac:dyDescent="0.25">
      <c r="A543" t="s">
        <v>586</v>
      </c>
      <c r="B543" s="159">
        <v>45497.12222222222</v>
      </c>
      <c r="C543" s="1" t="s">
        <v>43</v>
      </c>
      <c r="D543" s="1" t="s">
        <v>25</v>
      </c>
      <c r="E543" t="s">
        <v>39</v>
      </c>
      <c r="F543" t="s">
        <v>21</v>
      </c>
      <c r="G543" s="114">
        <v>1643.23</v>
      </c>
      <c r="H543" s="1" t="s">
        <v>17</v>
      </c>
      <c r="J543">
        <v>3.2</v>
      </c>
      <c r="K543">
        <v>1</v>
      </c>
      <c r="L543" s="114">
        <v>0</v>
      </c>
      <c r="M543" s="114">
        <v>0</v>
      </c>
      <c r="N543" s="114">
        <v>0</v>
      </c>
      <c r="O543" t="s">
        <v>1136</v>
      </c>
    </row>
    <row r="544" spans="1:15" x14ac:dyDescent="0.25">
      <c r="A544" t="s">
        <v>587</v>
      </c>
      <c r="B544" s="159">
        <v>45497.352777777778</v>
      </c>
      <c r="C544" s="1" t="s">
        <v>27</v>
      </c>
      <c r="D544" s="1" t="s">
        <v>25</v>
      </c>
      <c r="E544" t="s">
        <v>33</v>
      </c>
      <c r="F544" t="s">
        <v>29</v>
      </c>
      <c r="G544" s="114">
        <v>4896.57</v>
      </c>
      <c r="H544" s="1" t="s">
        <v>22</v>
      </c>
      <c r="J544">
        <v>1.9</v>
      </c>
      <c r="K544">
        <v>1</v>
      </c>
      <c r="L544" s="114">
        <v>93.03</v>
      </c>
      <c r="M544" s="114">
        <v>4803.54</v>
      </c>
      <c r="N544" s="114">
        <v>4896.57</v>
      </c>
      <c r="O544" t="s">
        <v>1136</v>
      </c>
    </row>
    <row r="545" spans="1:15" x14ac:dyDescent="0.25">
      <c r="A545" t="s">
        <v>588</v>
      </c>
      <c r="B545" s="159">
        <v>45497.520138888889</v>
      </c>
      <c r="C545" s="1" t="s">
        <v>47</v>
      </c>
      <c r="D545" s="1" t="s">
        <v>25</v>
      </c>
      <c r="E545" t="s">
        <v>15</v>
      </c>
      <c r="F545" t="s">
        <v>16</v>
      </c>
      <c r="G545" s="114">
        <v>4001.5</v>
      </c>
      <c r="H545" s="1" t="s">
        <v>22</v>
      </c>
      <c r="J545">
        <v>2.5</v>
      </c>
      <c r="K545">
        <v>1</v>
      </c>
      <c r="L545" s="114">
        <v>100.04</v>
      </c>
      <c r="M545" s="114">
        <v>3901.46</v>
      </c>
      <c r="N545" s="114">
        <v>4001.5</v>
      </c>
      <c r="O545" t="s">
        <v>1136</v>
      </c>
    </row>
    <row r="546" spans="1:15" x14ac:dyDescent="0.25">
      <c r="A546" t="s">
        <v>589</v>
      </c>
      <c r="B546" s="159">
        <v>45498.295138888891</v>
      </c>
      <c r="C546" s="1" t="s">
        <v>43</v>
      </c>
      <c r="D546" s="1" t="s">
        <v>25</v>
      </c>
      <c r="E546" t="s">
        <v>15</v>
      </c>
      <c r="F546" t="s">
        <v>45</v>
      </c>
      <c r="G546" s="114">
        <v>2246.0100000000002</v>
      </c>
      <c r="H546" s="1" t="s">
        <v>34</v>
      </c>
      <c r="I546" t="s">
        <v>55</v>
      </c>
      <c r="J546">
        <v>2.5</v>
      </c>
      <c r="K546">
        <v>1</v>
      </c>
      <c r="L546" s="114">
        <v>0</v>
      </c>
      <c r="M546" s="114">
        <v>0</v>
      </c>
      <c r="N546" s="114">
        <v>0</v>
      </c>
      <c r="O546" t="s">
        <v>1136</v>
      </c>
    </row>
    <row r="547" spans="1:15" x14ac:dyDescent="0.25">
      <c r="A547" t="s">
        <v>590</v>
      </c>
      <c r="B547" s="159">
        <v>45498.5625</v>
      </c>
      <c r="C547" s="1" t="s">
        <v>58</v>
      </c>
      <c r="D547" s="1" t="s">
        <v>25</v>
      </c>
      <c r="E547" t="s">
        <v>28</v>
      </c>
      <c r="F547" t="s">
        <v>41</v>
      </c>
      <c r="G547" s="114">
        <v>2673.58</v>
      </c>
      <c r="H547" s="1" t="s">
        <v>22</v>
      </c>
      <c r="J547">
        <v>2.9</v>
      </c>
      <c r="K547">
        <v>1</v>
      </c>
      <c r="L547" s="114">
        <v>77.53</v>
      </c>
      <c r="M547" s="114">
        <v>2596.0500000000002</v>
      </c>
      <c r="N547" s="114">
        <v>2673.5800000000004</v>
      </c>
      <c r="O547" t="s">
        <v>1136</v>
      </c>
    </row>
    <row r="548" spans="1:15" x14ac:dyDescent="0.25">
      <c r="A548" t="s">
        <v>591</v>
      </c>
      <c r="B548" s="159">
        <v>45499.134027777778</v>
      </c>
      <c r="C548" s="1" t="s">
        <v>13</v>
      </c>
      <c r="D548" s="1" t="s">
        <v>14</v>
      </c>
      <c r="E548" t="s">
        <v>15</v>
      </c>
      <c r="F548" t="s">
        <v>45</v>
      </c>
      <c r="G548" s="114">
        <v>753.28</v>
      </c>
      <c r="H548" s="1" t="s">
        <v>17</v>
      </c>
      <c r="J548">
        <v>2.5</v>
      </c>
      <c r="K548">
        <v>8.7400000000000005E-2</v>
      </c>
      <c r="L548" s="114">
        <v>0</v>
      </c>
      <c r="M548" s="114">
        <v>0</v>
      </c>
      <c r="N548" s="114">
        <v>0</v>
      </c>
      <c r="O548" t="s">
        <v>1136</v>
      </c>
    </row>
    <row r="549" spans="1:15" x14ac:dyDescent="0.25">
      <c r="A549" t="s">
        <v>592</v>
      </c>
      <c r="B549" s="159">
        <v>45499.296527777777</v>
      </c>
      <c r="C549" s="1" t="s">
        <v>27</v>
      </c>
      <c r="D549" s="1" t="s">
        <v>25</v>
      </c>
      <c r="E549" t="s">
        <v>44</v>
      </c>
      <c r="F549" t="s">
        <v>41</v>
      </c>
      <c r="G549" s="114">
        <v>1235.48</v>
      </c>
      <c r="H549" s="1" t="s">
        <v>22</v>
      </c>
      <c r="J549">
        <v>2.1</v>
      </c>
      <c r="K549">
        <v>1</v>
      </c>
      <c r="L549" s="114">
        <v>25.95</v>
      </c>
      <c r="M549" s="114">
        <v>1209.53</v>
      </c>
      <c r="N549" s="114">
        <v>1235.48</v>
      </c>
      <c r="O549" t="s">
        <v>1136</v>
      </c>
    </row>
    <row r="550" spans="1:15" x14ac:dyDescent="0.25">
      <c r="A550" t="s">
        <v>593</v>
      </c>
      <c r="B550" s="159">
        <v>45499.84097222222</v>
      </c>
      <c r="C550" s="1" t="s">
        <v>27</v>
      </c>
      <c r="D550" s="1" t="s">
        <v>25</v>
      </c>
      <c r="E550" t="s">
        <v>15</v>
      </c>
      <c r="F550" t="s">
        <v>16</v>
      </c>
      <c r="G550" s="114">
        <v>155.66999999999999</v>
      </c>
      <c r="H550" s="1" t="s">
        <v>17</v>
      </c>
      <c r="J550">
        <v>2.5</v>
      </c>
      <c r="K550">
        <v>1</v>
      </c>
      <c r="L550" s="114">
        <v>0</v>
      </c>
      <c r="M550" s="114">
        <v>0</v>
      </c>
      <c r="N550" s="114">
        <v>0</v>
      </c>
      <c r="O550" t="s">
        <v>1136</v>
      </c>
    </row>
    <row r="551" spans="1:15" x14ac:dyDescent="0.25">
      <c r="A551" t="s">
        <v>594</v>
      </c>
      <c r="B551" s="159">
        <v>45501.896527777775</v>
      </c>
      <c r="C551" s="1" t="s">
        <v>58</v>
      </c>
      <c r="D551" s="1" t="s">
        <v>25</v>
      </c>
      <c r="E551" t="s">
        <v>15</v>
      </c>
      <c r="F551" t="s">
        <v>16</v>
      </c>
      <c r="G551" s="114">
        <v>844.59</v>
      </c>
      <c r="H551" s="1" t="s">
        <v>17</v>
      </c>
      <c r="J551">
        <v>2.5</v>
      </c>
      <c r="K551">
        <v>1</v>
      </c>
      <c r="L551" s="114">
        <v>0</v>
      </c>
      <c r="M551" s="114">
        <v>0</v>
      </c>
      <c r="N551" s="114">
        <v>0</v>
      </c>
      <c r="O551" t="s">
        <v>1136</v>
      </c>
    </row>
    <row r="552" spans="1:15" x14ac:dyDescent="0.25">
      <c r="A552" t="s">
        <v>595</v>
      </c>
      <c r="B552" s="159">
        <v>45502.053472222222</v>
      </c>
      <c r="C552" s="1" t="s">
        <v>27</v>
      </c>
      <c r="D552" s="1" t="s">
        <v>25</v>
      </c>
      <c r="E552" t="s">
        <v>44</v>
      </c>
      <c r="F552" t="s">
        <v>29</v>
      </c>
      <c r="G552" s="114">
        <v>739.75</v>
      </c>
      <c r="H552" s="1" t="s">
        <v>22</v>
      </c>
      <c r="J552">
        <v>2.1</v>
      </c>
      <c r="K552">
        <v>1</v>
      </c>
      <c r="L552" s="114">
        <v>15.53</v>
      </c>
      <c r="M552" s="114">
        <v>724.22</v>
      </c>
      <c r="N552" s="114">
        <v>739.75</v>
      </c>
      <c r="O552" t="s">
        <v>1136</v>
      </c>
    </row>
    <row r="553" spans="1:15" x14ac:dyDescent="0.25">
      <c r="A553" t="s">
        <v>596</v>
      </c>
      <c r="B553" s="159">
        <v>45502.147916666669</v>
      </c>
      <c r="C553" s="1" t="s">
        <v>31</v>
      </c>
      <c r="D553" s="1" t="s">
        <v>32</v>
      </c>
      <c r="E553" t="s">
        <v>15</v>
      </c>
      <c r="F553" t="s">
        <v>21</v>
      </c>
      <c r="G553" s="114">
        <v>1104.8900000000001</v>
      </c>
      <c r="H553" s="1" t="s">
        <v>22</v>
      </c>
      <c r="J553">
        <v>2.5</v>
      </c>
      <c r="K553">
        <v>1.1801999999999999</v>
      </c>
      <c r="L553" s="114">
        <v>32.597124000000001</v>
      </c>
      <c r="M553" s="114">
        <v>1271.3940539999999</v>
      </c>
      <c r="N553" s="114">
        <v>1303.9911779999998</v>
      </c>
      <c r="O553" t="s">
        <v>1136</v>
      </c>
    </row>
    <row r="554" spans="1:15" x14ac:dyDescent="0.25">
      <c r="A554" t="s">
        <v>597</v>
      </c>
      <c r="B554" s="159">
        <v>45503.21597222222</v>
      </c>
      <c r="C554" s="1" t="s">
        <v>60</v>
      </c>
      <c r="D554" s="1" t="s">
        <v>25</v>
      </c>
      <c r="E554" t="s">
        <v>44</v>
      </c>
      <c r="F554" t="s">
        <v>29</v>
      </c>
      <c r="G554" s="114">
        <v>3313.49</v>
      </c>
      <c r="H554" s="1" t="s">
        <v>22</v>
      </c>
      <c r="J554">
        <v>2.1</v>
      </c>
      <c r="K554">
        <v>1</v>
      </c>
      <c r="L554" s="114">
        <v>69.58</v>
      </c>
      <c r="M554" s="114">
        <v>3243.91</v>
      </c>
      <c r="N554" s="114">
        <v>3313.49</v>
      </c>
      <c r="O554" t="s">
        <v>1136</v>
      </c>
    </row>
    <row r="555" spans="1:15" x14ac:dyDescent="0.25">
      <c r="A555" t="s">
        <v>598</v>
      </c>
      <c r="B555" s="159">
        <v>45503.447916666664</v>
      </c>
      <c r="C555" s="1" t="s">
        <v>58</v>
      </c>
      <c r="D555" s="1" t="s">
        <v>25</v>
      </c>
      <c r="E555" t="s">
        <v>28</v>
      </c>
      <c r="F555" t="s">
        <v>29</v>
      </c>
      <c r="G555" s="114">
        <v>3495.43</v>
      </c>
      <c r="H555" s="1" t="s">
        <v>17</v>
      </c>
      <c r="J555">
        <v>2.9</v>
      </c>
      <c r="K555">
        <v>1</v>
      </c>
      <c r="L555" s="114">
        <v>0</v>
      </c>
      <c r="M555" s="114">
        <v>0</v>
      </c>
      <c r="N555" s="114">
        <v>0</v>
      </c>
      <c r="O555" t="s">
        <v>1136</v>
      </c>
    </row>
    <row r="556" spans="1:15" x14ac:dyDescent="0.25">
      <c r="A556" t="s">
        <v>599</v>
      </c>
      <c r="B556" s="159">
        <v>45503.663888888892</v>
      </c>
      <c r="C556" s="1" t="s">
        <v>58</v>
      </c>
      <c r="D556" s="1" t="s">
        <v>25</v>
      </c>
      <c r="E556" t="s">
        <v>39</v>
      </c>
      <c r="F556" t="s">
        <v>45</v>
      </c>
      <c r="G556" s="114">
        <v>1882.98</v>
      </c>
      <c r="H556" s="1" t="s">
        <v>34</v>
      </c>
      <c r="I556" t="s">
        <v>100</v>
      </c>
      <c r="J556">
        <v>3.2</v>
      </c>
      <c r="K556">
        <v>1</v>
      </c>
      <c r="L556" s="114">
        <v>0</v>
      </c>
      <c r="M556" s="114">
        <v>0</v>
      </c>
      <c r="N556" s="114">
        <v>0</v>
      </c>
      <c r="O556" t="s">
        <v>1136</v>
      </c>
    </row>
    <row r="557" spans="1:15" x14ac:dyDescent="0.25">
      <c r="A557" t="s">
        <v>600</v>
      </c>
      <c r="B557" s="159">
        <v>45504.059027777781</v>
      </c>
      <c r="C557" s="1" t="s">
        <v>13</v>
      </c>
      <c r="D557" s="1" t="s">
        <v>14</v>
      </c>
      <c r="E557" t="s">
        <v>39</v>
      </c>
      <c r="F557" t="s">
        <v>29</v>
      </c>
      <c r="G557" s="114">
        <v>1936.97</v>
      </c>
      <c r="H557" s="1" t="s">
        <v>22</v>
      </c>
      <c r="J557">
        <v>3.2</v>
      </c>
      <c r="K557">
        <v>8.7400000000000005E-2</v>
      </c>
      <c r="L557" s="114">
        <v>5.417052</v>
      </c>
      <c r="M557" s="114">
        <v>163.87412600000002</v>
      </c>
      <c r="N557" s="114">
        <v>169.29117800000003</v>
      </c>
      <c r="O557" t="s">
        <v>1136</v>
      </c>
    </row>
    <row r="558" spans="1:15" x14ac:dyDescent="0.25">
      <c r="A558" t="s">
        <v>601</v>
      </c>
      <c r="B558" s="159">
        <v>45504.940972222219</v>
      </c>
      <c r="C558" s="1" t="s">
        <v>43</v>
      </c>
      <c r="D558" s="1" t="s">
        <v>25</v>
      </c>
      <c r="E558" t="s">
        <v>33</v>
      </c>
      <c r="F558" t="s">
        <v>29</v>
      </c>
      <c r="G558" s="114">
        <v>3811.68</v>
      </c>
      <c r="H558" s="1" t="s">
        <v>17</v>
      </c>
      <c r="J558">
        <v>1.9</v>
      </c>
      <c r="K558">
        <v>1</v>
      </c>
      <c r="L558" s="114">
        <v>0</v>
      </c>
      <c r="M558" s="114">
        <v>0</v>
      </c>
      <c r="N558" s="114">
        <v>0</v>
      </c>
      <c r="O558" t="s">
        <v>1136</v>
      </c>
    </row>
    <row r="559" spans="1:15" x14ac:dyDescent="0.25">
      <c r="A559" t="s">
        <v>602</v>
      </c>
      <c r="B559" s="159">
        <v>45505.09375</v>
      </c>
      <c r="C559" s="1" t="s">
        <v>43</v>
      </c>
      <c r="D559" s="1" t="s">
        <v>25</v>
      </c>
      <c r="E559" t="s">
        <v>28</v>
      </c>
      <c r="F559" t="s">
        <v>21</v>
      </c>
      <c r="G559" s="114">
        <v>139.55000000000001</v>
      </c>
      <c r="H559" s="1" t="s">
        <v>22</v>
      </c>
      <c r="J559">
        <v>2.9</v>
      </c>
      <c r="K559">
        <v>1</v>
      </c>
      <c r="L559" s="114">
        <v>4.05</v>
      </c>
      <c r="M559" s="114">
        <v>135.5</v>
      </c>
      <c r="N559" s="114">
        <v>139.55000000000001</v>
      </c>
      <c r="O559" t="s">
        <v>1137</v>
      </c>
    </row>
    <row r="560" spans="1:15" x14ac:dyDescent="0.25">
      <c r="A560" t="s">
        <v>603</v>
      </c>
      <c r="B560" s="159">
        <v>45505.316666666666</v>
      </c>
      <c r="C560" s="1" t="s">
        <v>27</v>
      </c>
      <c r="D560" s="1" t="s">
        <v>25</v>
      </c>
      <c r="E560" t="s">
        <v>15</v>
      </c>
      <c r="F560" t="s">
        <v>21</v>
      </c>
      <c r="G560" s="114">
        <v>4549.58</v>
      </c>
      <c r="H560" s="1" t="s">
        <v>22</v>
      </c>
      <c r="J560">
        <v>2.5</v>
      </c>
      <c r="K560">
        <v>1</v>
      </c>
      <c r="L560" s="114">
        <v>113.74</v>
      </c>
      <c r="M560" s="114">
        <v>4435.84</v>
      </c>
      <c r="N560" s="114">
        <v>4549.58</v>
      </c>
      <c r="O560" t="s">
        <v>1137</v>
      </c>
    </row>
    <row r="561" spans="1:15" x14ac:dyDescent="0.25">
      <c r="A561" t="s">
        <v>604</v>
      </c>
      <c r="B561" s="159">
        <v>45505.623611111114</v>
      </c>
      <c r="C561" s="1" t="s">
        <v>31</v>
      </c>
      <c r="D561" s="1" t="s">
        <v>32</v>
      </c>
      <c r="E561" t="s">
        <v>28</v>
      </c>
      <c r="F561" t="s">
        <v>29</v>
      </c>
      <c r="G561" s="114">
        <v>4617.8100000000004</v>
      </c>
      <c r="H561" s="1" t="s">
        <v>34</v>
      </c>
      <c r="I561" t="s">
        <v>62</v>
      </c>
      <c r="J561">
        <v>2.9</v>
      </c>
      <c r="K561">
        <v>1.1801999999999999</v>
      </c>
      <c r="L561" s="114">
        <v>0</v>
      </c>
      <c r="M561" s="114">
        <v>0</v>
      </c>
      <c r="N561" s="114">
        <v>0</v>
      </c>
      <c r="O561" t="s">
        <v>1137</v>
      </c>
    </row>
    <row r="562" spans="1:15" x14ac:dyDescent="0.25">
      <c r="A562" t="s">
        <v>605</v>
      </c>
      <c r="B562" s="159">
        <v>45506.024305555555</v>
      </c>
      <c r="C562" s="1" t="s">
        <v>24</v>
      </c>
      <c r="D562" s="1" t="s">
        <v>25</v>
      </c>
      <c r="E562" t="s">
        <v>44</v>
      </c>
      <c r="F562" t="s">
        <v>41</v>
      </c>
      <c r="G562" s="114">
        <v>4933.1499999999996</v>
      </c>
      <c r="H562" s="1" t="s">
        <v>22</v>
      </c>
      <c r="J562">
        <v>2.1</v>
      </c>
      <c r="K562">
        <v>1</v>
      </c>
      <c r="L562" s="114">
        <v>103.6</v>
      </c>
      <c r="M562" s="114">
        <v>4829.55</v>
      </c>
      <c r="N562" s="114">
        <v>4933.1500000000005</v>
      </c>
      <c r="O562" t="s">
        <v>1137</v>
      </c>
    </row>
    <row r="563" spans="1:15" x14ac:dyDescent="0.25">
      <c r="A563" t="s">
        <v>606</v>
      </c>
      <c r="B563" s="159">
        <v>45506.226388888892</v>
      </c>
      <c r="C563" s="1" t="s">
        <v>27</v>
      </c>
      <c r="D563" s="1" t="s">
        <v>25</v>
      </c>
      <c r="E563" t="s">
        <v>28</v>
      </c>
      <c r="F563" t="s">
        <v>21</v>
      </c>
      <c r="G563" s="114">
        <v>4880.88</v>
      </c>
      <c r="H563" s="1" t="s">
        <v>22</v>
      </c>
      <c r="J563">
        <v>2.9</v>
      </c>
      <c r="K563">
        <v>1</v>
      </c>
      <c r="L563" s="114">
        <v>141.55000000000001</v>
      </c>
      <c r="M563" s="114">
        <v>4739.33</v>
      </c>
      <c r="N563" s="114">
        <v>4880.88</v>
      </c>
      <c r="O563" t="s">
        <v>1137</v>
      </c>
    </row>
    <row r="564" spans="1:15" x14ac:dyDescent="0.25">
      <c r="A564" t="s">
        <v>607</v>
      </c>
      <c r="B564" s="159">
        <v>45506.241666666669</v>
      </c>
      <c r="C564" s="1" t="s">
        <v>37</v>
      </c>
      <c r="D564" s="1" t="s">
        <v>38</v>
      </c>
      <c r="E564" t="s">
        <v>44</v>
      </c>
      <c r="F564" t="s">
        <v>21</v>
      </c>
      <c r="G564" s="114">
        <v>3022.14</v>
      </c>
      <c r="H564" s="1" t="s">
        <v>17</v>
      </c>
      <c r="J564">
        <v>2.1</v>
      </c>
      <c r="K564">
        <v>0.23269999999999999</v>
      </c>
      <c r="L564" s="114">
        <v>0</v>
      </c>
      <c r="M564" s="114">
        <v>0</v>
      </c>
      <c r="N564" s="114">
        <v>0</v>
      </c>
      <c r="O564" t="s">
        <v>1137</v>
      </c>
    </row>
    <row r="565" spans="1:15" x14ac:dyDescent="0.25">
      <c r="A565" t="s">
        <v>608</v>
      </c>
      <c r="B565" s="159">
        <v>45506.27847222222</v>
      </c>
      <c r="C565" s="1" t="s">
        <v>13</v>
      </c>
      <c r="D565" s="1" t="s">
        <v>14</v>
      </c>
      <c r="E565" t="s">
        <v>44</v>
      </c>
      <c r="F565" t="s">
        <v>45</v>
      </c>
      <c r="G565" s="114">
        <v>3976.28</v>
      </c>
      <c r="H565" s="1" t="s">
        <v>34</v>
      </c>
      <c r="I565" t="s">
        <v>62</v>
      </c>
      <c r="J565">
        <v>2.1</v>
      </c>
      <c r="K565">
        <v>8.7400000000000005E-2</v>
      </c>
      <c r="L565" s="114">
        <v>0</v>
      </c>
      <c r="M565" s="114">
        <v>0</v>
      </c>
      <c r="N565" s="114">
        <v>0</v>
      </c>
      <c r="O565" t="s">
        <v>1137</v>
      </c>
    </row>
    <row r="566" spans="1:15" x14ac:dyDescent="0.25">
      <c r="A566" t="s">
        <v>609</v>
      </c>
      <c r="B566" s="159">
        <v>45506.51666666667</v>
      </c>
      <c r="C566" s="1" t="s">
        <v>60</v>
      </c>
      <c r="D566" s="1" t="s">
        <v>25</v>
      </c>
      <c r="E566" t="s">
        <v>33</v>
      </c>
      <c r="F566" t="s">
        <v>45</v>
      </c>
      <c r="G566" s="114">
        <v>4081.91</v>
      </c>
      <c r="H566" s="1" t="s">
        <v>22</v>
      </c>
      <c r="J566">
        <v>1.9</v>
      </c>
      <c r="K566">
        <v>1</v>
      </c>
      <c r="L566" s="114">
        <v>77.56</v>
      </c>
      <c r="M566" s="114">
        <v>4004.35</v>
      </c>
      <c r="N566" s="114">
        <v>4081.91</v>
      </c>
      <c r="O566" t="s">
        <v>1137</v>
      </c>
    </row>
    <row r="567" spans="1:15" x14ac:dyDescent="0.25">
      <c r="A567" t="s">
        <v>610</v>
      </c>
      <c r="B567" s="159">
        <v>45506.538888888892</v>
      </c>
      <c r="C567" s="1" t="s">
        <v>13</v>
      </c>
      <c r="D567" s="1" t="s">
        <v>14</v>
      </c>
      <c r="E567" t="s">
        <v>39</v>
      </c>
      <c r="F567" t="s">
        <v>21</v>
      </c>
      <c r="G567" s="114">
        <v>4547.0600000000004</v>
      </c>
      <c r="H567" s="1" t="s">
        <v>22</v>
      </c>
      <c r="J567">
        <v>3.2</v>
      </c>
      <c r="K567">
        <v>8.7400000000000005E-2</v>
      </c>
      <c r="L567" s="114">
        <v>12.717574000000001</v>
      </c>
      <c r="M567" s="114">
        <v>384.69547000000006</v>
      </c>
      <c r="N567" s="114">
        <v>397.41304400000007</v>
      </c>
      <c r="O567" t="s">
        <v>1137</v>
      </c>
    </row>
    <row r="568" spans="1:15" x14ac:dyDescent="0.25">
      <c r="A568" t="s">
        <v>611</v>
      </c>
      <c r="B568" s="159">
        <v>45506.797222222223</v>
      </c>
      <c r="C568" s="1" t="s">
        <v>19</v>
      </c>
      <c r="D568" s="1" t="s">
        <v>20</v>
      </c>
      <c r="E568" t="s">
        <v>15</v>
      </c>
      <c r="F568" t="s">
        <v>16</v>
      </c>
      <c r="G568" s="114">
        <v>936.91</v>
      </c>
      <c r="H568" s="1" t="s">
        <v>17</v>
      </c>
      <c r="J568">
        <v>2.5</v>
      </c>
      <c r="K568">
        <v>8.5999999999999993E-2</v>
      </c>
      <c r="L568" s="114">
        <v>0</v>
      </c>
      <c r="M568" s="114">
        <v>0</v>
      </c>
      <c r="N568" s="114">
        <v>0</v>
      </c>
      <c r="O568" t="s">
        <v>1137</v>
      </c>
    </row>
    <row r="569" spans="1:15" x14ac:dyDescent="0.25">
      <c r="A569" t="s">
        <v>612</v>
      </c>
      <c r="B569" s="159">
        <v>45507.370138888888</v>
      </c>
      <c r="C569" s="1" t="s">
        <v>31</v>
      </c>
      <c r="D569" s="1" t="s">
        <v>32</v>
      </c>
      <c r="E569" t="s">
        <v>15</v>
      </c>
      <c r="F569" t="s">
        <v>41</v>
      </c>
      <c r="G569" s="114">
        <v>3747.63</v>
      </c>
      <c r="H569" s="1" t="s">
        <v>22</v>
      </c>
      <c r="J569">
        <v>2.5</v>
      </c>
      <c r="K569">
        <v>1.1801999999999999</v>
      </c>
      <c r="L569" s="114">
        <v>110.57293799999999</v>
      </c>
      <c r="M569" s="114">
        <v>4312.3799879999997</v>
      </c>
      <c r="N569" s="114">
        <v>4422.9529259999999</v>
      </c>
      <c r="O569" t="s">
        <v>1137</v>
      </c>
    </row>
    <row r="570" spans="1:15" x14ac:dyDescent="0.25">
      <c r="A570" t="s">
        <v>613</v>
      </c>
      <c r="B570" s="159">
        <v>45507.496527777781</v>
      </c>
      <c r="C570" s="1" t="s">
        <v>60</v>
      </c>
      <c r="D570" s="1" t="s">
        <v>25</v>
      </c>
      <c r="E570" t="s">
        <v>33</v>
      </c>
      <c r="F570" t="s">
        <v>16</v>
      </c>
      <c r="G570" s="114">
        <v>1155.1400000000001</v>
      </c>
      <c r="H570" s="1" t="s">
        <v>34</v>
      </c>
      <c r="I570" t="s">
        <v>55</v>
      </c>
      <c r="J570">
        <v>1.9</v>
      </c>
      <c r="K570">
        <v>1</v>
      </c>
      <c r="L570" s="114">
        <v>0</v>
      </c>
      <c r="M570" s="114">
        <v>0</v>
      </c>
      <c r="N570" s="114">
        <v>0</v>
      </c>
      <c r="O570" t="s">
        <v>1137</v>
      </c>
    </row>
    <row r="571" spans="1:15" x14ac:dyDescent="0.25">
      <c r="A571" t="s">
        <v>614</v>
      </c>
      <c r="B571" s="159">
        <v>45508.022916666669</v>
      </c>
      <c r="C571" s="1" t="s">
        <v>31</v>
      </c>
      <c r="D571" s="1" t="s">
        <v>32</v>
      </c>
      <c r="E571" t="s">
        <v>28</v>
      </c>
      <c r="F571" t="s">
        <v>16</v>
      </c>
      <c r="G571" s="114">
        <v>735.18</v>
      </c>
      <c r="H571" s="1" t="s">
        <v>22</v>
      </c>
      <c r="J571">
        <v>2.9</v>
      </c>
      <c r="K571">
        <v>1.1801999999999999</v>
      </c>
      <c r="L571" s="114">
        <v>25.161863999999998</v>
      </c>
      <c r="M571" s="114">
        <v>842.49757199999999</v>
      </c>
      <c r="N571" s="114">
        <v>867.65943600000003</v>
      </c>
      <c r="O571" t="s">
        <v>1137</v>
      </c>
    </row>
    <row r="572" spans="1:15" x14ac:dyDescent="0.25">
      <c r="A572" t="s">
        <v>615</v>
      </c>
      <c r="B572" s="159">
        <v>45508.537499999999</v>
      </c>
      <c r="C572" s="1" t="s">
        <v>37</v>
      </c>
      <c r="D572" s="1" t="s">
        <v>38</v>
      </c>
      <c r="E572" t="s">
        <v>15</v>
      </c>
      <c r="F572" t="s">
        <v>21</v>
      </c>
      <c r="G572" s="114">
        <v>1098.8599999999999</v>
      </c>
      <c r="H572" s="1" t="s">
        <v>22</v>
      </c>
      <c r="J572">
        <v>2.5</v>
      </c>
      <c r="K572">
        <v>0.23269999999999999</v>
      </c>
      <c r="L572" s="114">
        <v>6.3922689999999998</v>
      </c>
      <c r="M572" s="114">
        <v>249.312453</v>
      </c>
      <c r="N572" s="114">
        <v>255.704722</v>
      </c>
      <c r="O572" t="s">
        <v>1137</v>
      </c>
    </row>
    <row r="573" spans="1:15" x14ac:dyDescent="0.25">
      <c r="A573" t="s">
        <v>616</v>
      </c>
      <c r="B573" s="159">
        <v>45508.561805555553</v>
      </c>
      <c r="C573" s="1" t="s">
        <v>60</v>
      </c>
      <c r="D573" s="1" t="s">
        <v>25</v>
      </c>
      <c r="E573" t="s">
        <v>28</v>
      </c>
      <c r="F573" t="s">
        <v>41</v>
      </c>
      <c r="G573" s="114">
        <v>2019.08</v>
      </c>
      <c r="H573" s="1" t="s">
        <v>22</v>
      </c>
      <c r="J573">
        <v>2.9</v>
      </c>
      <c r="K573">
        <v>1</v>
      </c>
      <c r="L573" s="114">
        <v>58.55</v>
      </c>
      <c r="M573" s="114">
        <v>1960.53</v>
      </c>
      <c r="N573" s="114">
        <v>2019.08</v>
      </c>
      <c r="O573" t="s">
        <v>1137</v>
      </c>
    </row>
    <row r="574" spans="1:15" x14ac:dyDescent="0.25">
      <c r="A574" t="s">
        <v>617</v>
      </c>
      <c r="B574" s="159">
        <v>45508.934027777781</v>
      </c>
      <c r="C574" s="1" t="s">
        <v>31</v>
      </c>
      <c r="D574" s="1" t="s">
        <v>32</v>
      </c>
      <c r="E574" t="s">
        <v>33</v>
      </c>
      <c r="F574" t="s">
        <v>45</v>
      </c>
      <c r="G574" s="114">
        <v>3084.07</v>
      </c>
      <c r="H574" s="1" t="s">
        <v>22</v>
      </c>
      <c r="J574">
        <v>1.9</v>
      </c>
      <c r="K574">
        <v>1.1801999999999999</v>
      </c>
      <c r="L574" s="114">
        <v>69.159719999999993</v>
      </c>
      <c r="M574" s="114">
        <v>3570.6596939999995</v>
      </c>
      <c r="N574" s="114">
        <v>3639.8194139999996</v>
      </c>
      <c r="O574" t="s">
        <v>1137</v>
      </c>
    </row>
    <row r="575" spans="1:15" x14ac:dyDescent="0.25">
      <c r="A575" t="s">
        <v>618</v>
      </c>
      <c r="B575" s="159">
        <v>45509.148611111108</v>
      </c>
      <c r="C575" s="1" t="s">
        <v>24</v>
      </c>
      <c r="D575" s="1" t="s">
        <v>25</v>
      </c>
      <c r="E575" t="s">
        <v>44</v>
      </c>
      <c r="F575" t="s">
        <v>21</v>
      </c>
      <c r="G575" s="114">
        <v>4134.8900000000003</v>
      </c>
      <c r="H575" s="1" t="s">
        <v>22</v>
      </c>
      <c r="J575">
        <v>2.1</v>
      </c>
      <c r="K575">
        <v>1</v>
      </c>
      <c r="L575" s="114">
        <v>86.83</v>
      </c>
      <c r="M575" s="114">
        <v>4048.06</v>
      </c>
      <c r="N575" s="114">
        <v>4134.8900000000003</v>
      </c>
      <c r="O575" t="s">
        <v>1137</v>
      </c>
    </row>
    <row r="576" spans="1:15" x14ac:dyDescent="0.25">
      <c r="A576" t="s">
        <v>619</v>
      </c>
      <c r="B576" s="159">
        <v>45510.095833333333</v>
      </c>
      <c r="C576" s="1" t="s">
        <v>19</v>
      </c>
      <c r="D576" s="1" t="s">
        <v>20</v>
      </c>
      <c r="E576" t="s">
        <v>15</v>
      </c>
      <c r="F576" t="s">
        <v>29</v>
      </c>
      <c r="G576" s="114">
        <v>493.96</v>
      </c>
      <c r="H576" s="1" t="s">
        <v>22</v>
      </c>
      <c r="J576">
        <v>2.5</v>
      </c>
      <c r="K576">
        <v>8.5999999999999993E-2</v>
      </c>
      <c r="L576" s="114">
        <v>1.0620999999999998</v>
      </c>
      <c r="M576" s="114">
        <v>41.418459999999996</v>
      </c>
      <c r="N576" s="114">
        <v>42.480559999999997</v>
      </c>
      <c r="O576" t="s">
        <v>1137</v>
      </c>
    </row>
    <row r="577" spans="1:15" x14ac:dyDescent="0.25">
      <c r="A577" t="s">
        <v>620</v>
      </c>
      <c r="B577" s="159">
        <v>45510.53402777778</v>
      </c>
      <c r="C577" s="1" t="s">
        <v>60</v>
      </c>
      <c r="D577" s="1" t="s">
        <v>25</v>
      </c>
      <c r="E577" t="s">
        <v>33</v>
      </c>
      <c r="F577" t="s">
        <v>16</v>
      </c>
      <c r="G577" s="114">
        <v>3603.8</v>
      </c>
      <c r="H577" s="1" t="s">
        <v>34</v>
      </c>
      <c r="I577" t="s">
        <v>100</v>
      </c>
      <c r="J577">
        <v>1.9</v>
      </c>
      <c r="K577">
        <v>1</v>
      </c>
      <c r="L577" s="114">
        <v>0</v>
      </c>
      <c r="M577" s="114">
        <v>0</v>
      </c>
      <c r="N577" s="114">
        <v>0</v>
      </c>
      <c r="O577" t="s">
        <v>1137</v>
      </c>
    </row>
    <row r="578" spans="1:15" x14ac:dyDescent="0.25">
      <c r="A578" t="s">
        <v>621</v>
      </c>
      <c r="B578" s="159">
        <v>45510.82916666667</v>
      </c>
      <c r="C578" s="1" t="s">
        <v>37</v>
      </c>
      <c r="D578" s="1" t="s">
        <v>38</v>
      </c>
      <c r="E578" t="s">
        <v>39</v>
      </c>
      <c r="F578" t="s">
        <v>45</v>
      </c>
      <c r="G578" s="114">
        <v>2879.96</v>
      </c>
      <c r="H578" s="1" t="s">
        <v>17</v>
      </c>
      <c r="J578">
        <v>3.2</v>
      </c>
      <c r="K578">
        <v>0.23269999999999999</v>
      </c>
      <c r="L578" s="114">
        <v>0</v>
      </c>
      <c r="M578" s="114">
        <v>0</v>
      </c>
      <c r="N578" s="114">
        <v>0</v>
      </c>
      <c r="O578" t="s">
        <v>1137</v>
      </c>
    </row>
    <row r="579" spans="1:15" x14ac:dyDescent="0.25">
      <c r="A579" t="s">
        <v>622</v>
      </c>
      <c r="B579" s="159">
        <v>45511.287499999999</v>
      </c>
      <c r="C579" s="1" t="s">
        <v>31</v>
      </c>
      <c r="D579" s="1" t="s">
        <v>32</v>
      </c>
      <c r="E579" t="s">
        <v>15</v>
      </c>
      <c r="F579" t="s">
        <v>21</v>
      </c>
      <c r="G579" s="114">
        <v>904.69</v>
      </c>
      <c r="H579" s="1" t="s">
        <v>34</v>
      </c>
      <c r="I579" t="s">
        <v>78</v>
      </c>
      <c r="J579">
        <v>2.5</v>
      </c>
      <c r="K579">
        <v>1.1801999999999999</v>
      </c>
      <c r="L579" s="114">
        <v>0</v>
      </c>
      <c r="M579" s="114">
        <v>0</v>
      </c>
      <c r="N579" s="114">
        <v>0</v>
      </c>
      <c r="O579" t="s">
        <v>1137</v>
      </c>
    </row>
    <row r="580" spans="1:15" x14ac:dyDescent="0.25">
      <c r="A580" t="s">
        <v>623</v>
      </c>
      <c r="B580" s="159">
        <v>45511.742361111108</v>
      </c>
      <c r="C580" s="1" t="s">
        <v>19</v>
      </c>
      <c r="D580" s="1" t="s">
        <v>20</v>
      </c>
      <c r="E580" t="s">
        <v>33</v>
      </c>
      <c r="F580" t="s">
        <v>45</v>
      </c>
      <c r="G580" s="114">
        <v>141.01</v>
      </c>
      <c r="H580" s="1" t="s">
        <v>22</v>
      </c>
      <c r="J580">
        <v>1.9</v>
      </c>
      <c r="K580">
        <v>8.5999999999999993E-2</v>
      </c>
      <c r="L580" s="114">
        <v>0.23047999999999999</v>
      </c>
      <c r="M580" s="114">
        <v>11.896380000000001</v>
      </c>
      <c r="N580" s="114">
        <v>12.126860000000001</v>
      </c>
      <c r="O580" t="s">
        <v>1137</v>
      </c>
    </row>
    <row r="581" spans="1:15" x14ac:dyDescent="0.25">
      <c r="A581" t="s">
        <v>624</v>
      </c>
      <c r="B581" s="159">
        <v>45511.836805555555</v>
      </c>
      <c r="C581" s="1" t="s">
        <v>31</v>
      </c>
      <c r="D581" s="1" t="s">
        <v>32</v>
      </c>
      <c r="E581" t="s">
        <v>28</v>
      </c>
      <c r="F581" t="s">
        <v>29</v>
      </c>
      <c r="G581" s="114">
        <v>2389.27</v>
      </c>
      <c r="H581" s="1" t="s">
        <v>22</v>
      </c>
      <c r="J581">
        <v>2.9</v>
      </c>
      <c r="K581">
        <v>1.1801999999999999</v>
      </c>
      <c r="L581" s="114">
        <v>81.776058000000006</v>
      </c>
      <c r="M581" s="114">
        <v>2738.0403959999999</v>
      </c>
      <c r="N581" s="114">
        <v>2819.8164539999998</v>
      </c>
      <c r="O581" t="s">
        <v>1137</v>
      </c>
    </row>
    <row r="582" spans="1:15" x14ac:dyDescent="0.25">
      <c r="A582" t="s">
        <v>625</v>
      </c>
      <c r="B582" s="159">
        <v>45512.179861111108</v>
      </c>
      <c r="C582" s="1" t="s">
        <v>58</v>
      </c>
      <c r="D582" s="1" t="s">
        <v>25</v>
      </c>
      <c r="E582" t="s">
        <v>15</v>
      </c>
      <c r="F582" t="s">
        <v>41</v>
      </c>
      <c r="G582" s="114">
        <v>2848.59</v>
      </c>
      <c r="H582" s="1" t="s">
        <v>34</v>
      </c>
      <c r="I582" t="s">
        <v>100</v>
      </c>
      <c r="J582">
        <v>2.5</v>
      </c>
      <c r="K582">
        <v>1</v>
      </c>
      <c r="L582" s="114">
        <v>0</v>
      </c>
      <c r="M582" s="114">
        <v>0</v>
      </c>
      <c r="N582" s="114">
        <v>0</v>
      </c>
      <c r="O582" t="s">
        <v>1137</v>
      </c>
    </row>
    <row r="583" spans="1:15" x14ac:dyDescent="0.25">
      <c r="A583" t="s">
        <v>626</v>
      </c>
      <c r="B583" s="159">
        <v>45512.62222222222</v>
      </c>
      <c r="C583" s="1" t="s">
        <v>24</v>
      </c>
      <c r="D583" s="1" t="s">
        <v>25</v>
      </c>
      <c r="E583" t="s">
        <v>15</v>
      </c>
      <c r="F583" t="s">
        <v>21</v>
      </c>
      <c r="G583" s="114">
        <v>4138.82</v>
      </c>
      <c r="H583" s="1" t="s">
        <v>34</v>
      </c>
      <c r="I583" t="s">
        <v>55</v>
      </c>
      <c r="J583">
        <v>2.5</v>
      </c>
      <c r="K583">
        <v>1</v>
      </c>
      <c r="L583" s="114">
        <v>0</v>
      </c>
      <c r="M583" s="114">
        <v>0</v>
      </c>
      <c r="N583" s="114">
        <v>0</v>
      </c>
      <c r="O583" t="s">
        <v>1137</v>
      </c>
    </row>
    <row r="584" spans="1:15" x14ac:dyDescent="0.25">
      <c r="A584" t="s">
        <v>627</v>
      </c>
      <c r="B584" s="159">
        <v>45512.840277777781</v>
      </c>
      <c r="C584" s="1" t="s">
        <v>19</v>
      </c>
      <c r="D584" s="1" t="s">
        <v>20</v>
      </c>
      <c r="E584" t="s">
        <v>15</v>
      </c>
      <c r="F584" t="s">
        <v>29</v>
      </c>
      <c r="G584" s="114">
        <v>277.24</v>
      </c>
      <c r="H584" s="1" t="s">
        <v>22</v>
      </c>
      <c r="J584">
        <v>2.5</v>
      </c>
      <c r="K584">
        <v>8.5999999999999993E-2</v>
      </c>
      <c r="L584" s="114">
        <v>0.59597999999999995</v>
      </c>
      <c r="M584" s="114">
        <v>23.246659999999999</v>
      </c>
      <c r="N584" s="114">
        <v>23.842639999999999</v>
      </c>
      <c r="O584" t="s">
        <v>1137</v>
      </c>
    </row>
    <row r="585" spans="1:15" x14ac:dyDescent="0.25">
      <c r="A585" t="s">
        <v>628</v>
      </c>
      <c r="B585" s="159">
        <v>45513.238194444442</v>
      </c>
      <c r="C585" s="1" t="s">
        <v>19</v>
      </c>
      <c r="D585" s="1" t="s">
        <v>20</v>
      </c>
      <c r="E585" t="s">
        <v>15</v>
      </c>
      <c r="F585" t="s">
        <v>41</v>
      </c>
      <c r="G585" s="114">
        <v>3863.12</v>
      </c>
      <c r="H585" s="1" t="s">
        <v>22</v>
      </c>
      <c r="J585">
        <v>2.5</v>
      </c>
      <c r="K585">
        <v>8.5999999999999993E-2</v>
      </c>
      <c r="L585" s="114">
        <v>8.3058799999999984</v>
      </c>
      <c r="M585" s="114">
        <v>323.92243999999999</v>
      </c>
      <c r="N585" s="114">
        <v>332.22832</v>
      </c>
      <c r="O585" t="s">
        <v>1137</v>
      </c>
    </row>
    <row r="586" spans="1:15" x14ac:dyDescent="0.25">
      <c r="A586" t="s">
        <v>629</v>
      </c>
      <c r="B586" s="159">
        <v>45513.417361111111</v>
      </c>
      <c r="C586" s="1" t="s">
        <v>58</v>
      </c>
      <c r="D586" s="1" t="s">
        <v>25</v>
      </c>
      <c r="E586" t="s">
        <v>28</v>
      </c>
      <c r="F586" t="s">
        <v>45</v>
      </c>
      <c r="G586" s="114">
        <v>39.44</v>
      </c>
      <c r="H586" s="1" t="s">
        <v>17</v>
      </c>
      <c r="J586">
        <v>2.9</v>
      </c>
      <c r="K586">
        <v>1</v>
      </c>
      <c r="L586" s="114">
        <v>0</v>
      </c>
      <c r="M586" s="114">
        <v>0</v>
      </c>
      <c r="N586" s="114">
        <v>0</v>
      </c>
      <c r="O586" t="s">
        <v>1137</v>
      </c>
    </row>
    <row r="587" spans="1:15" x14ac:dyDescent="0.25">
      <c r="A587" t="s">
        <v>630</v>
      </c>
      <c r="B587" s="159">
        <v>45513.486111111109</v>
      </c>
      <c r="C587" s="1" t="s">
        <v>43</v>
      </c>
      <c r="D587" s="1" t="s">
        <v>25</v>
      </c>
      <c r="E587" t="s">
        <v>44</v>
      </c>
      <c r="F587" t="s">
        <v>16</v>
      </c>
      <c r="G587" s="114">
        <v>888.92</v>
      </c>
      <c r="H587" s="1" t="s">
        <v>17</v>
      </c>
      <c r="J587">
        <v>2.1</v>
      </c>
      <c r="K587">
        <v>1</v>
      </c>
      <c r="L587" s="114">
        <v>0</v>
      </c>
      <c r="M587" s="114">
        <v>0</v>
      </c>
      <c r="N587" s="114">
        <v>0</v>
      </c>
      <c r="O587" t="s">
        <v>1137</v>
      </c>
    </row>
    <row r="588" spans="1:15" x14ac:dyDescent="0.25">
      <c r="A588" t="s">
        <v>631</v>
      </c>
      <c r="B588" s="159">
        <v>45513.831944444442</v>
      </c>
      <c r="C588" s="1" t="s">
        <v>47</v>
      </c>
      <c r="D588" s="1" t="s">
        <v>25</v>
      </c>
      <c r="E588" t="s">
        <v>39</v>
      </c>
      <c r="F588" t="s">
        <v>21</v>
      </c>
      <c r="G588" s="114">
        <v>1342.77</v>
      </c>
      <c r="H588" s="1" t="s">
        <v>22</v>
      </c>
      <c r="J588">
        <v>3.2</v>
      </c>
      <c r="K588">
        <v>1</v>
      </c>
      <c r="L588" s="114">
        <v>42.97</v>
      </c>
      <c r="M588" s="114">
        <v>1299.8</v>
      </c>
      <c r="N588" s="114">
        <v>1342.77</v>
      </c>
      <c r="O588" t="s">
        <v>1137</v>
      </c>
    </row>
    <row r="589" spans="1:15" x14ac:dyDescent="0.25">
      <c r="A589" t="s">
        <v>632</v>
      </c>
      <c r="B589" s="159">
        <v>45514.784722222219</v>
      </c>
      <c r="C589" s="1" t="s">
        <v>37</v>
      </c>
      <c r="D589" s="1" t="s">
        <v>38</v>
      </c>
      <c r="E589" t="s">
        <v>33</v>
      </c>
      <c r="F589" t="s">
        <v>29</v>
      </c>
      <c r="G589" s="114">
        <v>873.7</v>
      </c>
      <c r="H589" s="1" t="s">
        <v>22</v>
      </c>
      <c r="J589">
        <v>1.9</v>
      </c>
      <c r="K589">
        <v>0.23269999999999999</v>
      </c>
      <c r="L589" s="114">
        <v>3.8628200000000001</v>
      </c>
      <c r="M589" s="114">
        <v>199.44717</v>
      </c>
      <c r="N589" s="114">
        <v>203.30999</v>
      </c>
      <c r="O589" t="s">
        <v>1137</v>
      </c>
    </row>
    <row r="590" spans="1:15" x14ac:dyDescent="0.25">
      <c r="A590" t="s">
        <v>633</v>
      </c>
      <c r="B590" s="159">
        <v>45514.852083333331</v>
      </c>
      <c r="C590" s="1" t="s">
        <v>31</v>
      </c>
      <c r="D590" s="1" t="s">
        <v>32</v>
      </c>
      <c r="E590" t="s">
        <v>28</v>
      </c>
      <c r="F590" t="s">
        <v>45</v>
      </c>
      <c r="G590" s="114">
        <v>1715.31</v>
      </c>
      <c r="H590" s="1" t="s">
        <v>34</v>
      </c>
      <c r="I590" t="s">
        <v>35</v>
      </c>
      <c r="J590">
        <v>2.9</v>
      </c>
      <c r="K590">
        <v>1.1801999999999999</v>
      </c>
      <c r="L590" s="114">
        <v>0</v>
      </c>
      <c r="M590" s="114">
        <v>0</v>
      </c>
      <c r="N590" s="114">
        <v>0</v>
      </c>
      <c r="O590" t="s">
        <v>1137</v>
      </c>
    </row>
    <row r="591" spans="1:15" x14ac:dyDescent="0.25">
      <c r="A591" t="s">
        <v>634</v>
      </c>
      <c r="B591" s="159">
        <v>45514.880555555559</v>
      </c>
      <c r="C591" s="1" t="s">
        <v>24</v>
      </c>
      <c r="D591" s="1" t="s">
        <v>25</v>
      </c>
      <c r="E591" t="s">
        <v>39</v>
      </c>
      <c r="F591" t="s">
        <v>21</v>
      </c>
      <c r="G591" s="114">
        <v>4256.0600000000004</v>
      </c>
      <c r="H591" s="1" t="s">
        <v>34</v>
      </c>
      <c r="I591" t="s">
        <v>62</v>
      </c>
      <c r="J591">
        <v>3.2</v>
      </c>
      <c r="K591">
        <v>1</v>
      </c>
      <c r="L591" s="114">
        <v>0</v>
      </c>
      <c r="M591" s="114">
        <v>0</v>
      </c>
      <c r="N591" s="114">
        <v>0</v>
      </c>
      <c r="O591" t="s">
        <v>1137</v>
      </c>
    </row>
    <row r="592" spans="1:15" x14ac:dyDescent="0.25">
      <c r="A592" t="s">
        <v>635</v>
      </c>
      <c r="B592" s="159">
        <v>45515.537499999999</v>
      </c>
      <c r="C592" s="1" t="s">
        <v>31</v>
      </c>
      <c r="D592" s="1" t="s">
        <v>32</v>
      </c>
      <c r="E592" t="s">
        <v>33</v>
      </c>
      <c r="F592" t="s">
        <v>29</v>
      </c>
      <c r="G592" s="114">
        <v>26.5</v>
      </c>
      <c r="H592" s="1" t="s">
        <v>34</v>
      </c>
      <c r="I592" t="s">
        <v>78</v>
      </c>
      <c r="J592">
        <v>1.9</v>
      </c>
      <c r="K592">
        <v>1.1801999999999999</v>
      </c>
      <c r="L592" s="114">
        <v>0</v>
      </c>
      <c r="M592" s="114">
        <v>0</v>
      </c>
      <c r="N592" s="114">
        <v>0</v>
      </c>
      <c r="O592" t="s">
        <v>1137</v>
      </c>
    </row>
    <row r="593" spans="1:15" x14ac:dyDescent="0.25">
      <c r="A593" t="s">
        <v>636</v>
      </c>
      <c r="B593" s="159">
        <v>45515.870833333334</v>
      </c>
      <c r="C593" s="1" t="s">
        <v>13</v>
      </c>
      <c r="D593" s="1" t="s">
        <v>14</v>
      </c>
      <c r="E593" t="s">
        <v>44</v>
      </c>
      <c r="F593" t="s">
        <v>41</v>
      </c>
      <c r="G593" s="114">
        <v>1511.58</v>
      </c>
      <c r="H593" s="1" t="s">
        <v>34</v>
      </c>
      <c r="I593" t="s">
        <v>35</v>
      </c>
      <c r="J593">
        <v>2.1</v>
      </c>
      <c r="K593">
        <v>8.7400000000000005E-2</v>
      </c>
      <c r="L593" s="114">
        <v>0</v>
      </c>
      <c r="M593" s="114">
        <v>0</v>
      </c>
      <c r="N593" s="114">
        <v>0</v>
      </c>
      <c r="O593" t="s">
        <v>1137</v>
      </c>
    </row>
    <row r="594" spans="1:15" x14ac:dyDescent="0.25">
      <c r="A594" t="s">
        <v>637</v>
      </c>
      <c r="B594" s="159">
        <v>45516.938194444447</v>
      </c>
      <c r="C594" s="1" t="s">
        <v>31</v>
      </c>
      <c r="D594" s="1" t="s">
        <v>32</v>
      </c>
      <c r="E594" t="s">
        <v>28</v>
      </c>
      <c r="F594" t="s">
        <v>45</v>
      </c>
      <c r="G594" s="114">
        <v>3998.58</v>
      </c>
      <c r="H594" s="1" t="s">
        <v>22</v>
      </c>
      <c r="J594">
        <v>2.9</v>
      </c>
      <c r="K594">
        <v>1.1801999999999999</v>
      </c>
      <c r="L594" s="114">
        <v>136.85599199999999</v>
      </c>
      <c r="M594" s="114">
        <v>4582.2681239999993</v>
      </c>
      <c r="N594" s="114">
        <v>4719.124115999999</v>
      </c>
      <c r="O594" t="s">
        <v>1137</v>
      </c>
    </row>
    <row r="595" spans="1:15" x14ac:dyDescent="0.25">
      <c r="A595" t="s">
        <v>638</v>
      </c>
      <c r="B595" s="159">
        <v>45517.114583333336</v>
      </c>
      <c r="C595" s="1" t="s">
        <v>47</v>
      </c>
      <c r="D595" s="1" t="s">
        <v>25</v>
      </c>
      <c r="E595" t="s">
        <v>44</v>
      </c>
      <c r="F595" t="s">
        <v>21</v>
      </c>
      <c r="G595" s="114">
        <v>1685.88</v>
      </c>
      <c r="H595" s="1" t="s">
        <v>17</v>
      </c>
      <c r="J595">
        <v>2.1</v>
      </c>
      <c r="K595">
        <v>1</v>
      </c>
      <c r="L595" s="114">
        <v>0</v>
      </c>
      <c r="M595" s="114">
        <v>0</v>
      </c>
      <c r="N595" s="114">
        <v>0</v>
      </c>
      <c r="O595" t="s">
        <v>1137</v>
      </c>
    </row>
    <row r="596" spans="1:15" x14ac:dyDescent="0.25">
      <c r="A596" t="s">
        <v>639</v>
      </c>
      <c r="B596" s="159">
        <v>45517.218055555553</v>
      </c>
      <c r="C596" s="1" t="s">
        <v>31</v>
      </c>
      <c r="D596" s="1" t="s">
        <v>32</v>
      </c>
      <c r="E596" t="s">
        <v>33</v>
      </c>
      <c r="F596" t="s">
        <v>21</v>
      </c>
      <c r="G596" s="114">
        <v>1065.47</v>
      </c>
      <c r="H596" s="1" t="s">
        <v>22</v>
      </c>
      <c r="J596">
        <v>1.9</v>
      </c>
      <c r="K596">
        <v>1.1801999999999999</v>
      </c>
      <c r="L596" s="114">
        <v>23.887247999999996</v>
      </c>
      <c r="M596" s="114">
        <v>1233.5804459999999</v>
      </c>
      <c r="N596" s="114">
        <v>1257.4676939999999</v>
      </c>
      <c r="O596" t="s">
        <v>1137</v>
      </c>
    </row>
    <row r="597" spans="1:15" x14ac:dyDescent="0.25">
      <c r="A597" t="s">
        <v>640</v>
      </c>
      <c r="B597" s="159">
        <v>45517.424305555556</v>
      </c>
      <c r="C597" s="1" t="s">
        <v>60</v>
      </c>
      <c r="D597" s="1" t="s">
        <v>25</v>
      </c>
      <c r="E597" t="s">
        <v>39</v>
      </c>
      <c r="F597" t="s">
        <v>16</v>
      </c>
      <c r="G597" s="114">
        <v>579.29</v>
      </c>
      <c r="H597" s="1" t="s">
        <v>22</v>
      </c>
      <c r="J597">
        <v>3.2</v>
      </c>
      <c r="K597">
        <v>1</v>
      </c>
      <c r="L597" s="114">
        <v>18.54</v>
      </c>
      <c r="M597" s="114">
        <v>560.75</v>
      </c>
      <c r="N597" s="114">
        <v>579.29</v>
      </c>
      <c r="O597" t="s">
        <v>1137</v>
      </c>
    </row>
    <row r="598" spans="1:15" x14ac:dyDescent="0.25">
      <c r="A598" t="s">
        <v>641</v>
      </c>
      <c r="B598" s="159">
        <v>45517.490277777775</v>
      </c>
      <c r="C598" s="1" t="s">
        <v>24</v>
      </c>
      <c r="D598" s="1" t="s">
        <v>25</v>
      </c>
      <c r="E598" t="s">
        <v>44</v>
      </c>
      <c r="F598" t="s">
        <v>16</v>
      </c>
      <c r="G598" s="114">
        <v>3084.22</v>
      </c>
      <c r="H598" s="1" t="s">
        <v>34</v>
      </c>
      <c r="I598" t="s">
        <v>35</v>
      </c>
      <c r="J598">
        <v>2.1</v>
      </c>
      <c r="K598">
        <v>1</v>
      </c>
      <c r="L598" s="114">
        <v>0</v>
      </c>
      <c r="M598" s="114">
        <v>0</v>
      </c>
      <c r="N598" s="114">
        <v>0</v>
      </c>
      <c r="O598" t="s">
        <v>1137</v>
      </c>
    </row>
    <row r="599" spans="1:15" x14ac:dyDescent="0.25">
      <c r="A599" t="s">
        <v>642</v>
      </c>
      <c r="B599" s="159">
        <v>45518.381944444445</v>
      </c>
      <c r="C599" s="1" t="s">
        <v>58</v>
      </c>
      <c r="D599" s="1" t="s">
        <v>25</v>
      </c>
      <c r="E599" t="s">
        <v>15</v>
      </c>
      <c r="F599" t="s">
        <v>29</v>
      </c>
      <c r="G599" s="114">
        <v>4179.2</v>
      </c>
      <c r="H599" s="1" t="s">
        <v>17</v>
      </c>
      <c r="J599">
        <v>2.5</v>
      </c>
      <c r="K599">
        <v>1</v>
      </c>
      <c r="L599" s="114">
        <v>0</v>
      </c>
      <c r="M599" s="114">
        <v>0</v>
      </c>
      <c r="N599" s="114">
        <v>0</v>
      </c>
      <c r="O599" t="s">
        <v>1137</v>
      </c>
    </row>
    <row r="600" spans="1:15" x14ac:dyDescent="0.25">
      <c r="A600" t="s">
        <v>643</v>
      </c>
      <c r="B600" s="159">
        <v>45518.390972222223</v>
      </c>
      <c r="C600" s="1" t="s">
        <v>58</v>
      </c>
      <c r="D600" s="1" t="s">
        <v>25</v>
      </c>
      <c r="E600" t="s">
        <v>39</v>
      </c>
      <c r="F600" t="s">
        <v>29</v>
      </c>
      <c r="G600" s="114">
        <v>1524.83</v>
      </c>
      <c r="H600" s="1" t="s">
        <v>22</v>
      </c>
      <c r="J600">
        <v>3.2</v>
      </c>
      <c r="K600">
        <v>1</v>
      </c>
      <c r="L600" s="114">
        <v>48.79</v>
      </c>
      <c r="M600" s="114">
        <v>1476.04</v>
      </c>
      <c r="N600" s="114">
        <v>1524.83</v>
      </c>
      <c r="O600" t="s">
        <v>1137</v>
      </c>
    </row>
    <row r="601" spans="1:15" x14ac:dyDescent="0.25">
      <c r="A601" t="s">
        <v>644</v>
      </c>
      <c r="B601" s="159">
        <v>45518.553472222222</v>
      </c>
      <c r="C601" s="1" t="s">
        <v>24</v>
      </c>
      <c r="D601" s="1" t="s">
        <v>25</v>
      </c>
      <c r="E601" t="s">
        <v>33</v>
      </c>
      <c r="F601" t="s">
        <v>41</v>
      </c>
      <c r="G601" s="114">
        <v>1732.41</v>
      </c>
      <c r="H601" s="1" t="s">
        <v>22</v>
      </c>
      <c r="J601">
        <v>1.9</v>
      </c>
      <c r="K601">
        <v>1</v>
      </c>
      <c r="L601" s="114">
        <v>32.92</v>
      </c>
      <c r="M601" s="114">
        <v>1699.49</v>
      </c>
      <c r="N601" s="114">
        <v>1732.41</v>
      </c>
      <c r="O601" t="s">
        <v>1137</v>
      </c>
    </row>
    <row r="602" spans="1:15" x14ac:dyDescent="0.25">
      <c r="A602" t="s">
        <v>645</v>
      </c>
      <c r="B602" s="159">
        <v>45518.827777777777</v>
      </c>
      <c r="C602" s="1" t="s">
        <v>13</v>
      </c>
      <c r="D602" s="1" t="s">
        <v>14</v>
      </c>
      <c r="E602" t="s">
        <v>15</v>
      </c>
      <c r="F602" t="s">
        <v>45</v>
      </c>
      <c r="G602" s="114">
        <v>2235.11</v>
      </c>
      <c r="H602" s="1" t="s">
        <v>22</v>
      </c>
      <c r="J602">
        <v>2.5</v>
      </c>
      <c r="K602">
        <v>8.7400000000000005E-2</v>
      </c>
      <c r="L602" s="114">
        <v>4.8839120000000005</v>
      </c>
      <c r="M602" s="114">
        <v>190.46470200000002</v>
      </c>
      <c r="N602" s="114">
        <v>195.34861400000003</v>
      </c>
      <c r="O602" t="s">
        <v>1137</v>
      </c>
    </row>
    <row r="603" spans="1:15" x14ac:dyDescent="0.25">
      <c r="A603" t="s">
        <v>646</v>
      </c>
      <c r="B603" s="159">
        <v>45520.039583333331</v>
      </c>
      <c r="C603" s="1" t="s">
        <v>43</v>
      </c>
      <c r="D603" s="1" t="s">
        <v>25</v>
      </c>
      <c r="E603" t="s">
        <v>44</v>
      </c>
      <c r="F603" t="s">
        <v>41</v>
      </c>
      <c r="G603" s="114">
        <v>4665.1400000000003</v>
      </c>
      <c r="H603" s="1" t="s">
        <v>34</v>
      </c>
      <c r="I603" t="s">
        <v>62</v>
      </c>
      <c r="J603">
        <v>2.1</v>
      </c>
      <c r="K603">
        <v>1</v>
      </c>
      <c r="L603" s="114">
        <v>0</v>
      </c>
      <c r="M603" s="114">
        <v>0</v>
      </c>
      <c r="N603" s="114">
        <v>0</v>
      </c>
      <c r="O603" t="s">
        <v>1137</v>
      </c>
    </row>
    <row r="604" spans="1:15" x14ac:dyDescent="0.25">
      <c r="A604" t="s">
        <v>647</v>
      </c>
      <c r="B604" s="159">
        <v>45520.073611111111</v>
      </c>
      <c r="C604" s="1" t="s">
        <v>37</v>
      </c>
      <c r="D604" s="1" t="s">
        <v>38</v>
      </c>
      <c r="E604" t="s">
        <v>33</v>
      </c>
      <c r="F604" t="s">
        <v>16</v>
      </c>
      <c r="G604" s="114">
        <v>1380.03</v>
      </c>
      <c r="H604" s="1" t="s">
        <v>22</v>
      </c>
      <c r="J604">
        <v>1.9</v>
      </c>
      <c r="K604">
        <v>0.23269999999999999</v>
      </c>
      <c r="L604" s="114">
        <v>6.1013939999999991</v>
      </c>
      <c r="M604" s="114">
        <v>315.031587</v>
      </c>
      <c r="N604" s="114">
        <v>321.13298099999997</v>
      </c>
      <c r="O604" t="s">
        <v>1137</v>
      </c>
    </row>
    <row r="605" spans="1:15" x14ac:dyDescent="0.25">
      <c r="A605" t="s">
        <v>648</v>
      </c>
      <c r="B605" s="159">
        <v>45520.21597222222</v>
      </c>
      <c r="C605" s="1" t="s">
        <v>19</v>
      </c>
      <c r="D605" s="1" t="s">
        <v>20</v>
      </c>
      <c r="E605" t="s">
        <v>33</v>
      </c>
      <c r="F605" t="s">
        <v>29</v>
      </c>
      <c r="G605" s="114">
        <v>3682.24</v>
      </c>
      <c r="H605" s="1" t="s">
        <v>34</v>
      </c>
      <c r="I605" t="s">
        <v>62</v>
      </c>
      <c r="J605">
        <v>1.9</v>
      </c>
      <c r="K605">
        <v>8.5999999999999993E-2</v>
      </c>
      <c r="L605" s="114">
        <v>0</v>
      </c>
      <c r="M605" s="114">
        <v>0</v>
      </c>
      <c r="N605" s="114">
        <v>0</v>
      </c>
      <c r="O605" t="s">
        <v>1137</v>
      </c>
    </row>
    <row r="606" spans="1:15" x14ac:dyDescent="0.25">
      <c r="A606" t="s">
        <v>649</v>
      </c>
      <c r="B606" s="159">
        <v>45520.475694444445</v>
      </c>
      <c r="C606" s="1" t="s">
        <v>43</v>
      </c>
      <c r="D606" s="1" t="s">
        <v>25</v>
      </c>
      <c r="E606" t="s">
        <v>33</v>
      </c>
      <c r="F606" t="s">
        <v>45</v>
      </c>
      <c r="G606" s="114">
        <v>762.22</v>
      </c>
      <c r="H606" s="1" t="s">
        <v>22</v>
      </c>
      <c r="J606">
        <v>1.9</v>
      </c>
      <c r="K606">
        <v>1</v>
      </c>
      <c r="L606" s="114">
        <v>14.48</v>
      </c>
      <c r="M606" s="114">
        <v>747.74</v>
      </c>
      <c r="N606" s="114">
        <v>762.22</v>
      </c>
      <c r="O606" t="s">
        <v>1137</v>
      </c>
    </row>
    <row r="607" spans="1:15" x14ac:dyDescent="0.25">
      <c r="A607" t="s">
        <v>650</v>
      </c>
      <c r="B607" s="159">
        <v>45521.8125</v>
      </c>
      <c r="C607" s="1" t="s">
        <v>19</v>
      </c>
      <c r="D607" s="1" t="s">
        <v>20</v>
      </c>
      <c r="E607" t="s">
        <v>15</v>
      </c>
      <c r="F607" t="s">
        <v>45</v>
      </c>
      <c r="G607" s="114">
        <v>2538</v>
      </c>
      <c r="H607" s="1" t="s">
        <v>34</v>
      </c>
      <c r="I607" t="s">
        <v>100</v>
      </c>
      <c r="J607">
        <v>2.5</v>
      </c>
      <c r="K607">
        <v>8.5999999999999993E-2</v>
      </c>
      <c r="L607" s="114">
        <v>0</v>
      </c>
      <c r="M607" s="114">
        <v>0</v>
      </c>
      <c r="N607" s="114">
        <v>0</v>
      </c>
      <c r="O607" t="s">
        <v>1137</v>
      </c>
    </row>
    <row r="608" spans="1:15" x14ac:dyDescent="0.25">
      <c r="A608" t="s">
        <v>651</v>
      </c>
      <c r="B608" s="159">
        <v>45522.366666666669</v>
      </c>
      <c r="C608" s="1" t="s">
        <v>24</v>
      </c>
      <c r="D608" s="1" t="s">
        <v>25</v>
      </c>
      <c r="E608" t="s">
        <v>39</v>
      </c>
      <c r="F608" t="s">
        <v>45</v>
      </c>
      <c r="G608" s="114">
        <v>2428.14</v>
      </c>
      <c r="H608" s="1" t="s">
        <v>22</v>
      </c>
      <c r="J608">
        <v>3.2</v>
      </c>
      <c r="K608">
        <v>1</v>
      </c>
      <c r="L608" s="114">
        <v>77.7</v>
      </c>
      <c r="M608" s="114">
        <v>2350.44</v>
      </c>
      <c r="N608" s="114">
        <v>2428.14</v>
      </c>
      <c r="O608" t="s">
        <v>1137</v>
      </c>
    </row>
    <row r="609" spans="1:15" x14ac:dyDescent="0.25">
      <c r="A609" t="s">
        <v>652</v>
      </c>
      <c r="B609" s="159">
        <v>45522.515277777777</v>
      </c>
      <c r="C609" s="1" t="s">
        <v>24</v>
      </c>
      <c r="D609" s="1" t="s">
        <v>25</v>
      </c>
      <c r="E609" t="s">
        <v>44</v>
      </c>
      <c r="F609" t="s">
        <v>16</v>
      </c>
      <c r="G609" s="114">
        <v>3026.82</v>
      </c>
      <c r="H609" s="1" t="s">
        <v>17</v>
      </c>
      <c r="J609">
        <v>2.1</v>
      </c>
      <c r="K609">
        <v>1</v>
      </c>
      <c r="L609" s="114">
        <v>0</v>
      </c>
      <c r="M609" s="114">
        <v>0</v>
      </c>
      <c r="N609" s="114">
        <v>0</v>
      </c>
      <c r="O609" t="s">
        <v>1137</v>
      </c>
    </row>
    <row r="610" spans="1:15" x14ac:dyDescent="0.25">
      <c r="A610" t="s">
        <v>653</v>
      </c>
      <c r="B610" s="159">
        <v>45522.59652777778</v>
      </c>
      <c r="C610" s="1" t="s">
        <v>19</v>
      </c>
      <c r="D610" s="1" t="s">
        <v>20</v>
      </c>
      <c r="E610" t="s">
        <v>15</v>
      </c>
      <c r="F610" t="s">
        <v>21</v>
      </c>
      <c r="G610" s="114">
        <v>2847.46</v>
      </c>
      <c r="H610" s="1" t="s">
        <v>22</v>
      </c>
      <c r="J610">
        <v>2.5</v>
      </c>
      <c r="K610">
        <v>8.5999999999999993E-2</v>
      </c>
      <c r="L610" s="114">
        <v>6.1223399999999994</v>
      </c>
      <c r="M610" s="114">
        <v>238.75921999999997</v>
      </c>
      <c r="N610" s="114">
        <v>244.88155999999998</v>
      </c>
      <c r="O610" t="s">
        <v>1137</v>
      </c>
    </row>
    <row r="611" spans="1:15" x14ac:dyDescent="0.25">
      <c r="A611" t="s">
        <v>654</v>
      </c>
      <c r="B611" s="159">
        <v>45522.612500000003</v>
      </c>
      <c r="C611" s="1" t="s">
        <v>19</v>
      </c>
      <c r="D611" s="1" t="s">
        <v>20</v>
      </c>
      <c r="E611" t="s">
        <v>33</v>
      </c>
      <c r="F611" t="s">
        <v>29</v>
      </c>
      <c r="G611" s="114">
        <v>4819.6400000000003</v>
      </c>
      <c r="H611" s="1" t="s">
        <v>22</v>
      </c>
      <c r="J611">
        <v>1.9</v>
      </c>
      <c r="K611">
        <v>8.5999999999999993E-2</v>
      </c>
      <c r="L611" s="114">
        <v>7.8750199999999984</v>
      </c>
      <c r="M611" s="114">
        <v>406.61401999999993</v>
      </c>
      <c r="N611" s="114">
        <v>414.48903999999993</v>
      </c>
      <c r="O611" t="s">
        <v>1137</v>
      </c>
    </row>
    <row r="612" spans="1:15" x14ac:dyDescent="0.25">
      <c r="A612" t="s">
        <v>655</v>
      </c>
      <c r="B612" s="159">
        <v>45522.67291666667</v>
      </c>
      <c r="C612" s="1" t="s">
        <v>58</v>
      </c>
      <c r="D612" s="1" t="s">
        <v>25</v>
      </c>
      <c r="E612" t="s">
        <v>28</v>
      </c>
      <c r="F612" t="s">
        <v>29</v>
      </c>
      <c r="G612" s="114">
        <v>4085.35</v>
      </c>
      <c r="H612" s="1" t="s">
        <v>22</v>
      </c>
      <c r="J612">
        <v>2.9</v>
      </c>
      <c r="K612">
        <v>1</v>
      </c>
      <c r="L612" s="114">
        <v>118.48</v>
      </c>
      <c r="M612" s="114">
        <v>3966.87</v>
      </c>
      <c r="N612" s="114">
        <v>4085.35</v>
      </c>
      <c r="O612" t="s">
        <v>1137</v>
      </c>
    </row>
    <row r="613" spans="1:15" x14ac:dyDescent="0.25">
      <c r="A613" t="s">
        <v>656</v>
      </c>
      <c r="B613" s="159">
        <v>45522.768750000003</v>
      </c>
      <c r="C613" s="1" t="s">
        <v>58</v>
      </c>
      <c r="D613" s="1" t="s">
        <v>25</v>
      </c>
      <c r="E613" t="s">
        <v>28</v>
      </c>
      <c r="F613" t="s">
        <v>29</v>
      </c>
      <c r="G613" s="114">
        <v>1036.8599999999999</v>
      </c>
      <c r="H613" s="1" t="s">
        <v>22</v>
      </c>
      <c r="J613">
        <v>2.9</v>
      </c>
      <c r="K613">
        <v>1</v>
      </c>
      <c r="L613" s="114">
        <v>30.07</v>
      </c>
      <c r="M613" s="114">
        <v>1006.79</v>
      </c>
      <c r="N613" s="114">
        <v>1036.8599999999999</v>
      </c>
      <c r="O613" t="s">
        <v>1137</v>
      </c>
    </row>
    <row r="614" spans="1:15" x14ac:dyDescent="0.25">
      <c r="A614" t="s">
        <v>657</v>
      </c>
      <c r="B614" s="159">
        <v>45523.635416666664</v>
      </c>
      <c r="C614" s="1" t="s">
        <v>31</v>
      </c>
      <c r="D614" s="1" t="s">
        <v>32</v>
      </c>
      <c r="E614" t="s">
        <v>33</v>
      </c>
      <c r="F614" t="s">
        <v>41</v>
      </c>
      <c r="G614" s="114">
        <v>3468.87</v>
      </c>
      <c r="H614" s="1" t="s">
        <v>34</v>
      </c>
      <c r="I614" t="s">
        <v>35</v>
      </c>
      <c r="J614">
        <v>1.9</v>
      </c>
      <c r="K614">
        <v>1.1801999999999999</v>
      </c>
      <c r="L614" s="114">
        <v>0</v>
      </c>
      <c r="M614" s="114">
        <v>0</v>
      </c>
      <c r="N614" s="114">
        <v>0</v>
      </c>
      <c r="O614" t="s">
        <v>1137</v>
      </c>
    </row>
    <row r="615" spans="1:15" x14ac:dyDescent="0.25">
      <c r="A615" t="s">
        <v>658</v>
      </c>
      <c r="B615" s="159">
        <v>45524.031944444447</v>
      </c>
      <c r="C615" s="1" t="s">
        <v>47</v>
      </c>
      <c r="D615" s="1" t="s">
        <v>25</v>
      </c>
      <c r="E615" t="s">
        <v>33</v>
      </c>
      <c r="F615" t="s">
        <v>29</v>
      </c>
      <c r="G615" s="114">
        <v>2543.33</v>
      </c>
      <c r="H615" s="1" t="s">
        <v>22</v>
      </c>
      <c r="J615">
        <v>1.9</v>
      </c>
      <c r="K615">
        <v>1</v>
      </c>
      <c r="L615" s="114">
        <v>48.32</v>
      </c>
      <c r="M615" s="114">
        <v>2495.0100000000002</v>
      </c>
      <c r="N615" s="114">
        <v>2543.3300000000004</v>
      </c>
      <c r="O615" t="s">
        <v>1137</v>
      </c>
    </row>
    <row r="616" spans="1:15" x14ac:dyDescent="0.25">
      <c r="A616" t="s">
        <v>659</v>
      </c>
      <c r="B616" s="159">
        <v>45524.113888888889</v>
      </c>
      <c r="C616" s="1" t="s">
        <v>60</v>
      </c>
      <c r="D616" s="1" t="s">
        <v>25</v>
      </c>
      <c r="E616" t="s">
        <v>44</v>
      </c>
      <c r="F616" t="s">
        <v>16</v>
      </c>
      <c r="G616" s="114">
        <v>2083.9499999999998</v>
      </c>
      <c r="H616" s="1" t="s">
        <v>34</v>
      </c>
      <c r="I616" t="s">
        <v>35</v>
      </c>
      <c r="J616">
        <v>2.1</v>
      </c>
      <c r="K616">
        <v>1</v>
      </c>
      <c r="L616" s="114">
        <v>0</v>
      </c>
      <c r="M616" s="114">
        <v>0</v>
      </c>
      <c r="N616" s="114">
        <v>0</v>
      </c>
      <c r="O616" t="s">
        <v>1137</v>
      </c>
    </row>
    <row r="617" spans="1:15" x14ac:dyDescent="0.25">
      <c r="A617" t="s">
        <v>660</v>
      </c>
      <c r="B617" s="159">
        <v>45524.427083333336</v>
      </c>
      <c r="C617" s="1" t="s">
        <v>19</v>
      </c>
      <c r="D617" s="1" t="s">
        <v>20</v>
      </c>
      <c r="E617" t="s">
        <v>33</v>
      </c>
      <c r="F617" t="s">
        <v>45</v>
      </c>
      <c r="G617" s="114">
        <v>4224.03</v>
      </c>
      <c r="H617" s="1" t="s">
        <v>22</v>
      </c>
      <c r="J617">
        <v>1.9</v>
      </c>
      <c r="K617">
        <v>8.5999999999999993E-2</v>
      </c>
      <c r="L617" s="114">
        <v>6.9023599999999998</v>
      </c>
      <c r="M617" s="114">
        <v>356.36421999999999</v>
      </c>
      <c r="N617" s="114">
        <v>363.26657999999998</v>
      </c>
      <c r="O617" t="s">
        <v>1137</v>
      </c>
    </row>
    <row r="618" spans="1:15" x14ac:dyDescent="0.25">
      <c r="A618" t="s">
        <v>661</v>
      </c>
      <c r="B618" s="159">
        <v>45524.625694444447</v>
      </c>
      <c r="C618" s="1" t="s">
        <v>31</v>
      </c>
      <c r="D618" s="1" t="s">
        <v>32</v>
      </c>
      <c r="E618" t="s">
        <v>15</v>
      </c>
      <c r="F618" t="s">
        <v>41</v>
      </c>
      <c r="G618" s="114">
        <v>1763.69</v>
      </c>
      <c r="H618" s="1" t="s">
        <v>34</v>
      </c>
      <c r="I618" t="s">
        <v>35</v>
      </c>
      <c r="J618">
        <v>2.5</v>
      </c>
      <c r="K618">
        <v>1.1801999999999999</v>
      </c>
      <c r="L618" s="114">
        <v>0</v>
      </c>
      <c r="M618" s="114">
        <v>0</v>
      </c>
      <c r="N618" s="114">
        <v>0</v>
      </c>
      <c r="O618" t="s">
        <v>1137</v>
      </c>
    </row>
    <row r="619" spans="1:15" x14ac:dyDescent="0.25">
      <c r="A619" t="s">
        <v>662</v>
      </c>
      <c r="B619" s="159">
        <v>45524.693055555559</v>
      </c>
      <c r="C619" s="1" t="s">
        <v>58</v>
      </c>
      <c r="D619" s="1" t="s">
        <v>25</v>
      </c>
      <c r="E619" t="s">
        <v>28</v>
      </c>
      <c r="F619" t="s">
        <v>41</v>
      </c>
      <c r="G619" s="114">
        <v>4265.4399999999996</v>
      </c>
      <c r="H619" s="1" t="s">
        <v>17</v>
      </c>
      <c r="J619">
        <v>2.9</v>
      </c>
      <c r="K619">
        <v>1</v>
      </c>
      <c r="L619" s="114">
        <v>0</v>
      </c>
      <c r="M619" s="114">
        <v>0</v>
      </c>
      <c r="N619" s="114">
        <v>0</v>
      </c>
      <c r="O619" t="s">
        <v>1137</v>
      </c>
    </row>
    <row r="620" spans="1:15" x14ac:dyDescent="0.25">
      <c r="A620" t="s">
        <v>663</v>
      </c>
      <c r="B620" s="159">
        <v>45524.818055555559</v>
      </c>
      <c r="C620" s="1" t="s">
        <v>60</v>
      </c>
      <c r="D620" s="1" t="s">
        <v>25</v>
      </c>
      <c r="E620" t="s">
        <v>39</v>
      </c>
      <c r="F620" t="s">
        <v>29</v>
      </c>
      <c r="G620" s="114">
        <v>606.02</v>
      </c>
      <c r="H620" s="1" t="s">
        <v>22</v>
      </c>
      <c r="J620">
        <v>3.2</v>
      </c>
      <c r="K620">
        <v>1</v>
      </c>
      <c r="L620" s="114">
        <v>19.39</v>
      </c>
      <c r="M620" s="114">
        <v>586.63</v>
      </c>
      <c r="N620" s="114">
        <v>606.02</v>
      </c>
      <c r="O620" t="s">
        <v>1137</v>
      </c>
    </row>
    <row r="621" spans="1:15" x14ac:dyDescent="0.25">
      <c r="A621" t="s">
        <v>664</v>
      </c>
      <c r="B621" s="159">
        <v>45524.845138888886</v>
      </c>
      <c r="C621" s="1" t="s">
        <v>19</v>
      </c>
      <c r="D621" s="1" t="s">
        <v>20</v>
      </c>
      <c r="E621" t="s">
        <v>28</v>
      </c>
      <c r="F621" t="s">
        <v>21</v>
      </c>
      <c r="G621" s="114">
        <v>4849.1499999999996</v>
      </c>
      <c r="H621" s="1" t="s">
        <v>17</v>
      </c>
      <c r="J621">
        <v>2.9</v>
      </c>
      <c r="K621">
        <v>8.5999999999999993E-2</v>
      </c>
      <c r="L621" s="114">
        <v>0</v>
      </c>
      <c r="M621" s="114">
        <v>0</v>
      </c>
      <c r="N621" s="114">
        <v>0</v>
      </c>
      <c r="O621" t="s">
        <v>1137</v>
      </c>
    </row>
    <row r="622" spans="1:15" x14ac:dyDescent="0.25">
      <c r="A622" t="s">
        <v>665</v>
      </c>
      <c r="B622" s="159">
        <v>45524.896527777775</v>
      </c>
      <c r="C622" s="1" t="s">
        <v>31</v>
      </c>
      <c r="D622" s="1" t="s">
        <v>32</v>
      </c>
      <c r="E622" t="s">
        <v>44</v>
      </c>
      <c r="F622" t="s">
        <v>29</v>
      </c>
      <c r="G622" s="114">
        <v>960.82</v>
      </c>
      <c r="H622" s="1" t="s">
        <v>22</v>
      </c>
      <c r="J622">
        <v>2.1</v>
      </c>
      <c r="K622">
        <v>1.1801999999999999</v>
      </c>
      <c r="L622" s="114">
        <v>23.816435999999999</v>
      </c>
      <c r="M622" s="114">
        <v>1110.1433279999999</v>
      </c>
      <c r="N622" s="114">
        <v>1133.959764</v>
      </c>
      <c r="O622" t="s">
        <v>1137</v>
      </c>
    </row>
    <row r="623" spans="1:15" x14ac:dyDescent="0.25">
      <c r="A623" t="s">
        <v>666</v>
      </c>
      <c r="B623" s="159">
        <v>45525.018750000003</v>
      </c>
      <c r="C623" s="1" t="s">
        <v>24</v>
      </c>
      <c r="D623" s="1" t="s">
        <v>25</v>
      </c>
      <c r="E623" t="s">
        <v>44</v>
      </c>
      <c r="F623" t="s">
        <v>21</v>
      </c>
      <c r="G623" s="114">
        <v>803.3</v>
      </c>
      <c r="H623" s="1" t="s">
        <v>22</v>
      </c>
      <c r="J623">
        <v>2.1</v>
      </c>
      <c r="K623">
        <v>1</v>
      </c>
      <c r="L623" s="114">
        <v>16.87</v>
      </c>
      <c r="M623" s="114">
        <v>786.43</v>
      </c>
      <c r="N623" s="114">
        <v>803.3</v>
      </c>
      <c r="O623" t="s">
        <v>1137</v>
      </c>
    </row>
    <row r="624" spans="1:15" x14ac:dyDescent="0.25">
      <c r="A624" t="s">
        <v>667</v>
      </c>
      <c r="B624" s="159">
        <v>45525.580555555556</v>
      </c>
      <c r="C624" s="1" t="s">
        <v>19</v>
      </c>
      <c r="D624" s="1" t="s">
        <v>20</v>
      </c>
      <c r="E624" t="s">
        <v>44</v>
      </c>
      <c r="F624" t="s">
        <v>16</v>
      </c>
      <c r="G624" s="114">
        <v>2476.94</v>
      </c>
      <c r="H624" s="1" t="s">
        <v>22</v>
      </c>
      <c r="J624">
        <v>2.1</v>
      </c>
      <c r="K624">
        <v>8.5999999999999993E-2</v>
      </c>
      <c r="L624" s="114">
        <v>4.4737200000000001</v>
      </c>
      <c r="M624" s="114">
        <v>208.54311999999999</v>
      </c>
      <c r="N624" s="114">
        <v>213.01684</v>
      </c>
      <c r="O624" t="s">
        <v>1137</v>
      </c>
    </row>
    <row r="625" spans="1:15" x14ac:dyDescent="0.25">
      <c r="A625" t="s">
        <v>668</v>
      </c>
      <c r="B625" s="159">
        <v>45525.798611111109</v>
      </c>
      <c r="C625" s="1" t="s">
        <v>19</v>
      </c>
      <c r="D625" s="1" t="s">
        <v>20</v>
      </c>
      <c r="E625" t="s">
        <v>28</v>
      </c>
      <c r="F625" t="s">
        <v>41</v>
      </c>
      <c r="G625" s="114">
        <v>579.76</v>
      </c>
      <c r="H625" s="1" t="s">
        <v>17</v>
      </c>
      <c r="J625">
        <v>2.9</v>
      </c>
      <c r="K625">
        <v>8.5999999999999993E-2</v>
      </c>
      <c r="L625" s="114">
        <v>0</v>
      </c>
      <c r="M625" s="114">
        <v>0</v>
      </c>
      <c r="N625" s="114">
        <v>0</v>
      </c>
      <c r="O625" t="s">
        <v>1137</v>
      </c>
    </row>
    <row r="626" spans="1:15" x14ac:dyDescent="0.25">
      <c r="A626" t="s">
        <v>669</v>
      </c>
      <c r="B626" s="159">
        <v>45525.984027777777</v>
      </c>
      <c r="C626" s="1" t="s">
        <v>37</v>
      </c>
      <c r="D626" s="1" t="s">
        <v>38</v>
      </c>
      <c r="E626" t="s">
        <v>28</v>
      </c>
      <c r="F626" t="s">
        <v>41</v>
      </c>
      <c r="G626" s="114">
        <v>3844.87</v>
      </c>
      <c r="H626" s="1" t="s">
        <v>22</v>
      </c>
      <c r="J626">
        <v>2.9</v>
      </c>
      <c r="K626">
        <v>0.23269999999999999</v>
      </c>
      <c r="L626" s="114">
        <v>25.94605</v>
      </c>
      <c r="M626" s="114">
        <v>868.75519899999995</v>
      </c>
      <c r="N626" s="114">
        <v>894.70124899999996</v>
      </c>
      <c r="O626" t="s">
        <v>1137</v>
      </c>
    </row>
    <row r="627" spans="1:15" x14ac:dyDescent="0.25">
      <c r="A627" t="s">
        <v>670</v>
      </c>
      <c r="B627" s="159">
        <v>45526.086805555555</v>
      </c>
      <c r="C627" s="1" t="s">
        <v>58</v>
      </c>
      <c r="D627" s="1" t="s">
        <v>25</v>
      </c>
      <c r="E627" t="s">
        <v>44</v>
      </c>
      <c r="F627" t="s">
        <v>21</v>
      </c>
      <c r="G627" s="114">
        <v>4791.7</v>
      </c>
      <c r="H627" s="1" t="s">
        <v>22</v>
      </c>
      <c r="J627">
        <v>2.1</v>
      </c>
      <c r="K627">
        <v>1</v>
      </c>
      <c r="L627" s="114">
        <v>100.63</v>
      </c>
      <c r="M627" s="114">
        <v>4691.07</v>
      </c>
      <c r="N627" s="114">
        <v>4791.7</v>
      </c>
      <c r="O627" t="s">
        <v>1137</v>
      </c>
    </row>
    <row r="628" spans="1:15" x14ac:dyDescent="0.25">
      <c r="A628" t="s">
        <v>671</v>
      </c>
      <c r="B628" s="159">
        <v>45526.129166666666</v>
      </c>
      <c r="C628" s="1" t="s">
        <v>19</v>
      </c>
      <c r="D628" s="1" t="s">
        <v>20</v>
      </c>
      <c r="E628" t="s">
        <v>33</v>
      </c>
      <c r="F628" t="s">
        <v>41</v>
      </c>
      <c r="G628" s="114">
        <v>4119.82</v>
      </c>
      <c r="H628" s="1" t="s">
        <v>22</v>
      </c>
      <c r="J628">
        <v>1.9</v>
      </c>
      <c r="K628">
        <v>8.5999999999999993E-2</v>
      </c>
      <c r="L628" s="114">
        <v>6.7320799999999998</v>
      </c>
      <c r="M628" s="114">
        <v>347.57243999999997</v>
      </c>
      <c r="N628" s="114">
        <v>354.30451999999997</v>
      </c>
      <c r="O628" t="s">
        <v>1137</v>
      </c>
    </row>
    <row r="629" spans="1:15" x14ac:dyDescent="0.25">
      <c r="A629" t="s">
        <v>672</v>
      </c>
      <c r="B629" s="159">
        <v>45526.400000000001</v>
      </c>
      <c r="C629" s="1" t="s">
        <v>27</v>
      </c>
      <c r="D629" s="1" t="s">
        <v>25</v>
      </c>
      <c r="E629" t="s">
        <v>39</v>
      </c>
      <c r="F629" t="s">
        <v>29</v>
      </c>
      <c r="G629" s="114">
        <v>3948.45</v>
      </c>
      <c r="H629" s="1" t="s">
        <v>22</v>
      </c>
      <c r="J629">
        <v>3.2</v>
      </c>
      <c r="K629">
        <v>1</v>
      </c>
      <c r="L629" s="114">
        <v>126.35</v>
      </c>
      <c r="M629" s="114">
        <v>3822.1</v>
      </c>
      <c r="N629" s="114">
        <v>3948.45</v>
      </c>
      <c r="O629" t="s">
        <v>1137</v>
      </c>
    </row>
    <row r="630" spans="1:15" x14ac:dyDescent="0.25">
      <c r="A630" t="s">
        <v>673</v>
      </c>
      <c r="B630" s="159">
        <v>45526.629861111112</v>
      </c>
      <c r="C630" s="1" t="s">
        <v>27</v>
      </c>
      <c r="D630" s="1" t="s">
        <v>25</v>
      </c>
      <c r="E630" t="s">
        <v>28</v>
      </c>
      <c r="F630" t="s">
        <v>21</v>
      </c>
      <c r="G630" s="114">
        <v>476.95</v>
      </c>
      <c r="H630" s="1" t="s">
        <v>22</v>
      </c>
      <c r="J630">
        <v>2.9</v>
      </c>
      <c r="K630">
        <v>1</v>
      </c>
      <c r="L630" s="114">
        <v>13.83</v>
      </c>
      <c r="M630" s="114">
        <v>463.12</v>
      </c>
      <c r="N630" s="114">
        <v>476.95</v>
      </c>
      <c r="O630" t="s">
        <v>1137</v>
      </c>
    </row>
    <row r="631" spans="1:15" x14ac:dyDescent="0.25">
      <c r="A631" t="s">
        <v>674</v>
      </c>
      <c r="B631" s="159">
        <v>45526.662499999999</v>
      </c>
      <c r="C631" s="1" t="s">
        <v>43</v>
      </c>
      <c r="D631" s="1" t="s">
        <v>25</v>
      </c>
      <c r="E631" t="s">
        <v>33</v>
      </c>
      <c r="F631" t="s">
        <v>41</v>
      </c>
      <c r="G631" s="114">
        <v>3043.84</v>
      </c>
      <c r="H631" s="1" t="s">
        <v>34</v>
      </c>
      <c r="I631" t="s">
        <v>35</v>
      </c>
      <c r="J631">
        <v>1.9</v>
      </c>
      <c r="K631">
        <v>1</v>
      </c>
      <c r="L631" s="114">
        <v>0</v>
      </c>
      <c r="M631" s="114">
        <v>0</v>
      </c>
      <c r="N631" s="114">
        <v>0</v>
      </c>
      <c r="O631" t="s">
        <v>1137</v>
      </c>
    </row>
    <row r="632" spans="1:15" x14ac:dyDescent="0.25">
      <c r="A632" t="s">
        <v>675</v>
      </c>
      <c r="B632" s="159">
        <v>45526.799305555556</v>
      </c>
      <c r="C632" s="1" t="s">
        <v>47</v>
      </c>
      <c r="D632" s="1" t="s">
        <v>25</v>
      </c>
      <c r="E632" t="s">
        <v>33</v>
      </c>
      <c r="F632" t="s">
        <v>45</v>
      </c>
      <c r="G632" s="114">
        <v>432.91</v>
      </c>
      <c r="H632" s="1" t="s">
        <v>22</v>
      </c>
      <c r="J632">
        <v>1.9</v>
      </c>
      <c r="K632">
        <v>1</v>
      </c>
      <c r="L632" s="114">
        <v>8.23</v>
      </c>
      <c r="M632" s="114">
        <v>424.68</v>
      </c>
      <c r="N632" s="114">
        <v>432.91</v>
      </c>
      <c r="O632" t="s">
        <v>1137</v>
      </c>
    </row>
    <row r="633" spans="1:15" x14ac:dyDescent="0.25">
      <c r="A633" t="s">
        <v>676</v>
      </c>
      <c r="B633" s="159">
        <v>45526.895138888889</v>
      </c>
      <c r="C633" s="1" t="s">
        <v>19</v>
      </c>
      <c r="D633" s="1" t="s">
        <v>20</v>
      </c>
      <c r="E633" t="s">
        <v>28</v>
      </c>
      <c r="F633" t="s">
        <v>16</v>
      </c>
      <c r="G633" s="114">
        <v>590.17999999999995</v>
      </c>
      <c r="H633" s="1" t="s">
        <v>22</v>
      </c>
      <c r="J633">
        <v>2.9</v>
      </c>
      <c r="K633">
        <v>8.5999999999999993E-2</v>
      </c>
      <c r="L633" s="114">
        <v>1.4723200000000001</v>
      </c>
      <c r="M633" s="114">
        <v>49.283159999999988</v>
      </c>
      <c r="N633" s="114">
        <v>50.755479999999991</v>
      </c>
      <c r="O633" t="s">
        <v>1137</v>
      </c>
    </row>
    <row r="634" spans="1:15" x14ac:dyDescent="0.25">
      <c r="A634" t="s">
        <v>677</v>
      </c>
      <c r="B634" s="159">
        <v>45527.043055555558</v>
      </c>
      <c r="C634" s="1" t="s">
        <v>27</v>
      </c>
      <c r="D634" s="1" t="s">
        <v>25</v>
      </c>
      <c r="E634" t="s">
        <v>33</v>
      </c>
      <c r="F634" t="s">
        <v>21</v>
      </c>
      <c r="G634" s="114">
        <v>4424.6499999999996</v>
      </c>
      <c r="H634" s="1" t="s">
        <v>22</v>
      </c>
      <c r="J634">
        <v>1.9</v>
      </c>
      <c r="K634">
        <v>1</v>
      </c>
      <c r="L634" s="114">
        <v>84.07</v>
      </c>
      <c r="M634" s="114">
        <v>4340.58</v>
      </c>
      <c r="N634" s="114">
        <v>4424.6499999999996</v>
      </c>
      <c r="O634" t="s">
        <v>1137</v>
      </c>
    </row>
    <row r="635" spans="1:15" x14ac:dyDescent="0.25">
      <c r="A635" t="s">
        <v>678</v>
      </c>
      <c r="B635" s="159">
        <v>45527.464583333334</v>
      </c>
      <c r="C635" s="1" t="s">
        <v>47</v>
      </c>
      <c r="D635" s="1" t="s">
        <v>25</v>
      </c>
      <c r="E635" t="s">
        <v>44</v>
      </c>
      <c r="F635" t="s">
        <v>41</v>
      </c>
      <c r="G635" s="114">
        <v>170.76</v>
      </c>
      <c r="H635" s="1" t="s">
        <v>34</v>
      </c>
      <c r="I635" t="s">
        <v>100</v>
      </c>
      <c r="J635">
        <v>2.1</v>
      </c>
      <c r="K635">
        <v>1</v>
      </c>
      <c r="L635" s="114">
        <v>0</v>
      </c>
      <c r="M635" s="114">
        <v>0</v>
      </c>
      <c r="N635" s="114">
        <v>0</v>
      </c>
      <c r="O635" t="s">
        <v>1137</v>
      </c>
    </row>
    <row r="636" spans="1:15" x14ac:dyDescent="0.25">
      <c r="A636" t="s">
        <v>679</v>
      </c>
      <c r="B636" s="159">
        <v>45528.160416666666</v>
      </c>
      <c r="C636" s="1" t="s">
        <v>27</v>
      </c>
      <c r="D636" s="1" t="s">
        <v>25</v>
      </c>
      <c r="E636" t="s">
        <v>28</v>
      </c>
      <c r="F636" t="s">
        <v>41</v>
      </c>
      <c r="G636" s="114">
        <v>317.73</v>
      </c>
      <c r="H636" s="1" t="s">
        <v>22</v>
      </c>
      <c r="J636">
        <v>2.9</v>
      </c>
      <c r="K636">
        <v>1</v>
      </c>
      <c r="L636" s="114">
        <v>9.2100000000000009</v>
      </c>
      <c r="M636" s="114">
        <v>308.52</v>
      </c>
      <c r="N636" s="114">
        <v>317.72999999999996</v>
      </c>
      <c r="O636" t="s">
        <v>1137</v>
      </c>
    </row>
    <row r="637" spans="1:15" x14ac:dyDescent="0.25">
      <c r="A637" t="s">
        <v>680</v>
      </c>
      <c r="B637" s="159">
        <v>45528.511805555558</v>
      </c>
      <c r="C637" s="1" t="s">
        <v>13</v>
      </c>
      <c r="D637" s="1" t="s">
        <v>14</v>
      </c>
      <c r="E637" t="s">
        <v>44</v>
      </c>
      <c r="F637" t="s">
        <v>21</v>
      </c>
      <c r="G637" s="114">
        <v>4215.83</v>
      </c>
      <c r="H637" s="1" t="s">
        <v>22</v>
      </c>
      <c r="J637">
        <v>2.1</v>
      </c>
      <c r="K637">
        <v>8.7400000000000005E-2</v>
      </c>
      <c r="L637" s="114">
        <v>7.7375220000000002</v>
      </c>
      <c r="M637" s="114">
        <v>360.72602000000006</v>
      </c>
      <c r="N637" s="114">
        <v>368.46354200000007</v>
      </c>
      <c r="O637" t="s">
        <v>1137</v>
      </c>
    </row>
    <row r="638" spans="1:15" x14ac:dyDescent="0.25">
      <c r="A638" t="s">
        <v>681</v>
      </c>
      <c r="B638" s="159">
        <v>45528.584722222222</v>
      </c>
      <c r="C638" s="1" t="s">
        <v>60</v>
      </c>
      <c r="D638" s="1" t="s">
        <v>25</v>
      </c>
      <c r="E638" t="s">
        <v>39</v>
      </c>
      <c r="F638" t="s">
        <v>21</v>
      </c>
      <c r="G638" s="114">
        <v>392.89</v>
      </c>
      <c r="H638" s="1" t="s">
        <v>22</v>
      </c>
      <c r="J638">
        <v>3.2</v>
      </c>
      <c r="K638">
        <v>1</v>
      </c>
      <c r="L638" s="114">
        <v>12.57</v>
      </c>
      <c r="M638" s="114">
        <v>380.32</v>
      </c>
      <c r="N638" s="114">
        <v>392.89</v>
      </c>
      <c r="O638" t="s">
        <v>1137</v>
      </c>
    </row>
    <row r="639" spans="1:15" x14ac:dyDescent="0.25">
      <c r="A639" t="s">
        <v>682</v>
      </c>
      <c r="B639" s="159">
        <v>45528.774305555555</v>
      </c>
      <c r="C639" s="1" t="s">
        <v>60</v>
      </c>
      <c r="D639" s="1" t="s">
        <v>25</v>
      </c>
      <c r="E639" t="s">
        <v>15</v>
      </c>
      <c r="F639" t="s">
        <v>45</v>
      </c>
      <c r="G639" s="114">
        <v>3262.67</v>
      </c>
      <c r="H639" s="1" t="s">
        <v>22</v>
      </c>
      <c r="J639">
        <v>2.5</v>
      </c>
      <c r="K639">
        <v>1</v>
      </c>
      <c r="L639" s="114">
        <v>81.569999999999993</v>
      </c>
      <c r="M639" s="114">
        <v>3181.1</v>
      </c>
      <c r="N639" s="114">
        <v>3262.67</v>
      </c>
      <c r="O639" t="s">
        <v>1137</v>
      </c>
    </row>
    <row r="640" spans="1:15" x14ac:dyDescent="0.25">
      <c r="A640" t="s">
        <v>683</v>
      </c>
      <c r="B640" s="159">
        <v>45528.925694444442</v>
      </c>
      <c r="C640" s="1" t="s">
        <v>43</v>
      </c>
      <c r="D640" s="1" t="s">
        <v>25</v>
      </c>
      <c r="E640" t="s">
        <v>39</v>
      </c>
      <c r="F640" t="s">
        <v>41</v>
      </c>
      <c r="G640" s="114">
        <v>4096.6400000000003</v>
      </c>
      <c r="H640" s="1" t="s">
        <v>34</v>
      </c>
      <c r="I640" t="s">
        <v>55</v>
      </c>
      <c r="J640">
        <v>3.2</v>
      </c>
      <c r="K640">
        <v>1</v>
      </c>
      <c r="L640" s="114">
        <v>0</v>
      </c>
      <c r="M640" s="114">
        <v>0</v>
      </c>
      <c r="N640" s="114">
        <v>0</v>
      </c>
      <c r="O640" t="s">
        <v>1137</v>
      </c>
    </row>
    <row r="641" spans="1:15" x14ac:dyDescent="0.25">
      <c r="A641" t="s">
        <v>684</v>
      </c>
      <c r="B641" s="159">
        <v>45529.04583333333</v>
      </c>
      <c r="C641" s="1" t="s">
        <v>27</v>
      </c>
      <c r="D641" s="1" t="s">
        <v>25</v>
      </c>
      <c r="E641" t="s">
        <v>28</v>
      </c>
      <c r="F641" t="s">
        <v>21</v>
      </c>
      <c r="G641" s="114">
        <v>1807.47</v>
      </c>
      <c r="H641" s="1" t="s">
        <v>22</v>
      </c>
      <c r="J641">
        <v>2.9</v>
      </c>
      <c r="K641">
        <v>1</v>
      </c>
      <c r="L641" s="114">
        <v>52.42</v>
      </c>
      <c r="M641" s="114">
        <v>1755.05</v>
      </c>
      <c r="N641" s="114">
        <v>1807.47</v>
      </c>
      <c r="O641" t="s">
        <v>1137</v>
      </c>
    </row>
    <row r="642" spans="1:15" x14ac:dyDescent="0.25">
      <c r="A642" t="s">
        <v>685</v>
      </c>
      <c r="B642" s="159">
        <v>45530.381944444445</v>
      </c>
      <c r="C642" s="1" t="s">
        <v>58</v>
      </c>
      <c r="D642" s="1" t="s">
        <v>25</v>
      </c>
      <c r="E642" t="s">
        <v>33</v>
      </c>
      <c r="F642" t="s">
        <v>21</v>
      </c>
      <c r="G642" s="114">
        <v>3454.55</v>
      </c>
      <c r="H642" s="1" t="s">
        <v>22</v>
      </c>
      <c r="J642">
        <v>1.9</v>
      </c>
      <c r="K642">
        <v>1</v>
      </c>
      <c r="L642" s="114">
        <v>65.64</v>
      </c>
      <c r="M642" s="114">
        <v>3388.91</v>
      </c>
      <c r="N642" s="114">
        <v>3454.5499999999997</v>
      </c>
      <c r="O642" t="s">
        <v>1137</v>
      </c>
    </row>
    <row r="643" spans="1:15" x14ac:dyDescent="0.25">
      <c r="A643" t="s">
        <v>686</v>
      </c>
      <c r="B643" s="159">
        <v>45531.371527777781</v>
      </c>
      <c r="C643" s="1" t="s">
        <v>19</v>
      </c>
      <c r="D643" s="1" t="s">
        <v>20</v>
      </c>
      <c r="E643" t="s">
        <v>33</v>
      </c>
      <c r="F643" t="s">
        <v>29</v>
      </c>
      <c r="G643" s="114">
        <v>353.69</v>
      </c>
      <c r="H643" s="1" t="s">
        <v>22</v>
      </c>
      <c r="J643">
        <v>1.9</v>
      </c>
      <c r="K643">
        <v>8.5999999999999993E-2</v>
      </c>
      <c r="L643" s="114">
        <v>0.57791999999999988</v>
      </c>
      <c r="M643" s="114">
        <v>29.83942</v>
      </c>
      <c r="N643" s="114">
        <v>30.417339999999999</v>
      </c>
      <c r="O643" t="s">
        <v>1137</v>
      </c>
    </row>
    <row r="644" spans="1:15" x14ac:dyDescent="0.25">
      <c r="A644" t="s">
        <v>687</v>
      </c>
      <c r="B644" s="159">
        <v>45532.165277777778</v>
      </c>
      <c r="C644" s="1" t="s">
        <v>47</v>
      </c>
      <c r="D644" s="1" t="s">
        <v>25</v>
      </c>
      <c r="E644" t="s">
        <v>28</v>
      </c>
      <c r="F644" t="s">
        <v>41</v>
      </c>
      <c r="G644" s="114">
        <v>1515.21</v>
      </c>
      <c r="H644" s="1" t="s">
        <v>22</v>
      </c>
      <c r="J644">
        <v>2.9</v>
      </c>
      <c r="K644">
        <v>1</v>
      </c>
      <c r="L644" s="114">
        <v>43.94</v>
      </c>
      <c r="M644" s="114">
        <v>1471.27</v>
      </c>
      <c r="N644" s="114">
        <v>1515.21</v>
      </c>
      <c r="O644" t="s">
        <v>1137</v>
      </c>
    </row>
    <row r="645" spans="1:15" x14ac:dyDescent="0.25">
      <c r="A645" t="s">
        <v>688</v>
      </c>
      <c r="B645" s="159">
        <v>45532.94027777778</v>
      </c>
      <c r="C645" s="1" t="s">
        <v>13</v>
      </c>
      <c r="D645" s="1" t="s">
        <v>14</v>
      </c>
      <c r="E645" t="s">
        <v>39</v>
      </c>
      <c r="F645" t="s">
        <v>16</v>
      </c>
      <c r="G645" s="114">
        <v>3108.55</v>
      </c>
      <c r="H645" s="1" t="s">
        <v>22</v>
      </c>
      <c r="J645">
        <v>3.2</v>
      </c>
      <c r="K645">
        <v>8.7400000000000005E-2</v>
      </c>
      <c r="L645" s="114">
        <v>8.6936780000000002</v>
      </c>
      <c r="M645" s="114">
        <v>262.99359200000004</v>
      </c>
      <c r="N645" s="114">
        <v>271.68727000000001</v>
      </c>
      <c r="O645" t="s">
        <v>1137</v>
      </c>
    </row>
    <row r="646" spans="1:15" x14ac:dyDescent="0.25">
      <c r="A646" t="s">
        <v>689</v>
      </c>
      <c r="B646" s="159">
        <v>45533.038194444445</v>
      </c>
      <c r="C646" s="1" t="s">
        <v>43</v>
      </c>
      <c r="D646" s="1" t="s">
        <v>25</v>
      </c>
      <c r="E646" t="s">
        <v>33</v>
      </c>
      <c r="F646" t="s">
        <v>29</v>
      </c>
      <c r="G646" s="114">
        <v>1014.68</v>
      </c>
      <c r="H646" s="1" t="s">
        <v>17</v>
      </c>
      <c r="J646">
        <v>1.9</v>
      </c>
      <c r="K646">
        <v>1</v>
      </c>
      <c r="L646" s="114">
        <v>0</v>
      </c>
      <c r="M646" s="114">
        <v>0</v>
      </c>
      <c r="N646" s="114">
        <v>0</v>
      </c>
      <c r="O646" t="s">
        <v>1137</v>
      </c>
    </row>
    <row r="647" spans="1:15" x14ac:dyDescent="0.25">
      <c r="A647" t="s">
        <v>690</v>
      </c>
      <c r="B647" s="159">
        <v>45533.054166666669</v>
      </c>
      <c r="C647" s="1" t="s">
        <v>58</v>
      </c>
      <c r="D647" s="1" t="s">
        <v>25</v>
      </c>
      <c r="E647" t="s">
        <v>44</v>
      </c>
      <c r="F647" t="s">
        <v>29</v>
      </c>
      <c r="G647" s="114">
        <v>3831.48</v>
      </c>
      <c r="H647" s="1" t="s">
        <v>34</v>
      </c>
      <c r="I647" t="s">
        <v>62</v>
      </c>
      <c r="J647">
        <v>2.1</v>
      </c>
      <c r="K647">
        <v>1</v>
      </c>
      <c r="L647" s="114">
        <v>0</v>
      </c>
      <c r="M647" s="114">
        <v>0</v>
      </c>
      <c r="N647" s="114">
        <v>0</v>
      </c>
      <c r="O647" t="s">
        <v>1137</v>
      </c>
    </row>
    <row r="648" spans="1:15" x14ac:dyDescent="0.25">
      <c r="A648" t="s">
        <v>691</v>
      </c>
      <c r="B648" s="159">
        <v>45533.154861111114</v>
      </c>
      <c r="C648" s="1" t="s">
        <v>27</v>
      </c>
      <c r="D648" s="1" t="s">
        <v>25</v>
      </c>
      <c r="E648" t="s">
        <v>28</v>
      </c>
      <c r="F648" t="s">
        <v>45</v>
      </c>
      <c r="G648" s="114">
        <v>4889.7700000000004</v>
      </c>
      <c r="H648" s="1" t="s">
        <v>22</v>
      </c>
      <c r="J648">
        <v>2.9</v>
      </c>
      <c r="K648">
        <v>1</v>
      </c>
      <c r="L648" s="114">
        <v>141.80000000000001</v>
      </c>
      <c r="M648" s="114">
        <v>4747.97</v>
      </c>
      <c r="N648" s="114">
        <v>4889.7700000000004</v>
      </c>
      <c r="O648" t="s">
        <v>1137</v>
      </c>
    </row>
    <row r="649" spans="1:15" x14ac:dyDescent="0.25">
      <c r="A649" t="s">
        <v>692</v>
      </c>
      <c r="B649" s="159">
        <v>45533.272222222222</v>
      </c>
      <c r="C649" s="1" t="s">
        <v>31</v>
      </c>
      <c r="D649" s="1" t="s">
        <v>32</v>
      </c>
      <c r="E649" t="s">
        <v>15</v>
      </c>
      <c r="F649" t="s">
        <v>45</v>
      </c>
      <c r="G649" s="114">
        <v>1498.8</v>
      </c>
      <c r="H649" s="1" t="s">
        <v>22</v>
      </c>
      <c r="J649">
        <v>2.5</v>
      </c>
      <c r="K649">
        <v>1.1801999999999999</v>
      </c>
      <c r="L649" s="114">
        <v>44.222093999999998</v>
      </c>
      <c r="M649" s="114">
        <v>1724.6616659999997</v>
      </c>
      <c r="N649" s="114">
        <v>1768.8837599999997</v>
      </c>
      <c r="O649" t="s">
        <v>1137</v>
      </c>
    </row>
    <row r="650" spans="1:15" x14ac:dyDescent="0.25">
      <c r="A650" t="s">
        <v>693</v>
      </c>
      <c r="B650" s="159">
        <v>45533.681944444441</v>
      </c>
      <c r="C650" s="1" t="s">
        <v>19</v>
      </c>
      <c r="D650" s="1" t="s">
        <v>20</v>
      </c>
      <c r="E650" t="s">
        <v>44</v>
      </c>
      <c r="F650" t="s">
        <v>29</v>
      </c>
      <c r="G650" s="114">
        <v>509.67</v>
      </c>
      <c r="H650" s="1" t="s">
        <v>22</v>
      </c>
      <c r="J650">
        <v>2.1</v>
      </c>
      <c r="K650">
        <v>8.5999999999999993E-2</v>
      </c>
      <c r="L650" s="114">
        <v>0.92019999999999991</v>
      </c>
      <c r="M650" s="114">
        <v>42.91142</v>
      </c>
      <c r="N650" s="114">
        <v>43.831620000000001</v>
      </c>
      <c r="O650" t="s">
        <v>1137</v>
      </c>
    </row>
    <row r="651" spans="1:15" x14ac:dyDescent="0.25">
      <c r="A651" t="s">
        <v>694</v>
      </c>
      <c r="B651" s="159">
        <v>45533.865972222222</v>
      </c>
      <c r="C651" s="1" t="s">
        <v>31</v>
      </c>
      <c r="D651" s="1" t="s">
        <v>32</v>
      </c>
      <c r="E651" t="s">
        <v>33</v>
      </c>
      <c r="F651" t="s">
        <v>45</v>
      </c>
      <c r="G651" s="114">
        <v>1569.37</v>
      </c>
      <c r="H651" s="1" t="s">
        <v>22</v>
      </c>
      <c r="J651">
        <v>1.9</v>
      </c>
      <c r="K651">
        <v>1.1801999999999999</v>
      </c>
      <c r="L651" s="114">
        <v>35.193563999999995</v>
      </c>
      <c r="M651" s="114">
        <v>1816.9769099999999</v>
      </c>
      <c r="N651" s="114">
        <v>1852.1704739999998</v>
      </c>
      <c r="O651" t="s">
        <v>1137</v>
      </c>
    </row>
    <row r="652" spans="1:15" x14ac:dyDescent="0.25">
      <c r="A652" t="s">
        <v>695</v>
      </c>
      <c r="B652" s="159">
        <v>45534.146527777775</v>
      </c>
      <c r="C652" s="1" t="s">
        <v>19</v>
      </c>
      <c r="D652" s="1" t="s">
        <v>20</v>
      </c>
      <c r="E652" t="s">
        <v>39</v>
      </c>
      <c r="F652" t="s">
        <v>16</v>
      </c>
      <c r="G652" s="114">
        <v>3490.6</v>
      </c>
      <c r="H652" s="1" t="s">
        <v>22</v>
      </c>
      <c r="J652">
        <v>3.2</v>
      </c>
      <c r="K652">
        <v>8.5999999999999993E-2</v>
      </c>
      <c r="L652" s="114">
        <v>9.6061999999999994</v>
      </c>
      <c r="M652" s="114">
        <v>290.58539999999999</v>
      </c>
      <c r="N652" s="114">
        <v>300.19159999999999</v>
      </c>
      <c r="O652" t="s">
        <v>1137</v>
      </c>
    </row>
    <row r="653" spans="1:15" x14ac:dyDescent="0.25">
      <c r="A653" t="s">
        <v>696</v>
      </c>
      <c r="B653" s="159">
        <v>45534.542361111111</v>
      </c>
      <c r="C653" s="1" t="s">
        <v>31</v>
      </c>
      <c r="D653" s="1" t="s">
        <v>32</v>
      </c>
      <c r="E653" t="s">
        <v>44</v>
      </c>
      <c r="F653" t="s">
        <v>29</v>
      </c>
      <c r="G653" s="114">
        <v>3696.52</v>
      </c>
      <c r="H653" s="1" t="s">
        <v>34</v>
      </c>
      <c r="I653" t="s">
        <v>55</v>
      </c>
      <c r="J653">
        <v>2.1</v>
      </c>
      <c r="K653">
        <v>1.1801999999999999</v>
      </c>
      <c r="L653" s="114">
        <v>0</v>
      </c>
      <c r="M653" s="114">
        <v>0</v>
      </c>
      <c r="N653" s="114">
        <v>0</v>
      </c>
      <c r="O653" t="s">
        <v>1137</v>
      </c>
    </row>
    <row r="654" spans="1:15" x14ac:dyDescent="0.25">
      <c r="A654" t="s">
        <v>697</v>
      </c>
      <c r="B654" s="159">
        <v>45534.92291666667</v>
      </c>
      <c r="C654" s="1" t="s">
        <v>24</v>
      </c>
      <c r="D654" s="1" t="s">
        <v>25</v>
      </c>
      <c r="E654" t="s">
        <v>28</v>
      </c>
      <c r="F654" t="s">
        <v>21</v>
      </c>
      <c r="G654" s="114">
        <v>2110.15</v>
      </c>
      <c r="H654" s="1" t="s">
        <v>22</v>
      </c>
      <c r="J654">
        <v>2.9</v>
      </c>
      <c r="K654">
        <v>1</v>
      </c>
      <c r="L654" s="114">
        <v>61.19</v>
      </c>
      <c r="M654" s="114">
        <v>2048.96</v>
      </c>
      <c r="N654" s="114">
        <v>2110.15</v>
      </c>
      <c r="O654" t="s">
        <v>1137</v>
      </c>
    </row>
    <row r="655" spans="1:15" x14ac:dyDescent="0.25">
      <c r="A655" t="s">
        <v>698</v>
      </c>
      <c r="B655" s="159">
        <v>45535.901388888888</v>
      </c>
      <c r="C655" s="1" t="s">
        <v>58</v>
      </c>
      <c r="D655" s="1" t="s">
        <v>25</v>
      </c>
      <c r="E655" t="s">
        <v>15</v>
      </c>
      <c r="F655" t="s">
        <v>45</v>
      </c>
      <c r="G655" s="114">
        <v>1401.66</v>
      </c>
      <c r="H655" s="1" t="s">
        <v>34</v>
      </c>
      <c r="I655" t="s">
        <v>78</v>
      </c>
      <c r="J655">
        <v>2.5</v>
      </c>
      <c r="K655">
        <v>1</v>
      </c>
      <c r="L655" s="114">
        <v>0</v>
      </c>
      <c r="M655" s="114">
        <v>0</v>
      </c>
      <c r="N655" s="114">
        <v>0</v>
      </c>
      <c r="O655" t="s">
        <v>1137</v>
      </c>
    </row>
    <row r="656" spans="1:15" x14ac:dyDescent="0.25">
      <c r="A656" t="s">
        <v>699</v>
      </c>
      <c r="B656" s="159">
        <v>45536.093055555553</v>
      </c>
      <c r="C656" s="1" t="s">
        <v>58</v>
      </c>
      <c r="D656" s="1" t="s">
        <v>25</v>
      </c>
      <c r="E656" t="s">
        <v>28</v>
      </c>
      <c r="F656" t="s">
        <v>41</v>
      </c>
      <c r="G656" s="114">
        <v>524.98</v>
      </c>
      <c r="H656" s="1" t="s">
        <v>22</v>
      </c>
      <c r="J656">
        <v>2.9</v>
      </c>
      <c r="K656">
        <v>1</v>
      </c>
      <c r="L656" s="114">
        <v>15.22</v>
      </c>
      <c r="M656" s="114">
        <v>509.76</v>
      </c>
      <c r="N656" s="114">
        <v>524.98</v>
      </c>
      <c r="O656" t="s">
        <v>1138</v>
      </c>
    </row>
    <row r="657" spans="1:15" x14ac:dyDescent="0.25">
      <c r="A657" t="s">
        <v>700</v>
      </c>
      <c r="B657" s="159">
        <v>45537.602777777778</v>
      </c>
      <c r="C657" s="1" t="s">
        <v>37</v>
      </c>
      <c r="D657" s="1" t="s">
        <v>38</v>
      </c>
      <c r="E657" t="s">
        <v>39</v>
      </c>
      <c r="F657" t="s">
        <v>16</v>
      </c>
      <c r="G657" s="114">
        <v>2762.84</v>
      </c>
      <c r="H657" s="1" t="s">
        <v>22</v>
      </c>
      <c r="J657">
        <v>3.2</v>
      </c>
      <c r="K657">
        <v>0.23269999999999999</v>
      </c>
      <c r="L657" s="114">
        <v>20.573006999999997</v>
      </c>
      <c r="M657" s="114">
        <v>622.33986099999993</v>
      </c>
      <c r="N657" s="114">
        <v>642.91286799999989</v>
      </c>
      <c r="O657" t="s">
        <v>1138</v>
      </c>
    </row>
    <row r="658" spans="1:15" x14ac:dyDescent="0.25">
      <c r="A658" t="s">
        <v>701</v>
      </c>
      <c r="B658" s="159">
        <v>45537.743055555555</v>
      </c>
      <c r="C658" s="1" t="s">
        <v>43</v>
      </c>
      <c r="D658" s="1" t="s">
        <v>25</v>
      </c>
      <c r="E658" t="s">
        <v>39</v>
      </c>
      <c r="F658" t="s">
        <v>45</v>
      </c>
      <c r="G658" s="114">
        <v>2516.94</v>
      </c>
      <c r="H658" s="1" t="s">
        <v>34</v>
      </c>
      <c r="I658" t="s">
        <v>62</v>
      </c>
      <c r="J658">
        <v>3.2</v>
      </c>
      <c r="K658">
        <v>1</v>
      </c>
      <c r="L658" s="114">
        <v>0</v>
      </c>
      <c r="M658" s="114">
        <v>0</v>
      </c>
      <c r="N658" s="114">
        <v>0</v>
      </c>
      <c r="O658" t="s">
        <v>1138</v>
      </c>
    </row>
    <row r="659" spans="1:15" x14ac:dyDescent="0.25">
      <c r="A659" t="s">
        <v>702</v>
      </c>
      <c r="B659" s="159">
        <v>45539.135416666664</v>
      </c>
      <c r="C659" s="1" t="s">
        <v>58</v>
      </c>
      <c r="D659" s="1" t="s">
        <v>25</v>
      </c>
      <c r="E659" t="s">
        <v>33</v>
      </c>
      <c r="F659" t="s">
        <v>21</v>
      </c>
      <c r="G659" s="114">
        <v>2878.31</v>
      </c>
      <c r="H659" s="1" t="s">
        <v>22</v>
      </c>
      <c r="J659">
        <v>1.9</v>
      </c>
      <c r="K659">
        <v>1</v>
      </c>
      <c r="L659" s="114">
        <v>54.69</v>
      </c>
      <c r="M659" s="114">
        <v>2823.62</v>
      </c>
      <c r="N659" s="114">
        <v>2878.31</v>
      </c>
      <c r="O659" t="s">
        <v>1138</v>
      </c>
    </row>
    <row r="660" spans="1:15" x14ac:dyDescent="0.25">
      <c r="A660" t="s">
        <v>703</v>
      </c>
      <c r="B660" s="159">
        <v>45539.635416666664</v>
      </c>
      <c r="C660" s="1" t="s">
        <v>43</v>
      </c>
      <c r="D660" s="1" t="s">
        <v>25</v>
      </c>
      <c r="E660" t="s">
        <v>33</v>
      </c>
      <c r="F660" t="s">
        <v>29</v>
      </c>
      <c r="G660" s="114">
        <v>1924.09</v>
      </c>
      <c r="H660" s="1" t="s">
        <v>17</v>
      </c>
      <c r="J660">
        <v>1.9</v>
      </c>
      <c r="K660">
        <v>1</v>
      </c>
      <c r="L660" s="114">
        <v>0</v>
      </c>
      <c r="M660" s="114">
        <v>0</v>
      </c>
      <c r="N660" s="114">
        <v>0</v>
      </c>
      <c r="O660" t="s">
        <v>1138</v>
      </c>
    </row>
    <row r="661" spans="1:15" x14ac:dyDescent="0.25">
      <c r="A661" t="s">
        <v>704</v>
      </c>
      <c r="B661" s="159">
        <v>45540.727083333331</v>
      </c>
      <c r="C661" s="1" t="s">
        <v>58</v>
      </c>
      <c r="D661" s="1" t="s">
        <v>25</v>
      </c>
      <c r="E661" t="s">
        <v>28</v>
      </c>
      <c r="F661" t="s">
        <v>29</v>
      </c>
      <c r="G661" s="114">
        <v>805.2</v>
      </c>
      <c r="H661" s="1" t="s">
        <v>22</v>
      </c>
      <c r="J661">
        <v>2.9</v>
      </c>
      <c r="K661">
        <v>1</v>
      </c>
      <c r="L661" s="114">
        <v>23.35</v>
      </c>
      <c r="M661" s="114">
        <v>781.85</v>
      </c>
      <c r="N661" s="114">
        <v>805.2</v>
      </c>
      <c r="O661" t="s">
        <v>1138</v>
      </c>
    </row>
    <row r="662" spans="1:15" x14ac:dyDescent="0.25">
      <c r="A662" t="s">
        <v>705</v>
      </c>
      <c r="B662" s="159">
        <v>45541.442361111112</v>
      </c>
      <c r="C662" s="1" t="s">
        <v>60</v>
      </c>
      <c r="D662" s="1" t="s">
        <v>25</v>
      </c>
      <c r="E662" t="s">
        <v>28</v>
      </c>
      <c r="F662" t="s">
        <v>16</v>
      </c>
      <c r="G662" s="114">
        <v>3177.85</v>
      </c>
      <c r="H662" s="1" t="s">
        <v>22</v>
      </c>
      <c r="J662">
        <v>2.9</v>
      </c>
      <c r="K662">
        <v>1</v>
      </c>
      <c r="L662" s="114">
        <v>92.16</v>
      </c>
      <c r="M662" s="114">
        <v>3085.69</v>
      </c>
      <c r="N662" s="114">
        <v>3177.85</v>
      </c>
      <c r="O662" t="s">
        <v>1138</v>
      </c>
    </row>
    <row r="663" spans="1:15" x14ac:dyDescent="0.25">
      <c r="A663" t="s">
        <v>706</v>
      </c>
      <c r="B663" s="159">
        <v>45541.444444444445</v>
      </c>
      <c r="C663" s="1" t="s">
        <v>27</v>
      </c>
      <c r="D663" s="1" t="s">
        <v>25</v>
      </c>
      <c r="E663" t="s">
        <v>39</v>
      </c>
      <c r="F663" t="s">
        <v>41</v>
      </c>
      <c r="G663" s="114">
        <v>33.520000000000003</v>
      </c>
      <c r="H663" s="1" t="s">
        <v>22</v>
      </c>
      <c r="J663">
        <v>3.2</v>
      </c>
      <c r="K663">
        <v>1</v>
      </c>
      <c r="L663" s="114">
        <v>1.07</v>
      </c>
      <c r="M663" s="114">
        <v>32.450000000000003</v>
      </c>
      <c r="N663" s="114">
        <v>33.520000000000003</v>
      </c>
      <c r="O663" t="s">
        <v>1138</v>
      </c>
    </row>
    <row r="664" spans="1:15" x14ac:dyDescent="0.25">
      <c r="A664" t="s">
        <v>707</v>
      </c>
      <c r="B664" s="159">
        <v>45541.893750000003</v>
      </c>
      <c r="C664" s="1" t="s">
        <v>27</v>
      </c>
      <c r="D664" s="1" t="s">
        <v>25</v>
      </c>
      <c r="E664" t="s">
        <v>28</v>
      </c>
      <c r="F664" t="s">
        <v>29</v>
      </c>
      <c r="G664" s="114">
        <v>3214.79</v>
      </c>
      <c r="H664" s="1" t="s">
        <v>34</v>
      </c>
      <c r="I664" t="s">
        <v>55</v>
      </c>
      <c r="J664">
        <v>2.9</v>
      </c>
      <c r="K664">
        <v>1</v>
      </c>
      <c r="L664" s="114">
        <v>0</v>
      </c>
      <c r="M664" s="114">
        <v>0</v>
      </c>
      <c r="N664" s="114">
        <v>0</v>
      </c>
      <c r="O664" t="s">
        <v>1138</v>
      </c>
    </row>
    <row r="665" spans="1:15" x14ac:dyDescent="0.25">
      <c r="A665" t="s">
        <v>708</v>
      </c>
      <c r="B665" s="159">
        <v>45542.491666666669</v>
      </c>
      <c r="C665" s="1" t="s">
        <v>24</v>
      </c>
      <c r="D665" s="1" t="s">
        <v>25</v>
      </c>
      <c r="E665" t="s">
        <v>44</v>
      </c>
      <c r="F665" t="s">
        <v>16</v>
      </c>
      <c r="G665" s="114">
        <v>105.43</v>
      </c>
      <c r="H665" s="1" t="s">
        <v>22</v>
      </c>
      <c r="J665">
        <v>2.1</v>
      </c>
      <c r="K665">
        <v>1</v>
      </c>
      <c r="L665" s="114">
        <v>2.21</v>
      </c>
      <c r="M665" s="114">
        <v>103.22</v>
      </c>
      <c r="N665" s="114">
        <v>105.42999999999999</v>
      </c>
      <c r="O665" t="s">
        <v>1138</v>
      </c>
    </row>
    <row r="666" spans="1:15" x14ac:dyDescent="0.25">
      <c r="A666" t="s">
        <v>709</v>
      </c>
      <c r="B666" s="159">
        <v>45542.986805555556</v>
      </c>
      <c r="C666" s="1" t="s">
        <v>43</v>
      </c>
      <c r="D666" s="1" t="s">
        <v>25</v>
      </c>
      <c r="E666" t="s">
        <v>15</v>
      </c>
      <c r="F666" t="s">
        <v>29</v>
      </c>
      <c r="G666" s="114">
        <v>3666.53</v>
      </c>
      <c r="H666" s="1" t="s">
        <v>22</v>
      </c>
      <c r="J666">
        <v>2.5</v>
      </c>
      <c r="K666">
        <v>1</v>
      </c>
      <c r="L666" s="114">
        <v>91.66</v>
      </c>
      <c r="M666" s="114">
        <v>3574.87</v>
      </c>
      <c r="N666" s="114">
        <v>3666.5299999999997</v>
      </c>
      <c r="O666" t="s">
        <v>1138</v>
      </c>
    </row>
    <row r="667" spans="1:15" x14ac:dyDescent="0.25">
      <c r="A667" t="s">
        <v>710</v>
      </c>
      <c r="B667" s="159">
        <v>45543.10833333333</v>
      </c>
      <c r="C667" s="1" t="s">
        <v>60</v>
      </c>
      <c r="D667" s="1" t="s">
        <v>25</v>
      </c>
      <c r="E667" t="s">
        <v>44</v>
      </c>
      <c r="F667" t="s">
        <v>29</v>
      </c>
      <c r="G667" s="114">
        <v>4057.6</v>
      </c>
      <c r="H667" s="1" t="s">
        <v>22</v>
      </c>
      <c r="J667">
        <v>2.1</v>
      </c>
      <c r="K667">
        <v>1</v>
      </c>
      <c r="L667" s="114">
        <v>85.21</v>
      </c>
      <c r="M667" s="114">
        <v>3972.39</v>
      </c>
      <c r="N667" s="114">
        <v>4057.6</v>
      </c>
      <c r="O667" t="s">
        <v>1138</v>
      </c>
    </row>
    <row r="668" spans="1:15" x14ac:dyDescent="0.25">
      <c r="A668" t="s">
        <v>711</v>
      </c>
      <c r="B668" s="159">
        <v>45543.427083333336</v>
      </c>
      <c r="C668" s="1" t="s">
        <v>37</v>
      </c>
      <c r="D668" s="1" t="s">
        <v>38</v>
      </c>
      <c r="E668" t="s">
        <v>39</v>
      </c>
      <c r="F668" t="s">
        <v>41</v>
      </c>
      <c r="G668" s="114">
        <v>2539.58</v>
      </c>
      <c r="H668" s="1" t="s">
        <v>17</v>
      </c>
      <c r="J668">
        <v>3.2</v>
      </c>
      <c r="K668">
        <v>0.23269999999999999</v>
      </c>
      <c r="L668" s="114">
        <v>0</v>
      </c>
      <c r="M668" s="114">
        <v>0</v>
      </c>
      <c r="N668" s="114">
        <v>0</v>
      </c>
      <c r="O668" t="s">
        <v>1138</v>
      </c>
    </row>
    <row r="669" spans="1:15" x14ac:dyDescent="0.25">
      <c r="A669" t="s">
        <v>712</v>
      </c>
      <c r="B669" s="159">
        <v>45543.443055555559</v>
      </c>
      <c r="C669" s="1" t="s">
        <v>19</v>
      </c>
      <c r="D669" s="1" t="s">
        <v>20</v>
      </c>
      <c r="E669" t="s">
        <v>33</v>
      </c>
      <c r="F669" t="s">
        <v>41</v>
      </c>
      <c r="G669" s="114">
        <v>4543.1499999999996</v>
      </c>
      <c r="H669" s="1" t="s">
        <v>22</v>
      </c>
      <c r="J669">
        <v>1.9</v>
      </c>
      <c r="K669">
        <v>8.5999999999999993E-2</v>
      </c>
      <c r="L669" s="114">
        <v>7.423519999999999</v>
      </c>
      <c r="M669" s="114">
        <v>383.28737999999998</v>
      </c>
      <c r="N669" s="114">
        <v>390.71089999999998</v>
      </c>
      <c r="O669" t="s">
        <v>1138</v>
      </c>
    </row>
    <row r="670" spans="1:15" x14ac:dyDescent="0.25">
      <c r="A670" t="s">
        <v>713</v>
      </c>
      <c r="B670" s="159">
        <v>45543.724305555559</v>
      </c>
      <c r="C670" s="1" t="s">
        <v>31</v>
      </c>
      <c r="D670" s="1" t="s">
        <v>32</v>
      </c>
      <c r="E670" t="s">
        <v>39</v>
      </c>
      <c r="F670" t="s">
        <v>45</v>
      </c>
      <c r="G670" s="114">
        <v>2124.67</v>
      </c>
      <c r="H670" s="1" t="s">
        <v>22</v>
      </c>
      <c r="J670">
        <v>3.2</v>
      </c>
      <c r="K670">
        <v>1.1801999999999999</v>
      </c>
      <c r="L670" s="114">
        <v>80.241797999999989</v>
      </c>
      <c r="M670" s="114">
        <v>2427.2937359999996</v>
      </c>
      <c r="N670" s="114">
        <v>2507.5355339999996</v>
      </c>
      <c r="O670" t="s">
        <v>1138</v>
      </c>
    </row>
    <row r="671" spans="1:15" x14ac:dyDescent="0.25">
      <c r="A671" t="s">
        <v>714</v>
      </c>
      <c r="B671" s="159">
        <v>45544.385416666664</v>
      </c>
      <c r="C671" s="1" t="s">
        <v>24</v>
      </c>
      <c r="D671" s="1" t="s">
        <v>25</v>
      </c>
      <c r="E671" t="s">
        <v>33</v>
      </c>
      <c r="F671" t="s">
        <v>41</v>
      </c>
      <c r="G671" s="114">
        <v>4996.3100000000004</v>
      </c>
      <c r="H671" s="1" t="s">
        <v>22</v>
      </c>
      <c r="J671">
        <v>1.9</v>
      </c>
      <c r="K671">
        <v>1</v>
      </c>
      <c r="L671" s="114">
        <v>94.93</v>
      </c>
      <c r="M671" s="114">
        <v>4901.38</v>
      </c>
      <c r="N671" s="114">
        <v>4996.3100000000004</v>
      </c>
      <c r="O671" t="s">
        <v>1138</v>
      </c>
    </row>
    <row r="672" spans="1:15" x14ac:dyDescent="0.25">
      <c r="A672" t="s">
        <v>715</v>
      </c>
      <c r="B672" s="159">
        <v>45544.740972222222</v>
      </c>
      <c r="C672" s="1" t="s">
        <v>43</v>
      </c>
      <c r="D672" s="1" t="s">
        <v>25</v>
      </c>
      <c r="E672" t="s">
        <v>44</v>
      </c>
      <c r="F672" t="s">
        <v>41</v>
      </c>
      <c r="G672" s="114">
        <v>3958.19</v>
      </c>
      <c r="H672" s="1" t="s">
        <v>22</v>
      </c>
      <c r="J672">
        <v>2.1</v>
      </c>
      <c r="K672">
        <v>1</v>
      </c>
      <c r="L672" s="114">
        <v>83.12</v>
      </c>
      <c r="M672" s="114">
        <v>3875.07</v>
      </c>
      <c r="N672" s="114">
        <v>3958.19</v>
      </c>
      <c r="O672" t="s">
        <v>1138</v>
      </c>
    </row>
    <row r="673" spans="1:15" x14ac:dyDescent="0.25">
      <c r="A673" t="s">
        <v>716</v>
      </c>
      <c r="B673" s="159">
        <v>45545.489583333336</v>
      </c>
      <c r="C673" s="1" t="s">
        <v>47</v>
      </c>
      <c r="D673" s="1" t="s">
        <v>25</v>
      </c>
      <c r="E673" t="s">
        <v>33</v>
      </c>
      <c r="F673" t="s">
        <v>41</v>
      </c>
      <c r="G673" s="114">
        <v>420.42</v>
      </c>
      <c r="H673" s="1" t="s">
        <v>34</v>
      </c>
      <c r="I673" t="s">
        <v>78</v>
      </c>
      <c r="J673">
        <v>1.9</v>
      </c>
      <c r="K673">
        <v>1</v>
      </c>
      <c r="L673" s="114">
        <v>0</v>
      </c>
      <c r="M673" s="114">
        <v>0</v>
      </c>
      <c r="N673" s="114">
        <v>0</v>
      </c>
      <c r="O673" t="s">
        <v>1138</v>
      </c>
    </row>
    <row r="674" spans="1:15" x14ac:dyDescent="0.25">
      <c r="A674" t="s">
        <v>717</v>
      </c>
      <c r="B674" s="159">
        <v>45545.505555555559</v>
      </c>
      <c r="C674" s="1" t="s">
        <v>58</v>
      </c>
      <c r="D674" s="1" t="s">
        <v>25</v>
      </c>
      <c r="E674" t="s">
        <v>44</v>
      </c>
      <c r="F674" t="s">
        <v>45</v>
      </c>
      <c r="G674" s="114">
        <v>1085.68</v>
      </c>
      <c r="H674" s="1" t="s">
        <v>22</v>
      </c>
      <c r="J674">
        <v>2.1</v>
      </c>
      <c r="K674">
        <v>1</v>
      </c>
      <c r="L674" s="114">
        <v>22.8</v>
      </c>
      <c r="M674" s="114">
        <v>1062.8800000000001</v>
      </c>
      <c r="N674" s="114">
        <v>1085.68</v>
      </c>
      <c r="O674" t="s">
        <v>1138</v>
      </c>
    </row>
    <row r="675" spans="1:15" x14ac:dyDescent="0.25">
      <c r="A675" t="s">
        <v>718</v>
      </c>
      <c r="B675" s="159">
        <v>45545.575694444444</v>
      </c>
      <c r="C675" s="1" t="s">
        <v>58</v>
      </c>
      <c r="D675" s="1" t="s">
        <v>25</v>
      </c>
      <c r="E675" t="s">
        <v>44</v>
      </c>
      <c r="F675" t="s">
        <v>16</v>
      </c>
      <c r="G675" s="114">
        <v>3632.74</v>
      </c>
      <c r="H675" s="1" t="s">
        <v>22</v>
      </c>
      <c r="J675">
        <v>2.1</v>
      </c>
      <c r="K675">
        <v>1</v>
      </c>
      <c r="L675" s="114">
        <v>76.290000000000006</v>
      </c>
      <c r="M675" s="114">
        <v>3556.45</v>
      </c>
      <c r="N675" s="114">
        <v>3632.74</v>
      </c>
      <c r="O675" t="s">
        <v>1138</v>
      </c>
    </row>
    <row r="676" spans="1:15" x14ac:dyDescent="0.25">
      <c r="A676" t="s">
        <v>719</v>
      </c>
      <c r="B676" s="159">
        <v>45545.730555555558</v>
      </c>
      <c r="C676" s="1" t="s">
        <v>31</v>
      </c>
      <c r="D676" s="1" t="s">
        <v>32</v>
      </c>
      <c r="E676" t="s">
        <v>33</v>
      </c>
      <c r="F676" t="s">
        <v>41</v>
      </c>
      <c r="G676" s="114">
        <v>1346.77</v>
      </c>
      <c r="H676" s="1" t="s">
        <v>17</v>
      </c>
      <c r="J676">
        <v>1.9</v>
      </c>
      <c r="K676">
        <v>1.1801999999999999</v>
      </c>
      <c r="L676" s="114">
        <v>0</v>
      </c>
      <c r="M676" s="114">
        <v>0</v>
      </c>
      <c r="N676" s="114">
        <v>0</v>
      </c>
      <c r="O676" t="s">
        <v>1138</v>
      </c>
    </row>
    <row r="677" spans="1:15" x14ac:dyDescent="0.25">
      <c r="A677" t="s">
        <v>720</v>
      </c>
      <c r="B677" s="159">
        <v>45545.862500000003</v>
      </c>
      <c r="C677" s="1" t="s">
        <v>60</v>
      </c>
      <c r="D677" s="1" t="s">
        <v>25</v>
      </c>
      <c r="E677" t="s">
        <v>28</v>
      </c>
      <c r="F677" t="s">
        <v>29</v>
      </c>
      <c r="G677" s="114">
        <v>4087</v>
      </c>
      <c r="H677" s="1" t="s">
        <v>17</v>
      </c>
      <c r="J677">
        <v>2.9</v>
      </c>
      <c r="K677">
        <v>1</v>
      </c>
      <c r="L677" s="114">
        <v>0</v>
      </c>
      <c r="M677" s="114">
        <v>0</v>
      </c>
      <c r="N677" s="114">
        <v>0</v>
      </c>
      <c r="O677" t="s">
        <v>1138</v>
      </c>
    </row>
    <row r="678" spans="1:15" x14ac:dyDescent="0.25">
      <c r="A678" t="s">
        <v>721</v>
      </c>
      <c r="B678" s="159">
        <v>45546.181250000001</v>
      </c>
      <c r="C678" s="1" t="s">
        <v>31</v>
      </c>
      <c r="D678" s="1" t="s">
        <v>32</v>
      </c>
      <c r="E678" t="s">
        <v>44</v>
      </c>
      <c r="F678" t="s">
        <v>21</v>
      </c>
      <c r="G678" s="114">
        <v>4912.07</v>
      </c>
      <c r="H678" s="1" t="s">
        <v>22</v>
      </c>
      <c r="J678">
        <v>2.1</v>
      </c>
      <c r="K678">
        <v>1.1801999999999999</v>
      </c>
      <c r="L678" s="114">
        <v>121.73763</v>
      </c>
      <c r="M678" s="114">
        <v>5675.487384</v>
      </c>
      <c r="N678" s="114">
        <v>5797.2250139999996</v>
      </c>
      <c r="O678" t="s">
        <v>1138</v>
      </c>
    </row>
    <row r="679" spans="1:15" x14ac:dyDescent="0.25">
      <c r="A679" t="s">
        <v>722</v>
      </c>
      <c r="B679" s="159">
        <v>45546.605555555558</v>
      </c>
      <c r="C679" s="1" t="s">
        <v>37</v>
      </c>
      <c r="D679" s="1" t="s">
        <v>38</v>
      </c>
      <c r="E679" t="s">
        <v>28</v>
      </c>
      <c r="F679" t="s">
        <v>16</v>
      </c>
      <c r="G679" s="114">
        <v>4298.21</v>
      </c>
      <c r="H679" s="1" t="s">
        <v>22</v>
      </c>
      <c r="J679">
        <v>2.9</v>
      </c>
      <c r="K679">
        <v>0.23269999999999999</v>
      </c>
      <c r="L679" s="114">
        <v>29.006055</v>
      </c>
      <c r="M679" s="114">
        <v>971.18741200000011</v>
      </c>
      <c r="N679" s="114">
        <v>1000.1934670000001</v>
      </c>
      <c r="O679" t="s">
        <v>1138</v>
      </c>
    </row>
    <row r="680" spans="1:15" x14ac:dyDescent="0.25">
      <c r="A680" t="s">
        <v>723</v>
      </c>
      <c r="B680" s="159">
        <v>45546.70208333333</v>
      </c>
      <c r="C680" s="1" t="s">
        <v>37</v>
      </c>
      <c r="D680" s="1" t="s">
        <v>38</v>
      </c>
      <c r="E680" t="s">
        <v>44</v>
      </c>
      <c r="F680" t="s">
        <v>45</v>
      </c>
      <c r="G680" s="114">
        <v>1504.61</v>
      </c>
      <c r="H680" s="1" t="s">
        <v>34</v>
      </c>
      <c r="I680" t="s">
        <v>35</v>
      </c>
      <c r="J680">
        <v>2.1</v>
      </c>
      <c r="K680">
        <v>0.23269999999999999</v>
      </c>
      <c r="L680" s="114">
        <v>0</v>
      </c>
      <c r="M680" s="114">
        <v>0</v>
      </c>
      <c r="N680" s="114">
        <v>0</v>
      </c>
      <c r="O680" t="s">
        <v>1138</v>
      </c>
    </row>
    <row r="681" spans="1:15" x14ac:dyDescent="0.25">
      <c r="A681" t="s">
        <v>724</v>
      </c>
      <c r="B681" s="159">
        <v>45546.870833333334</v>
      </c>
      <c r="C681" s="1" t="s">
        <v>31</v>
      </c>
      <c r="D681" s="1" t="s">
        <v>32</v>
      </c>
      <c r="E681" t="s">
        <v>33</v>
      </c>
      <c r="F681" t="s">
        <v>29</v>
      </c>
      <c r="G681" s="114">
        <v>1443.9</v>
      </c>
      <c r="H681" s="1" t="s">
        <v>22</v>
      </c>
      <c r="J681">
        <v>1.9</v>
      </c>
      <c r="K681">
        <v>1.1801999999999999</v>
      </c>
      <c r="L681" s="114">
        <v>32.372885999999994</v>
      </c>
      <c r="M681" s="114">
        <v>1671.7178939999999</v>
      </c>
      <c r="N681" s="114">
        <v>1704.09078</v>
      </c>
      <c r="O681" t="s">
        <v>1138</v>
      </c>
    </row>
    <row r="682" spans="1:15" x14ac:dyDescent="0.25">
      <c r="A682" t="s">
        <v>725</v>
      </c>
      <c r="B682" s="159">
        <v>45547.580555555556</v>
      </c>
      <c r="C682" s="1" t="s">
        <v>13</v>
      </c>
      <c r="D682" s="1" t="s">
        <v>14</v>
      </c>
      <c r="E682" t="s">
        <v>15</v>
      </c>
      <c r="F682" t="s">
        <v>41</v>
      </c>
      <c r="G682" s="114">
        <v>447.73</v>
      </c>
      <c r="H682" s="1" t="s">
        <v>34</v>
      </c>
      <c r="I682" t="s">
        <v>35</v>
      </c>
      <c r="J682">
        <v>2.5</v>
      </c>
      <c r="K682">
        <v>8.7400000000000005E-2</v>
      </c>
      <c r="L682" s="114">
        <v>0</v>
      </c>
      <c r="M682" s="114">
        <v>0</v>
      </c>
      <c r="N682" s="114">
        <v>0</v>
      </c>
      <c r="O682" t="s">
        <v>1138</v>
      </c>
    </row>
    <row r="683" spans="1:15" x14ac:dyDescent="0.25">
      <c r="A683" t="s">
        <v>726</v>
      </c>
      <c r="B683" s="159">
        <v>45547.683333333334</v>
      </c>
      <c r="C683" s="1" t="s">
        <v>13</v>
      </c>
      <c r="D683" s="1" t="s">
        <v>14</v>
      </c>
      <c r="E683" t="s">
        <v>28</v>
      </c>
      <c r="F683" t="s">
        <v>21</v>
      </c>
      <c r="G683" s="114">
        <v>3877.07</v>
      </c>
      <c r="H683" s="1" t="s">
        <v>34</v>
      </c>
      <c r="I683" t="s">
        <v>35</v>
      </c>
      <c r="J683">
        <v>2.9</v>
      </c>
      <c r="K683">
        <v>8.7400000000000005E-2</v>
      </c>
      <c r="L683" s="114">
        <v>0</v>
      </c>
      <c r="M683" s="114">
        <v>0</v>
      </c>
      <c r="N683" s="114">
        <v>0</v>
      </c>
      <c r="O683" t="s">
        <v>1138</v>
      </c>
    </row>
    <row r="684" spans="1:15" x14ac:dyDescent="0.25">
      <c r="A684" t="s">
        <v>727</v>
      </c>
      <c r="B684" s="159">
        <v>45547.745138888888</v>
      </c>
      <c r="C684" s="1" t="s">
        <v>43</v>
      </c>
      <c r="D684" s="1" t="s">
        <v>25</v>
      </c>
      <c r="E684" t="s">
        <v>28</v>
      </c>
      <c r="F684" t="s">
        <v>41</v>
      </c>
      <c r="G684" s="114">
        <v>1703.03</v>
      </c>
      <c r="H684" s="1" t="s">
        <v>22</v>
      </c>
      <c r="J684">
        <v>2.9</v>
      </c>
      <c r="K684">
        <v>1</v>
      </c>
      <c r="L684" s="114">
        <v>49.39</v>
      </c>
      <c r="M684" s="114">
        <v>1653.64</v>
      </c>
      <c r="N684" s="114">
        <v>1703.0300000000002</v>
      </c>
      <c r="O684" t="s">
        <v>1138</v>
      </c>
    </row>
    <row r="685" spans="1:15" x14ac:dyDescent="0.25">
      <c r="A685" t="s">
        <v>728</v>
      </c>
      <c r="B685" s="159">
        <v>45547.875694444447</v>
      </c>
      <c r="C685" s="1" t="s">
        <v>27</v>
      </c>
      <c r="D685" s="1" t="s">
        <v>25</v>
      </c>
      <c r="E685" t="s">
        <v>15</v>
      </c>
      <c r="F685" t="s">
        <v>45</v>
      </c>
      <c r="G685" s="114">
        <v>3399.23</v>
      </c>
      <c r="H685" s="1" t="s">
        <v>22</v>
      </c>
      <c r="J685">
        <v>2.5</v>
      </c>
      <c r="K685">
        <v>1</v>
      </c>
      <c r="L685" s="114">
        <v>84.98</v>
      </c>
      <c r="M685" s="114">
        <v>3314.25</v>
      </c>
      <c r="N685" s="114">
        <v>3399.23</v>
      </c>
      <c r="O685" t="s">
        <v>1138</v>
      </c>
    </row>
    <row r="686" spans="1:15" x14ac:dyDescent="0.25">
      <c r="A686" t="s">
        <v>729</v>
      </c>
      <c r="B686" s="159">
        <v>45547.996527777781</v>
      </c>
      <c r="C686" s="1" t="s">
        <v>31</v>
      </c>
      <c r="D686" s="1" t="s">
        <v>32</v>
      </c>
      <c r="E686" t="s">
        <v>44</v>
      </c>
      <c r="F686" t="s">
        <v>21</v>
      </c>
      <c r="G686" s="114">
        <v>1679.69</v>
      </c>
      <c r="H686" s="1" t="s">
        <v>22</v>
      </c>
      <c r="J686">
        <v>2.1</v>
      </c>
      <c r="K686">
        <v>1.1801999999999999</v>
      </c>
      <c r="L686" s="114">
        <v>41.625653999999997</v>
      </c>
      <c r="M686" s="114">
        <v>1940.7444840000001</v>
      </c>
      <c r="N686" s="114">
        <v>1982.370138</v>
      </c>
      <c r="O686" t="s">
        <v>1138</v>
      </c>
    </row>
    <row r="687" spans="1:15" x14ac:dyDescent="0.25">
      <c r="A687" t="s">
        <v>730</v>
      </c>
      <c r="B687" s="159">
        <v>45548.168749999997</v>
      </c>
      <c r="C687" s="1" t="s">
        <v>43</v>
      </c>
      <c r="D687" s="1" t="s">
        <v>25</v>
      </c>
      <c r="E687" t="s">
        <v>28</v>
      </c>
      <c r="F687" t="s">
        <v>21</v>
      </c>
      <c r="G687" s="114">
        <v>4912.1000000000004</v>
      </c>
      <c r="H687" s="1" t="s">
        <v>22</v>
      </c>
      <c r="J687">
        <v>2.9</v>
      </c>
      <c r="K687">
        <v>1</v>
      </c>
      <c r="L687" s="114">
        <v>142.44999999999999</v>
      </c>
      <c r="M687" s="114">
        <v>4769.6499999999996</v>
      </c>
      <c r="N687" s="114">
        <v>4912.0999999999995</v>
      </c>
      <c r="O687" t="s">
        <v>1138</v>
      </c>
    </row>
    <row r="688" spans="1:15" x14ac:dyDescent="0.25">
      <c r="A688" t="s">
        <v>731</v>
      </c>
      <c r="B688" s="159">
        <v>45549.384722222225</v>
      </c>
      <c r="C688" s="1" t="s">
        <v>19</v>
      </c>
      <c r="D688" s="1" t="s">
        <v>20</v>
      </c>
      <c r="E688" t="s">
        <v>39</v>
      </c>
      <c r="F688" t="s">
        <v>45</v>
      </c>
      <c r="G688" s="114">
        <v>2993.61</v>
      </c>
      <c r="H688" s="1" t="s">
        <v>22</v>
      </c>
      <c r="J688">
        <v>3.2</v>
      </c>
      <c r="K688">
        <v>8.5999999999999993E-2</v>
      </c>
      <c r="L688" s="114">
        <v>8.2387999999999995</v>
      </c>
      <c r="M688" s="114">
        <v>249.21165999999997</v>
      </c>
      <c r="N688" s="114">
        <v>257.45045999999996</v>
      </c>
      <c r="O688" t="s">
        <v>1138</v>
      </c>
    </row>
    <row r="689" spans="1:15" x14ac:dyDescent="0.25">
      <c r="A689" t="s">
        <v>732</v>
      </c>
      <c r="B689" s="159">
        <v>45549.8125</v>
      </c>
      <c r="C689" s="1" t="s">
        <v>37</v>
      </c>
      <c r="D689" s="1" t="s">
        <v>38</v>
      </c>
      <c r="E689" t="s">
        <v>44</v>
      </c>
      <c r="F689" t="s">
        <v>16</v>
      </c>
      <c r="G689" s="114">
        <v>2462.31</v>
      </c>
      <c r="H689" s="1" t="s">
        <v>22</v>
      </c>
      <c r="J689">
        <v>2.1</v>
      </c>
      <c r="K689">
        <v>0.23269999999999999</v>
      </c>
      <c r="L689" s="114">
        <v>12.032916999999999</v>
      </c>
      <c r="M689" s="114">
        <v>560.94661999999994</v>
      </c>
      <c r="N689" s="114">
        <v>572.97953699999994</v>
      </c>
      <c r="O689" t="s">
        <v>1138</v>
      </c>
    </row>
    <row r="690" spans="1:15" x14ac:dyDescent="0.25">
      <c r="A690" t="s">
        <v>733</v>
      </c>
      <c r="B690" s="159">
        <v>45550.75277777778</v>
      </c>
      <c r="C690" s="1" t="s">
        <v>31</v>
      </c>
      <c r="D690" s="1" t="s">
        <v>32</v>
      </c>
      <c r="E690" t="s">
        <v>33</v>
      </c>
      <c r="F690" t="s">
        <v>41</v>
      </c>
      <c r="G690" s="114">
        <v>2648.91</v>
      </c>
      <c r="H690" s="1" t="s">
        <v>22</v>
      </c>
      <c r="J690">
        <v>1.9</v>
      </c>
      <c r="K690">
        <v>1.1801999999999999</v>
      </c>
      <c r="L690" s="114">
        <v>59.399465999999997</v>
      </c>
      <c r="M690" s="114">
        <v>3066.8441159999998</v>
      </c>
      <c r="N690" s="114">
        <v>3126.2435819999996</v>
      </c>
      <c r="O690" t="s">
        <v>1138</v>
      </c>
    </row>
    <row r="691" spans="1:15" x14ac:dyDescent="0.25">
      <c r="A691" t="s">
        <v>734</v>
      </c>
      <c r="B691" s="159">
        <v>45551.338888888888</v>
      </c>
      <c r="C691" s="1" t="s">
        <v>37</v>
      </c>
      <c r="D691" s="1" t="s">
        <v>38</v>
      </c>
      <c r="E691" t="s">
        <v>28</v>
      </c>
      <c r="F691" t="s">
        <v>29</v>
      </c>
      <c r="G691" s="114">
        <v>1853.94</v>
      </c>
      <c r="H691" s="1" t="s">
        <v>22</v>
      </c>
      <c r="J691">
        <v>2.9</v>
      </c>
      <c r="K691">
        <v>0.23269999999999999</v>
      </c>
      <c r="L691" s="114">
        <v>12.509951999999998</v>
      </c>
      <c r="M691" s="114">
        <v>418.90188599999999</v>
      </c>
      <c r="N691" s="114">
        <v>431.41183799999999</v>
      </c>
      <c r="O691" t="s">
        <v>1138</v>
      </c>
    </row>
    <row r="692" spans="1:15" x14ac:dyDescent="0.25">
      <c r="A692" t="s">
        <v>735</v>
      </c>
      <c r="B692" s="159">
        <v>45553.55972222222</v>
      </c>
      <c r="C692" s="1" t="s">
        <v>31</v>
      </c>
      <c r="D692" s="1" t="s">
        <v>32</v>
      </c>
      <c r="E692" t="s">
        <v>15</v>
      </c>
      <c r="F692" t="s">
        <v>45</v>
      </c>
      <c r="G692" s="114">
        <v>4066</v>
      </c>
      <c r="H692" s="1" t="s">
        <v>22</v>
      </c>
      <c r="J692">
        <v>2.5</v>
      </c>
      <c r="K692">
        <v>1.1801999999999999</v>
      </c>
      <c r="L692" s="114">
        <v>119.96733</v>
      </c>
      <c r="M692" s="114">
        <v>4678.7258699999993</v>
      </c>
      <c r="N692" s="114">
        <v>4798.6931999999997</v>
      </c>
      <c r="O692" t="s">
        <v>1138</v>
      </c>
    </row>
    <row r="693" spans="1:15" x14ac:dyDescent="0.25">
      <c r="A693" t="s">
        <v>736</v>
      </c>
      <c r="B693" s="159">
        <v>45555.28402777778</v>
      </c>
      <c r="C693" s="1" t="s">
        <v>27</v>
      </c>
      <c r="D693" s="1" t="s">
        <v>25</v>
      </c>
      <c r="E693" t="s">
        <v>28</v>
      </c>
      <c r="F693" t="s">
        <v>45</v>
      </c>
      <c r="G693" s="114">
        <v>3765.62</v>
      </c>
      <c r="H693" s="1" t="s">
        <v>17</v>
      </c>
      <c r="J693">
        <v>2.9</v>
      </c>
      <c r="K693">
        <v>1</v>
      </c>
      <c r="L693" s="114">
        <v>0</v>
      </c>
      <c r="M693" s="114">
        <v>0</v>
      </c>
      <c r="N693" s="114">
        <v>0</v>
      </c>
      <c r="O693" t="s">
        <v>1138</v>
      </c>
    </row>
    <row r="694" spans="1:15" x14ac:dyDescent="0.25">
      <c r="A694" t="s">
        <v>737</v>
      </c>
      <c r="B694" s="159">
        <v>45555.420138888891</v>
      </c>
      <c r="C694" s="1" t="s">
        <v>58</v>
      </c>
      <c r="D694" s="1" t="s">
        <v>25</v>
      </c>
      <c r="E694" t="s">
        <v>28</v>
      </c>
      <c r="F694" t="s">
        <v>29</v>
      </c>
      <c r="G694" s="114">
        <v>4908.6099999999997</v>
      </c>
      <c r="H694" s="1" t="s">
        <v>34</v>
      </c>
      <c r="I694" t="s">
        <v>62</v>
      </c>
      <c r="J694">
        <v>2.9</v>
      </c>
      <c r="K694">
        <v>1</v>
      </c>
      <c r="L694" s="114">
        <v>0</v>
      </c>
      <c r="M694" s="114">
        <v>0</v>
      </c>
      <c r="N694" s="114">
        <v>0</v>
      </c>
      <c r="O694" t="s">
        <v>1138</v>
      </c>
    </row>
    <row r="695" spans="1:15" x14ac:dyDescent="0.25">
      <c r="A695" t="s">
        <v>738</v>
      </c>
      <c r="B695" s="159">
        <v>45555.553472222222</v>
      </c>
      <c r="C695" s="1" t="s">
        <v>60</v>
      </c>
      <c r="D695" s="1" t="s">
        <v>25</v>
      </c>
      <c r="E695" t="s">
        <v>15</v>
      </c>
      <c r="F695" t="s">
        <v>45</v>
      </c>
      <c r="G695" s="114">
        <v>120.96</v>
      </c>
      <c r="H695" s="1" t="s">
        <v>22</v>
      </c>
      <c r="J695">
        <v>2.5</v>
      </c>
      <c r="K695">
        <v>1</v>
      </c>
      <c r="L695" s="114">
        <v>3.02</v>
      </c>
      <c r="M695" s="114">
        <v>117.94</v>
      </c>
      <c r="N695" s="114">
        <v>120.96</v>
      </c>
      <c r="O695" t="s">
        <v>1138</v>
      </c>
    </row>
    <row r="696" spans="1:15" x14ac:dyDescent="0.25">
      <c r="A696" t="s">
        <v>739</v>
      </c>
      <c r="B696" s="159">
        <v>45555.712500000001</v>
      </c>
      <c r="C696" s="1" t="s">
        <v>37</v>
      </c>
      <c r="D696" s="1" t="s">
        <v>38</v>
      </c>
      <c r="E696" t="s">
        <v>44</v>
      </c>
      <c r="F696" t="s">
        <v>16</v>
      </c>
      <c r="G696" s="114">
        <v>621.38</v>
      </c>
      <c r="H696" s="1" t="s">
        <v>34</v>
      </c>
      <c r="I696" t="s">
        <v>35</v>
      </c>
      <c r="J696">
        <v>2.1</v>
      </c>
      <c r="K696">
        <v>0.23269999999999999</v>
      </c>
      <c r="L696" s="114">
        <v>0</v>
      </c>
      <c r="M696" s="114">
        <v>0</v>
      </c>
      <c r="N696" s="114">
        <v>0</v>
      </c>
      <c r="O696" t="s">
        <v>1138</v>
      </c>
    </row>
    <row r="697" spans="1:15" x14ac:dyDescent="0.25">
      <c r="A697" t="s">
        <v>740</v>
      </c>
      <c r="B697" s="159">
        <v>45556.232638888891</v>
      </c>
      <c r="C697" s="1" t="s">
        <v>27</v>
      </c>
      <c r="D697" s="1" t="s">
        <v>25</v>
      </c>
      <c r="E697" t="s">
        <v>39</v>
      </c>
      <c r="F697" t="s">
        <v>45</v>
      </c>
      <c r="G697" s="114">
        <v>2137.58</v>
      </c>
      <c r="H697" s="1" t="s">
        <v>34</v>
      </c>
      <c r="I697" t="s">
        <v>35</v>
      </c>
      <c r="J697">
        <v>3.2</v>
      </c>
      <c r="K697">
        <v>1</v>
      </c>
      <c r="L697" s="114">
        <v>0</v>
      </c>
      <c r="M697" s="114">
        <v>0</v>
      </c>
      <c r="N697" s="114">
        <v>0</v>
      </c>
      <c r="O697" t="s">
        <v>1138</v>
      </c>
    </row>
    <row r="698" spans="1:15" x14ac:dyDescent="0.25">
      <c r="A698" t="s">
        <v>741</v>
      </c>
      <c r="B698" s="159">
        <v>45556.253472222219</v>
      </c>
      <c r="C698" s="1" t="s">
        <v>24</v>
      </c>
      <c r="D698" s="1" t="s">
        <v>25</v>
      </c>
      <c r="E698" t="s">
        <v>15</v>
      </c>
      <c r="F698" t="s">
        <v>16</v>
      </c>
      <c r="G698" s="114">
        <v>2780.33</v>
      </c>
      <c r="H698" s="1" t="s">
        <v>22</v>
      </c>
      <c r="J698">
        <v>2.5</v>
      </c>
      <c r="K698">
        <v>1</v>
      </c>
      <c r="L698" s="114">
        <v>69.510000000000005</v>
      </c>
      <c r="M698" s="114">
        <v>2710.82</v>
      </c>
      <c r="N698" s="114">
        <v>2780.3300000000004</v>
      </c>
      <c r="O698" t="s">
        <v>1138</v>
      </c>
    </row>
    <row r="699" spans="1:15" x14ac:dyDescent="0.25">
      <c r="A699" t="s">
        <v>742</v>
      </c>
      <c r="B699" s="159">
        <v>45556.435416666667</v>
      </c>
      <c r="C699" s="1" t="s">
        <v>27</v>
      </c>
      <c r="D699" s="1" t="s">
        <v>25</v>
      </c>
      <c r="E699" t="s">
        <v>39</v>
      </c>
      <c r="F699" t="s">
        <v>16</v>
      </c>
      <c r="G699" s="114">
        <v>3820.74</v>
      </c>
      <c r="H699" s="1" t="s">
        <v>22</v>
      </c>
      <c r="J699">
        <v>3.2</v>
      </c>
      <c r="K699">
        <v>1</v>
      </c>
      <c r="L699" s="114">
        <v>122.26</v>
      </c>
      <c r="M699" s="114">
        <v>3698.48</v>
      </c>
      <c r="N699" s="114">
        <v>3820.7400000000002</v>
      </c>
      <c r="O699" t="s">
        <v>1138</v>
      </c>
    </row>
    <row r="700" spans="1:15" x14ac:dyDescent="0.25">
      <c r="A700" t="s">
        <v>743</v>
      </c>
      <c r="B700" s="159">
        <v>45556.494444444441</v>
      </c>
      <c r="C700" s="1" t="s">
        <v>60</v>
      </c>
      <c r="D700" s="1" t="s">
        <v>25</v>
      </c>
      <c r="E700" t="s">
        <v>33</v>
      </c>
      <c r="F700" t="s">
        <v>29</v>
      </c>
      <c r="G700" s="114">
        <v>337.43</v>
      </c>
      <c r="H700" s="1" t="s">
        <v>17</v>
      </c>
      <c r="J700">
        <v>1.9</v>
      </c>
      <c r="K700">
        <v>1</v>
      </c>
      <c r="L700" s="114">
        <v>0</v>
      </c>
      <c r="M700" s="114">
        <v>0</v>
      </c>
      <c r="N700" s="114">
        <v>0</v>
      </c>
      <c r="O700" t="s">
        <v>1138</v>
      </c>
    </row>
    <row r="701" spans="1:15" x14ac:dyDescent="0.25">
      <c r="A701" t="s">
        <v>744</v>
      </c>
      <c r="B701" s="159">
        <v>45556.515277777777</v>
      </c>
      <c r="C701" s="1" t="s">
        <v>37</v>
      </c>
      <c r="D701" s="1" t="s">
        <v>38</v>
      </c>
      <c r="E701" t="s">
        <v>15</v>
      </c>
      <c r="F701" t="s">
        <v>16</v>
      </c>
      <c r="G701" s="114">
        <v>4436.99</v>
      </c>
      <c r="H701" s="1" t="s">
        <v>22</v>
      </c>
      <c r="J701">
        <v>2.5</v>
      </c>
      <c r="K701">
        <v>0.23269999999999999</v>
      </c>
      <c r="L701" s="114">
        <v>25.811084000000001</v>
      </c>
      <c r="M701" s="114">
        <v>1006.6764889999998</v>
      </c>
      <c r="N701" s="114">
        <v>1032.4875729999999</v>
      </c>
      <c r="O701" t="s">
        <v>1138</v>
      </c>
    </row>
    <row r="702" spans="1:15" x14ac:dyDescent="0.25">
      <c r="A702" t="s">
        <v>745</v>
      </c>
      <c r="B702" s="159">
        <v>45556.588194444441</v>
      </c>
      <c r="C702" s="1" t="s">
        <v>24</v>
      </c>
      <c r="D702" s="1" t="s">
        <v>25</v>
      </c>
      <c r="E702" t="s">
        <v>44</v>
      </c>
      <c r="F702" t="s">
        <v>41</v>
      </c>
      <c r="G702" s="114">
        <v>1697.05</v>
      </c>
      <c r="H702" s="1" t="s">
        <v>17</v>
      </c>
      <c r="J702">
        <v>2.1</v>
      </c>
      <c r="K702">
        <v>1</v>
      </c>
      <c r="L702" s="114">
        <v>0</v>
      </c>
      <c r="M702" s="114">
        <v>0</v>
      </c>
      <c r="N702" s="114">
        <v>0</v>
      </c>
      <c r="O702" t="s">
        <v>1138</v>
      </c>
    </row>
    <row r="703" spans="1:15" x14ac:dyDescent="0.25">
      <c r="A703" t="s">
        <v>746</v>
      </c>
      <c r="B703" s="159">
        <v>45557.179861111108</v>
      </c>
      <c r="C703" s="1" t="s">
        <v>27</v>
      </c>
      <c r="D703" s="1" t="s">
        <v>25</v>
      </c>
      <c r="E703" t="s">
        <v>44</v>
      </c>
      <c r="F703" t="s">
        <v>21</v>
      </c>
      <c r="G703" s="114">
        <v>4674.34</v>
      </c>
      <c r="H703" s="1" t="s">
        <v>22</v>
      </c>
      <c r="J703">
        <v>2.1</v>
      </c>
      <c r="K703">
        <v>1</v>
      </c>
      <c r="L703" s="114">
        <v>98.16</v>
      </c>
      <c r="M703" s="114">
        <v>4576.18</v>
      </c>
      <c r="N703" s="114">
        <v>4674.34</v>
      </c>
      <c r="O703" t="s">
        <v>1138</v>
      </c>
    </row>
    <row r="704" spans="1:15" x14ac:dyDescent="0.25">
      <c r="A704" t="s">
        <v>747</v>
      </c>
      <c r="B704" s="159">
        <v>45557.412499999999</v>
      </c>
      <c r="C704" s="1" t="s">
        <v>31</v>
      </c>
      <c r="D704" s="1" t="s">
        <v>32</v>
      </c>
      <c r="E704" t="s">
        <v>39</v>
      </c>
      <c r="F704" t="s">
        <v>29</v>
      </c>
      <c r="G704" s="114">
        <v>3178.93</v>
      </c>
      <c r="H704" s="1" t="s">
        <v>17</v>
      </c>
      <c r="J704">
        <v>3.2</v>
      </c>
      <c r="K704">
        <v>1.1801999999999999</v>
      </c>
      <c r="L704" s="114">
        <v>0</v>
      </c>
      <c r="M704" s="114">
        <v>0</v>
      </c>
      <c r="N704" s="114">
        <v>0</v>
      </c>
      <c r="O704" t="s">
        <v>1138</v>
      </c>
    </row>
    <row r="705" spans="1:15" x14ac:dyDescent="0.25">
      <c r="A705" t="s">
        <v>748</v>
      </c>
      <c r="B705" s="159">
        <v>45557.589583333334</v>
      </c>
      <c r="C705" s="1" t="s">
        <v>19</v>
      </c>
      <c r="D705" s="1" t="s">
        <v>20</v>
      </c>
      <c r="E705" t="s">
        <v>33</v>
      </c>
      <c r="F705" t="s">
        <v>29</v>
      </c>
      <c r="G705" s="114">
        <v>1646.55</v>
      </c>
      <c r="H705" s="1" t="s">
        <v>17</v>
      </c>
      <c r="J705">
        <v>1.9</v>
      </c>
      <c r="K705">
        <v>8.5999999999999993E-2</v>
      </c>
      <c r="L705" s="114">
        <v>0</v>
      </c>
      <c r="M705" s="114">
        <v>0</v>
      </c>
      <c r="N705" s="114">
        <v>0</v>
      </c>
      <c r="O705" t="s">
        <v>1138</v>
      </c>
    </row>
    <row r="706" spans="1:15" x14ac:dyDescent="0.25">
      <c r="A706" t="s">
        <v>749</v>
      </c>
      <c r="B706" s="159">
        <v>45557.894444444442</v>
      </c>
      <c r="C706" s="1" t="s">
        <v>60</v>
      </c>
      <c r="D706" s="1" t="s">
        <v>25</v>
      </c>
      <c r="E706" t="s">
        <v>28</v>
      </c>
      <c r="F706" t="s">
        <v>21</v>
      </c>
      <c r="G706" s="114">
        <v>4087.37</v>
      </c>
      <c r="H706" s="1" t="s">
        <v>34</v>
      </c>
      <c r="I706" t="s">
        <v>35</v>
      </c>
      <c r="J706">
        <v>2.9</v>
      </c>
      <c r="K706">
        <v>1</v>
      </c>
      <c r="L706" s="114">
        <v>0</v>
      </c>
      <c r="M706" s="114">
        <v>0</v>
      </c>
      <c r="N706" s="114">
        <v>0</v>
      </c>
      <c r="O706" t="s">
        <v>1138</v>
      </c>
    </row>
    <row r="707" spans="1:15" x14ac:dyDescent="0.25">
      <c r="A707" t="s">
        <v>750</v>
      </c>
      <c r="B707" s="159">
        <v>45558.01666666667</v>
      </c>
      <c r="C707" s="1" t="s">
        <v>24</v>
      </c>
      <c r="D707" s="1" t="s">
        <v>25</v>
      </c>
      <c r="E707" t="s">
        <v>39</v>
      </c>
      <c r="F707" t="s">
        <v>16</v>
      </c>
      <c r="G707" s="114">
        <v>1817.73</v>
      </c>
      <c r="H707" s="1" t="s">
        <v>22</v>
      </c>
      <c r="J707">
        <v>3.2</v>
      </c>
      <c r="K707">
        <v>1</v>
      </c>
      <c r="L707" s="114">
        <v>58.17</v>
      </c>
      <c r="M707" s="114">
        <v>1759.56</v>
      </c>
      <c r="N707" s="114">
        <v>1817.73</v>
      </c>
      <c r="O707" t="s">
        <v>1138</v>
      </c>
    </row>
    <row r="708" spans="1:15" x14ac:dyDescent="0.25">
      <c r="A708" t="s">
        <v>751</v>
      </c>
      <c r="B708" s="159">
        <v>45558.400000000001</v>
      </c>
      <c r="C708" s="1" t="s">
        <v>37</v>
      </c>
      <c r="D708" s="1" t="s">
        <v>38</v>
      </c>
      <c r="E708" t="s">
        <v>33</v>
      </c>
      <c r="F708" t="s">
        <v>45</v>
      </c>
      <c r="G708" s="114">
        <v>103.4</v>
      </c>
      <c r="H708" s="1" t="s">
        <v>17</v>
      </c>
      <c r="J708">
        <v>1.9</v>
      </c>
      <c r="K708">
        <v>0.23269999999999999</v>
      </c>
      <c r="L708" s="114">
        <v>0</v>
      </c>
      <c r="M708" s="114">
        <v>0</v>
      </c>
      <c r="N708" s="114">
        <v>0</v>
      </c>
      <c r="O708" t="s">
        <v>1138</v>
      </c>
    </row>
    <row r="709" spans="1:15" x14ac:dyDescent="0.25">
      <c r="A709" t="s">
        <v>752</v>
      </c>
      <c r="B709" s="159">
        <v>45558.45</v>
      </c>
      <c r="C709" s="1" t="s">
        <v>27</v>
      </c>
      <c r="D709" s="1" t="s">
        <v>25</v>
      </c>
      <c r="E709" t="s">
        <v>28</v>
      </c>
      <c r="F709" t="s">
        <v>41</v>
      </c>
      <c r="G709" s="114">
        <v>4452.6899999999996</v>
      </c>
      <c r="H709" s="1" t="s">
        <v>17</v>
      </c>
      <c r="J709">
        <v>2.9</v>
      </c>
      <c r="K709">
        <v>1</v>
      </c>
      <c r="L709" s="114">
        <v>0</v>
      </c>
      <c r="M709" s="114">
        <v>0</v>
      </c>
      <c r="N709" s="114">
        <v>0</v>
      </c>
      <c r="O709" t="s">
        <v>1138</v>
      </c>
    </row>
    <row r="710" spans="1:15" x14ac:dyDescent="0.25">
      <c r="A710" t="s">
        <v>753</v>
      </c>
      <c r="B710" s="159">
        <v>45558.738194444442</v>
      </c>
      <c r="C710" s="1" t="s">
        <v>24</v>
      </c>
      <c r="D710" s="1" t="s">
        <v>25</v>
      </c>
      <c r="E710" t="s">
        <v>39</v>
      </c>
      <c r="F710" t="s">
        <v>16</v>
      </c>
      <c r="G710" s="114">
        <v>359.17</v>
      </c>
      <c r="H710" s="1" t="s">
        <v>22</v>
      </c>
      <c r="J710">
        <v>3.2</v>
      </c>
      <c r="K710">
        <v>1</v>
      </c>
      <c r="L710" s="114">
        <v>11.49</v>
      </c>
      <c r="M710" s="114">
        <v>347.68</v>
      </c>
      <c r="N710" s="114">
        <v>359.17</v>
      </c>
      <c r="O710" t="s">
        <v>1138</v>
      </c>
    </row>
    <row r="711" spans="1:15" x14ac:dyDescent="0.25">
      <c r="A711" t="s">
        <v>754</v>
      </c>
      <c r="B711" s="159">
        <v>45559.911805555559</v>
      </c>
      <c r="C711" s="1" t="s">
        <v>19</v>
      </c>
      <c r="D711" s="1" t="s">
        <v>20</v>
      </c>
      <c r="E711" t="s">
        <v>33</v>
      </c>
      <c r="F711" t="s">
        <v>21</v>
      </c>
      <c r="G711" s="114">
        <v>2487.29</v>
      </c>
      <c r="H711" s="1" t="s">
        <v>22</v>
      </c>
      <c r="J711">
        <v>1.9</v>
      </c>
      <c r="K711">
        <v>8.5999999999999993E-2</v>
      </c>
      <c r="L711" s="114">
        <v>4.0643599999999998</v>
      </c>
      <c r="M711" s="114">
        <v>209.84258</v>
      </c>
      <c r="N711" s="114">
        <v>213.90693999999999</v>
      </c>
      <c r="O711" t="s">
        <v>1138</v>
      </c>
    </row>
    <row r="712" spans="1:15" x14ac:dyDescent="0.25">
      <c r="A712" t="s">
        <v>755</v>
      </c>
      <c r="B712" s="159">
        <v>45560.087500000001</v>
      </c>
      <c r="C712" s="1" t="s">
        <v>47</v>
      </c>
      <c r="D712" s="1" t="s">
        <v>25</v>
      </c>
      <c r="E712" t="s">
        <v>33</v>
      </c>
      <c r="F712" t="s">
        <v>29</v>
      </c>
      <c r="G712" s="114">
        <v>430.71</v>
      </c>
      <c r="H712" s="1" t="s">
        <v>34</v>
      </c>
      <c r="I712" t="s">
        <v>62</v>
      </c>
      <c r="J712">
        <v>1.9</v>
      </c>
      <c r="K712">
        <v>1</v>
      </c>
      <c r="L712" s="114">
        <v>0</v>
      </c>
      <c r="M712" s="114">
        <v>0</v>
      </c>
      <c r="N712" s="114">
        <v>0</v>
      </c>
      <c r="O712" t="s">
        <v>1138</v>
      </c>
    </row>
    <row r="713" spans="1:15" x14ac:dyDescent="0.25">
      <c r="A713" t="s">
        <v>756</v>
      </c>
      <c r="B713" s="159">
        <v>45560.40902777778</v>
      </c>
      <c r="C713" s="1" t="s">
        <v>37</v>
      </c>
      <c r="D713" s="1" t="s">
        <v>38</v>
      </c>
      <c r="E713" t="s">
        <v>44</v>
      </c>
      <c r="F713" t="s">
        <v>41</v>
      </c>
      <c r="G713" s="114">
        <v>4112.47</v>
      </c>
      <c r="H713" s="1" t="s">
        <v>17</v>
      </c>
      <c r="J713">
        <v>2.1</v>
      </c>
      <c r="K713">
        <v>0.23269999999999999</v>
      </c>
      <c r="L713" s="114">
        <v>0</v>
      </c>
      <c r="M713" s="114">
        <v>0</v>
      </c>
      <c r="N713" s="114">
        <v>0</v>
      </c>
      <c r="O713" t="s">
        <v>1138</v>
      </c>
    </row>
    <row r="714" spans="1:15" x14ac:dyDescent="0.25">
      <c r="A714" t="s">
        <v>757</v>
      </c>
      <c r="B714" s="159">
        <v>45560.861111111109</v>
      </c>
      <c r="C714" s="1" t="s">
        <v>13</v>
      </c>
      <c r="D714" s="1" t="s">
        <v>14</v>
      </c>
      <c r="E714" t="s">
        <v>39</v>
      </c>
      <c r="F714" t="s">
        <v>21</v>
      </c>
      <c r="G714" s="114">
        <v>2413.44</v>
      </c>
      <c r="H714" s="1" t="s">
        <v>22</v>
      </c>
      <c r="J714">
        <v>3.2</v>
      </c>
      <c r="K714">
        <v>8.7400000000000005E-2</v>
      </c>
      <c r="L714" s="114">
        <v>6.7499020000000005</v>
      </c>
      <c r="M714" s="114">
        <v>204.18475400000003</v>
      </c>
      <c r="N714" s="114">
        <v>210.93465600000002</v>
      </c>
      <c r="O714" t="s">
        <v>1138</v>
      </c>
    </row>
    <row r="715" spans="1:15" x14ac:dyDescent="0.25">
      <c r="A715" t="s">
        <v>758</v>
      </c>
      <c r="B715" s="159">
        <v>45561.299305555556</v>
      </c>
      <c r="C715" s="1" t="s">
        <v>13</v>
      </c>
      <c r="D715" s="1" t="s">
        <v>14</v>
      </c>
      <c r="E715" t="s">
        <v>28</v>
      </c>
      <c r="F715" t="s">
        <v>45</v>
      </c>
      <c r="G715" s="114">
        <v>805.26</v>
      </c>
      <c r="H715" s="1" t="s">
        <v>17</v>
      </c>
      <c r="J715">
        <v>2.9</v>
      </c>
      <c r="K715">
        <v>8.7400000000000005E-2</v>
      </c>
      <c r="L715" s="114">
        <v>0</v>
      </c>
      <c r="M715" s="114">
        <v>0</v>
      </c>
      <c r="N715" s="114">
        <v>0</v>
      </c>
      <c r="O715" t="s">
        <v>1138</v>
      </c>
    </row>
    <row r="716" spans="1:15" x14ac:dyDescent="0.25">
      <c r="A716" t="s">
        <v>759</v>
      </c>
      <c r="B716" s="159">
        <v>45561.353472222225</v>
      </c>
      <c r="C716" s="1" t="s">
        <v>13</v>
      </c>
      <c r="D716" s="1" t="s">
        <v>14</v>
      </c>
      <c r="E716" t="s">
        <v>28</v>
      </c>
      <c r="F716" t="s">
        <v>45</v>
      </c>
      <c r="G716" s="114">
        <v>4450.68</v>
      </c>
      <c r="H716" s="1" t="s">
        <v>22</v>
      </c>
      <c r="J716">
        <v>2.9</v>
      </c>
      <c r="K716">
        <v>8.7400000000000005E-2</v>
      </c>
      <c r="L716" s="114">
        <v>11.280718</v>
      </c>
      <c r="M716" s="114">
        <v>377.70871399999999</v>
      </c>
      <c r="N716" s="114">
        <v>388.98943199999997</v>
      </c>
      <c r="O716" t="s">
        <v>1138</v>
      </c>
    </row>
    <row r="717" spans="1:15" x14ac:dyDescent="0.25">
      <c r="A717" t="s">
        <v>760</v>
      </c>
      <c r="B717" s="159">
        <v>45561.583333333336</v>
      </c>
      <c r="C717" s="1" t="s">
        <v>27</v>
      </c>
      <c r="D717" s="1" t="s">
        <v>25</v>
      </c>
      <c r="E717" t="s">
        <v>15</v>
      </c>
      <c r="F717" t="s">
        <v>29</v>
      </c>
      <c r="G717" s="114">
        <v>383.39</v>
      </c>
      <c r="H717" s="1" t="s">
        <v>22</v>
      </c>
      <c r="J717">
        <v>2.5</v>
      </c>
      <c r="K717">
        <v>1</v>
      </c>
      <c r="L717" s="114">
        <v>9.58</v>
      </c>
      <c r="M717" s="114">
        <v>373.81</v>
      </c>
      <c r="N717" s="114">
        <v>383.39</v>
      </c>
      <c r="O717" t="s">
        <v>1138</v>
      </c>
    </row>
    <row r="718" spans="1:15" x14ac:dyDescent="0.25">
      <c r="A718" t="s">
        <v>761</v>
      </c>
      <c r="B718" s="159">
        <v>45561.606249999997</v>
      </c>
      <c r="C718" s="1" t="s">
        <v>37</v>
      </c>
      <c r="D718" s="1" t="s">
        <v>38</v>
      </c>
      <c r="E718" t="s">
        <v>28</v>
      </c>
      <c r="F718" t="s">
        <v>45</v>
      </c>
      <c r="G718" s="114">
        <v>569.91999999999996</v>
      </c>
      <c r="H718" s="1" t="s">
        <v>17</v>
      </c>
      <c r="J718">
        <v>2.9</v>
      </c>
      <c r="K718">
        <v>0.23269999999999999</v>
      </c>
      <c r="L718" s="114">
        <v>0</v>
      </c>
      <c r="M718" s="114">
        <v>0</v>
      </c>
      <c r="N718" s="114">
        <v>0</v>
      </c>
      <c r="O718" t="s">
        <v>1138</v>
      </c>
    </row>
    <row r="719" spans="1:15" x14ac:dyDescent="0.25">
      <c r="A719" t="s">
        <v>762</v>
      </c>
      <c r="B719" s="159">
        <v>45561.822222222225</v>
      </c>
      <c r="C719" s="1" t="s">
        <v>19</v>
      </c>
      <c r="D719" s="1" t="s">
        <v>20</v>
      </c>
      <c r="E719" t="s">
        <v>39</v>
      </c>
      <c r="F719" t="s">
        <v>41</v>
      </c>
      <c r="G719" s="114">
        <v>1838.11</v>
      </c>
      <c r="H719" s="1" t="s">
        <v>17</v>
      </c>
      <c r="J719">
        <v>3.2</v>
      </c>
      <c r="K719">
        <v>8.5999999999999993E-2</v>
      </c>
      <c r="L719" s="114">
        <v>0</v>
      </c>
      <c r="M719" s="114">
        <v>0</v>
      </c>
      <c r="N719" s="114">
        <v>0</v>
      </c>
      <c r="O719" t="s">
        <v>1138</v>
      </c>
    </row>
    <row r="720" spans="1:15" x14ac:dyDescent="0.25">
      <c r="A720" t="s">
        <v>763</v>
      </c>
      <c r="B720" s="159">
        <v>45562.831944444442</v>
      </c>
      <c r="C720" s="1" t="s">
        <v>27</v>
      </c>
      <c r="D720" s="1" t="s">
        <v>25</v>
      </c>
      <c r="E720" t="s">
        <v>15</v>
      </c>
      <c r="F720" t="s">
        <v>16</v>
      </c>
      <c r="G720" s="114">
        <v>3222.96</v>
      </c>
      <c r="H720" s="1" t="s">
        <v>17</v>
      </c>
      <c r="J720">
        <v>2.5</v>
      </c>
      <c r="K720">
        <v>1</v>
      </c>
      <c r="L720" s="114">
        <v>0</v>
      </c>
      <c r="M720" s="114">
        <v>0</v>
      </c>
      <c r="N720" s="114">
        <v>0</v>
      </c>
      <c r="O720" t="s">
        <v>1138</v>
      </c>
    </row>
    <row r="721" spans="1:15" x14ac:dyDescent="0.25">
      <c r="A721" t="s">
        <v>764</v>
      </c>
      <c r="B721" s="159">
        <v>45563.183333333334</v>
      </c>
      <c r="C721" s="1" t="s">
        <v>24</v>
      </c>
      <c r="D721" s="1" t="s">
        <v>25</v>
      </c>
      <c r="E721" t="s">
        <v>39</v>
      </c>
      <c r="F721" t="s">
        <v>29</v>
      </c>
      <c r="G721" s="114">
        <v>1658.01</v>
      </c>
      <c r="H721" s="1" t="s">
        <v>22</v>
      </c>
      <c r="J721">
        <v>3.2</v>
      </c>
      <c r="K721">
        <v>1</v>
      </c>
      <c r="L721" s="114">
        <v>53.06</v>
      </c>
      <c r="M721" s="114">
        <v>1604.95</v>
      </c>
      <c r="N721" s="114">
        <v>1658.01</v>
      </c>
      <c r="O721" t="s">
        <v>1138</v>
      </c>
    </row>
    <row r="722" spans="1:15" x14ac:dyDescent="0.25">
      <c r="A722" t="s">
        <v>765</v>
      </c>
      <c r="B722" s="159">
        <v>45563.475694444445</v>
      </c>
      <c r="C722" s="1" t="s">
        <v>37</v>
      </c>
      <c r="D722" s="1" t="s">
        <v>38</v>
      </c>
      <c r="E722" t="s">
        <v>39</v>
      </c>
      <c r="F722" t="s">
        <v>29</v>
      </c>
      <c r="G722" s="114">
        <v>4803</v>
      </c>
      <c r="H722" s="1" t="s">
        <v>22</v>
      </c>
      <c r="J722">
        <v>3.2</v>
      </c>
      <c r="K722">
        <v>0.23269999999999999</v>
      </c>
      <c r="L722" s="114">
        <v>35.765989999999995</v>
      </c>
      <c r="M722" s="114">
        <v>1081.89211</v>
      </c>
      <c r="N722" s="114">
        <v>1117.6581000000001</v>
      </c>
      <c r="O722" t="s">
        <v>1138</v>
      </c>
    </row>
    <row r="723" spans="1:15" x14ac:dyDescent="0.25">
      <c r="A723" t="s">
        <v>766</v>
      </c>
      <c r="B723" s="159">
        <v>45563.706944444442</v>
      </c>
      <c r="C723" s="1" t="s">
        <v>47</v>
      </c>
      <c r="D723" s="1" t="s">
        <v>25</v>
      </c>
      <c r="E723" t="s">
        <v>44</v>
      </c>
      <c r="F723" t="s">
        <v>21</v>
      </c>
      <c r="G723" s="114">
        <v>4571.1000000000004</v>
      </c>
      <c r="H723" s="1" t="s">
        <v>34</v>
      </c>
      <c r="I723" t="s">
        <v>62</v>
      </c>
      <c r="J723">
        <v>2.1</v>
      </c>
      <c r="K723">
        <v>1</v>
      </c>
      <c r="L723" s="114">
        <v>0</v>
      </c>
      <c r="M723" s="114">
        <v>0</v>
      </c>
      <c r="N723" s="114">
        <v>0</v>
      </c>
      <c r="O723" t="s">
        <v>1138</v>
      </c>
    </row>
    <row r="724" spans="1:15" x14ac:dyDescent="0.25">
      <c r="A724" t="s">
        <v>767</v>
      </c>
      <c r="B724" s="159">
        <v>45564.450694444444</v>
      </c>
      <c r="C724" s="1" t="s">
        <v>43</v>
      </c>
      <c r="D724" s="1" t="s">
        <v>25</v>
      </c>
      <c r="E724" t="s">
        <v>28</v>
      </c>
      <c r="F724" t="s">
        <v>21</v>
      </c>
      <c r="G724" s="114">
        <v>755.11</v>
      </c>
      <c r="H724" s="1" t="s">
        <v>22</v>
      </c>
      <c r="J724">
        <v>2.9</v>
      </c>
      <c r="K724">
        <v>1</v>
      </c>
      <c r="L724" s="114">
        <v>21.9</v>
      </c>
      <c r="M724" s="114">
        <v>733.21</v>
      </c>
      <c r="N724" s="114">
        <v>755.11</v>
      </c>
      <c r="O724" t="s">
        <v>1138</v>
      </c>
    </row>
    <row r="725" spans="1:15" x14ac:dyDescent="0.25">
      <c r="A725" t="s">
        <v>768</v>
      </c>
      <c r="B725" s="159">
        <v>45565.020833333336</v>
      </c>
      <c r="C725" s="1" t="s">
        <v>43</v>
      </c>
      <c r="D725" s="1" t="s">
        <v>25</v>
      </c>
      <c r="E725" t="s">
        <v>33</v>
      </c>
      <c r="F725" t="s">
        <v>16</v>
      </c>
      <c r="G725" s="114">
        <v>2874.09</v>
      </c>
      <c r="H725" s="1" t="s">
        <v>22</v>
      </c>
      <c r="J725">
        <v>1.9</v>
      </c>
      <c r="K725">
        <v>1</v>
      </c>
      <c r="L725" s="114">
        <v>54.61</v>
      </c>
      <c r="M725" s="114">
        <v>2819.48</v>
      </c>
      <c r="N725" s="114">
        <v>2874.09</v>
      </c>
      <c r="O725" t="s">
        <v>1138</v>
      </c>
    </row>
    <row r="726" spans="1:15" x14ac:dyDescent="0.25">
      <c r="A726" t="s">
        <v>769</v>
      </c>
      <c r="B726" s="159">
        <v>45565.32916666667</v>
      </c>
      <c r="C726" s="1" t="s">
        <v>43</v>
      </c>
      <c r="D726" s="1" t="s">
        <v>25</v>
      </c>
      <c r="E726" t="s">
        <v>15</v>
      </c>
      <c r="F726" t="s">
        <v>41</v>
      </c>
      <c r="G726" s="114">
        <v>4549.8500000000004</v>
      </c>
      <c r="H726" s="1" t="s">
        <v>34</v>
      </c>
      <c r="I726" t="s">
        <v>62</v>
      </c>
      <c r="J726">
        <v>2.5</v>
      </c>
      <c r="K726">
        <v>1</v>
      </c>
      <c r="L726" s="114">
        <v>0</v>
      </c>
      <c r="M726" s="114">
        <v>0</v>
      </c>
      <c r="N726" s="114">
        <v>0</v>
      </c>
      <c r="O726" t="s">
        <v>1138</v>
      </c>
    </row>
    <row r="727" spans="1:15" x14ac:dyDescent="0.25">
      <c r="A727" t="s">
        <v>770</v>
      </c>
      <c r="B727" s="159">
        <v>45565.420138888891</v>
      </c>
      <c r="C727" s="1" t="s">
        <v>43</v>
      </c>
      <c r="D727" s="1" t="s">
        <v>25</v>
      </c>
      <c r="E727" t="s">
        <v>39</v>
      </c>
      <c r="F727" t="s">
        <v>29</v>
      </c>
      <c r="G727" s="114">
        <v>891.33</v>
      </c>
      <c r="H727" s="1" t="s">
        <v>22</v>
      </c>
      <c r="J727">
        <v>3.2</v>
      </c>
      <c r="K727">
        <v>1</v>
      </c>
      <c r="L727" s="114">
        <v>28.52</v>
      </c>
      <c r="M727" s="114">
        <v>862.81</v>
      </c>
      <c r="N727" s="114">
        <v>891.32999999999993</v>
      </c>
      <c r="O727" t="s">
        <v>1138</v>
      </c>
    </row>
    <row r="728" spans="1:15" x14ac:dyDescent="0.25">
      <c r="A728" t="s">
        <v>771</v>
      </c>
      <c r="B728" s="159">
        <v>45565.509027777778</v>
      </c>
      <c r="C728" s="1" t="s">
        <v>58</v>
      </c>
      <c r="D728" s="1" t="s">
        <v>25</v>
      </c>
      <c r="E728" t="s">
        <v>44</v>
      </c>
      <c r="F728" t="s">
        <v>16</v>
      </c>
      <c r="G728" s="114">
        <v>1350</v>
      </c>
      <c r="H728" s="1" t="s">
        <v>22</v>
      </c>
      <c r="J728">
        <v>2.1</v>
      </c>
      <c r="K728">
        <v>1</v>
      </c>
      <c r="L728" s="114">
        <v>28.35</v>
      </c>
      <c r="M728" s="114">
        <v>1321.65</v>
      </c>
      <c r="N728" s="114">
        <v>1350</v>
      </c>
      <c r="O728" t="s">
        <v>1138</v>
      </c>
    </row>
    <row r="729" spans="1:15" x14ac:dyDescent="0.25">
      <c r="A729" t="s">
        <v>772</v>
      </c>
      <c r="B729" s="159">
        <v>45565.960416666669</v>
      </c>
      <c r="C729" s="1" t="s">
        <v>24</v>
      </c>
      <c r="D729" s="1" t="s">
        <v>25</v>
      </c>
      <c r="E729" t="s">
        <v>33</v>
      </c>
      <c r="F729" t="s">
        <v>16</v>
      </c>
      <c r="G729" s="114">
        <v>1780.48</v>
      </c>
      <c r="H729" s="1" t="s">
        <v>22</v>
      </c>
      <c r="J729">
        <v>1.9</v>
      </c>
      <c r="K729">
        <v>1</v>
      </c>
      <c r="L729" s="114">
        <v>33.83</v>
      </c>
      <c r="M729" s="114">
        <v>1746.65</v>
      </c>
      <c r="N729" s="114">
        <v>1780.48</v>
      </c>
      <c r="O729" t="s">
        <v>1138</v>
      </c>
    </row>
    <row r="730" spans="1:15" x14ac:dyDescent="0.25">
      <c r="A730" t="s">
        <v>773</v>
      </c>
      <c r="B730" s="159">
        <v>45566.037499999999</v>
      </c>
      <c r="C730" s="1" t="s">
        <v>31</v>
      </c>
      <c r="D730" s="1" t="s">
        <v>32</v>
      </c>
      <c r="E730" t="s">
        <v>15</v>
      </c>
      <c r="F730" t="s">
        <v>29</v>
      </c>
      <c r="G730" s="114">
        <v>4413.45</v>
      </c>
      <c r="H730" s="1" t="s">
        <v>22</v>
      </c>
      <c r="J730">
        <v>2.5</v>
      </c>
      <c r="K730">
        <v>1.1801999999999999</v>
      </c>
      <c r="L730" s="114">
        <v>130.22326799999999</v>
      </c>
      <c r="M730" s="114">
        <v>5078.5304219999989</v>
      </c>
      <c r="N730" s="114">
        <v>5208.7536899999986</v>
      </c>
      <c r="O730" t="s">
        <v>1139</v>
      </c>
    </row>
    <row r="731" spans="1:15" x14ac:dyDescent="0.25">
      <c r="A731" t="s">
        <v>774</v>
      </c>
      <c r="B731" s="159">
        <v>45566.165972222225</v>
      </c>
      <c r="C731" s="1" t="s">
        <v>58</v>
      </c>
      <c r="D731" s="1" t="s">
        <v>25</v>
      </c>
      <c r="E731" t="s">
        <v>28</v>
      </c>
      <c r="F731" t="s">
        <v>45</v>
      </c>
      <c r="G731" s="114">
        <v>1472.96</v>
      </c>
      <c r="H731" s="1" t="s">
        <v>17</v>
      </c>
      <c r="J731">
        <v>2.9</v>
      </c>
      <c r="K731">
        <v>1</v>
      </c>
      <c r="L731" s="114">
        <v>0</v>
      </c>
      <c r="M731" s="114">
        <v>0</v>
      </c>
      <c r="N731" s="114">
        <v>0</v>
      </c>
      <c r="O731" t="s">
        <v>1139</v>
      </c>
    </row>
    <row r="732" spans="1:15" x14ac:dyDescent="0.25">
      <c r="A732" t="s">
        <v>775</v>
      </c>
      <c r="B732" s="159">
        <v>45566.224305555559</v>
      </c>
      <c r="C732" s="1" t="s">
        <v>37</v>
      </c>
      <c r="D732" s="1" t="s">
        <v>38</v>
      </c>
      <c r="E732" t="s">
        <v>44</v>
      </c>
      <c r="F732" t="s">
        <v>16</v>
      </c>
      <c r="G732" s="114">
        <v>578.64</v>
      </c>
      <c r="H732" s="1" t="s">
        <v>34</v>
      </c>
      <c r="I732" t="s">
        <v>100</v>
      </c>
      <c r="J732">
        <v>2.1</v>
      </c>
      <c r="K732">
        <v>0.23269999999999999</v>
      </c>
      <c r="L732" s="114">
        <v>0</v>
      </c>
      <c r="M732" s="114">
        <v>0</v>
      </c>
      <c r="N732" s="114">
        <v>0</v>
      </c>
      <c r="O732" t="s">
        <v>1139</v>
      </c>
    </row>
    <row r="733" spans="1:15" x14ac:dyDescent="0.25">
      <c r="A733" t="s">
        <v>776</v>
      </c>
      <c r="B733" s="159">
        <v>45566.375694444447</v>
      </c>
      <c r="C733" s="1" t="s">
        <v>13</v>
      </c>
      <c r="D733" s="1" t="s">
        <v>14</v>
      </c>
      <c r="E733" t="s">
        <v>15</v>
      </c>
      <c r="F733" t="s">
        <v>29</v>
      </c>
      <c r="G733" s="114">
        <v>544.01</v>
      </c>
      <c r="H733" s="1" t="s">
        <v>22</v>
      </c>
      <c r="J733">
        <v>2.5</v>
      </c>
      <c r="K733">
        <v>8.7400000000000005E-2</v>
      </c>
      <c r="L733" s="114">
        <v>1.1886400000000001</v>
      </c>
      <c r="M733" s="114">
        <v>46.357833999999997</v>
      </c>
      <c r="N733" s="114">
        <v>47.546473999999996</v>
      </c>
      <c r="O733" t="s">
        <v>1139</v>
      </c>
    </row>
    <row r="734" spans="1:15" x14ac:dyDescent="0.25">
      <c r="A734" t="s">
        <v>777</v>
      </c>
      <c r="B734" s="159">
        <v>45567.259027777778</v>
      </c>
      <c r="C734" s="1" t="s">
        <v>13</v>
      </c>
      <c r="D734" s="1" t="s">
        <v>14</v>
      </c>
      <c r="E734" t="s">
        <v>33</v>
      </c>
      <c r="F734" t="s">
        <v>21</v>
      </c>
      <c r="G734" s="114">
        <v>2748.51</v>
      </c>
      <c r="H734" s="1" t="s">
        <v>17</v>
      </c>
      <c r="J734">
        <v>1.9</v>
      </c>
      <c r="K734">
        <v>8.7400000000000005E-2</v>
      </c>
      <c r="L734" s="114">
        <v>0</v>
      </c>
      <c r="M734" s="114">
        <v>0</v>
      </c>
      <c r="N734" s="114">
        <v>0</v>
      </c>
      <c r="O734" t="s">
        <v>1139</v>
      </c>
    </row>
    <row r="735" spans="1:15" x14ac:dyDescent="0.25">
      <c r="A735" t="s">
        <v>778</v>
      </c>
      <c r="B735" s="159">
        <v>45567.761111111111</v>
      </c>
      <c r="C735" s="1" t="s">
        <v>43</v>
      </c>
      <c r="D735" s="1" t="s">
        <v>25</v>
      </c>
      <c r="E735" t="s">
        <v>15</v>
      </c>
      <c r="F735" t="s">
        <v>45</v>
      </c>
      <c r="G735" s="114">
        <v>2423.31</v>
      </c>
      <c r="H735" s="1" t="s">
        <v>22</v>
      </c>
      <c r="J735">
        <v>2.5</v>
      </c>
      <c r="K735">
        <v>1</v>
      </c>
      <c r="L735" s="114">
        <v>60.58</v>
      </c>
      <c r="M735" s="114">
        <v>2362.73</v>
      </c>
      <c r="N735" s="114">
        <v>2423.31</v>
      </c>
      <c r="O735" t="s">
        <v>1139</v>
      </c>
    </row>
    <row r="736" spans="1:15" x14ac:dyDescent="0.25">
      <c r="A736" t="s">
        <v>779</v>
      </c>
      <c r="B736" s="159">
        <v>45568.063888888886</v>
      </c>
      <c r="C736" s="1" t="s">
        <v>37</v>
      </c>
      <c r="D736" s="1" t="s">
        <v>38</v>
      </c>
      <c r="E736" t="s">
        <v>15</v>
      </c>
      <c r="F736" t="s">
        <v>29</v>
      </c>
      <c r="G736" s="114">
        <v>2291.41</v>
      </c>
      <c r="H736" s="1" t="s">
        <v>22</v>
      </c>
      <c r="J736">
        <v>2.5</v>
      </c>
      <c r="K736">
        <v>0.23269999999999999</v>
      </c>
      <c r="L736" s="114">
        <v>13.331382999999999</v>
      </c>
      <c r="M736" s="114">
        <v>519.8797239999999</v>
      </c>
      <c r="N736" s="114">
        <v>533.21110699999986</v>
      </c>
      <c r="O736" t="s">
        <v>1139</v>
      </c>
    </row>
    <row r="737" spans="1:15" x14ac:dyDescent="0.25">
      <c r="A737" t="s">
        <v>780</v>
      </c>
      <c r="B737" s="159">
        <v>45568.585416666669</v>
      </c>
      <c r="C737" s="1" t="s">
        <v>27</v>
      </c>
      <c r="D737" s="1" t="s">
        <v>25</v>
      </c>
      <c r="E737" t="s">
        <v>28</v>
      </c>
      <c r="F737" t="s">
        <v>16</v>
      </c>
      <c r="G737" s="114">
        <v>4517.43</v>
      </c>
      <c r="H737" s="1" t="s">
        <v>22</v>
      </c>
      <c r="J737">
        <v>2.9</v>
      </c>
      <c r="K737">
        <v>1</v>
      </c>
      <c r="L737" s="114">
        <v>131.01</v>
      </c>
      <c r="M737" s="114">
        <v>4386.42</v>
      </c>
      <c r="N737" s="114">
        <v>4517.43</v>
      </c>
      <c r="O737" t="s">
        <v>1139</v>
      </c>
    </row>
    <row r="738" spans="1:15" x14ac:dyDescent="0.25">
      <c r="A738" t="s">
        <v>781</v>
      </c>
      <c r="B738" s="159">
        <v>45568.676388888889</v>
      </c>
      <c r="C738" s="1" t="s">
        <v>43</v>
      </c>
      <c r="D738" s="1" t="s">
        <v>25</v>
      </c>
      <c r="E738" t="s">
        <v>44</v>
      </c>
      <c r="F738" t="s">
        <v>21</v>
      </c>
      <c r="G738" s="114">
        <v>274.81</v>
      </c>
      <c r="H738" s="1" t="s">
        <v>22</v>
      </c>
      <c r="J738">
        <v>2.1</v>
      </c>
      <c r="K738">
        <v>1</v>
      </c>
      <c r="L738" s="114">
        <v>5.77</v>
      </c>
      <c r="M738" s="114">
        <v>269.04000000000002</v>
      </c>
      <c r="N738" s="114">
        <v>274.81</v>
      </c>
      <c r="O738" t="s">
        <v>1139</v>
      </c>
    </row>
    <row r="739" spans="1:15" x14ac:dyDescent="0.25">
      <c r="A739" t="s">
        <v>782</v>
      </c>
      <c r="B739" s="159">
        <v>45569.056944444441</v>
      </c>
      <c r="C739" s="1" t="s">
        <v>43</v>
      </c>
      <c r="D739" s="1" t="s">
        <v>25</v>
      </c>
      <c r="E739" t="s">
        <v>28</v>
      </c>
      <c r="F739" t="s">
        <v>45</v>
      </c>
      <c r="G739" s="114">
        <v>4341.5</v>
      </c>
      <c r="H739" s="1" t="s">
        <v>17</v>
      </c>
      <c r="J739">
        <v>2.9</v>
      </c>
      <c r="K739">
        <v>1</v>
      </c>
      <c r="L739" s="114">
        <v>0</v>
      </c>
      <c r="M739" s="114">
        <v>0</v>
      </c>
      <c r="N739" s="114">
        <v>0</v>
      </c>
      <c r="O739" t="s">
        <v>1139</v>
      </c>
    </row>
    <row r="740" spans="1:15" x14ac:dyDescent="0.25">
      <c r="A740" t="s">
        <v>783</v>
      </c>
      <c r="B740" s="159">
        <v>45569.068749999999</v>
      </c>
      <c r="C740" s="1" t="s">
        <v>31</v>
      </c>
      <c r="D740" s="1" t="s">
        <v>32</v>
      </c>
      <c r="E740" t="s">
        <v>44</v>
      </c>
      <c r="F740" t="s">
        <v>21</v>
      </c>
      <c r="G740" s="114">
        <v>4987.16</v>
      </c>
      <c r="H740" s="1" t="s">
        <v>22</v>
      </c>
      <c r="J740">
        <v>2.1</v>
      </c>
      <c r="K740">
        <v>1.1801999999999999</v>
      </c>
      <c r="L740" s="114">
        <v>123.602346</v>
      </c>
      <c r="M740" s="114">
        <v>5762.2438860000002</v>
      </c>
      <c r="N740" s="114">
        <v>5885.8462319999999</v>
      </c>
      <c r="O740" t="s">
        <v>1139</v>
      </c>
    </row>
    <row r="741" spans="1:15" x14ac:dyDescent="0.25">
      <c r="A741" t="s">
        <v>784</v>
      </c>
      <c r="B741" s="159">
        <v>45569.074999999997</v>
      </c>
      <c r="C741" s="1" t="s">
        <v>43</v>
      </c>
      <c r="D741" s="1" t="s">
        <v>25</v>
      </c>
      <c r="E741" t="s">
        <v>33</v>
      </c>
      <c r="F741" t="s">
        <v>29</v>
      </c>
      <c r="G741" s="114">
        <v>4948.9799999999996</v>
      </c>
      <c r="H741" s="1" t="s">
        <v>22</v>
      </c>
      <c r="J741">
        <v>1.9</v>
      </c>
      <c r="K741">
        <v>1</v>
      </c>
      <c r="L741" s="114">
        <v>94.03</v>
      </c>
      <c r="M741" s="114">
        <v>4854.95</v>
      </c>
      <c r="N741" s="114">
        <v>4948.9799999999996</v>
      </c>
      <c r="O741" t="s">
        <v>1139</v>
      </c>
    </row>
    <row r="742" spans="1:15" x14ac:dyDescent="0.25">
      <c r="A742" t="s">
        <v>785</v>
      </c>
      <c r="B742" s="159">
        <v>45569.175694444442</v>
      </c>
      <c r="C742" s="1" t="s">
        <v>27</v>
      </c>
      <c r="D742" s="1" t="s">
        <v>25</v>
      </c>
      <c r="E742" t="s">
        <v>33</v>
      </c>
      <c r="F742" t="s">
        <v>45</v>
      </c>
      <c r="G742" s="114">
        <v>3423.4</v>
      </c>
      <c r="H742" s="1" t="s">
        <v>22</v>
      </c>
      <c r="J742">
        <v>1.9</v>
      </c>
      <c r="K742">
        <v>1</v>
      </c>
      <c r="L742" s="114">
        <v>65.040000000000006</v>
      </c>
      <c r="M742" s="114">
        <v>3358.36</v>
      </c>
      <c r="N742" s="114">
        <v>3423.4</v>
      </c>
      <c r="O742" t="s">
        <v>1139</v>
      </c>
    </row>
    <row r="743" spans="1:15" x14ac:dyDescent="0.25">
      <c r="A743" t="s">
        <v>786</v>
      </c>
      <c r="B743" s="159">
        <v>45569.601388888892</v>
      </c>
      <c r="C743" s="1" t="s">
        <v>60</v>
      </c>
      <c r="D743" s="1" t="s">
        <v>25</v>
      </c>
      <c r="E743" t="s">
        <v>44</v>
      </c>
      <c r="F743" t="s">
        <v>16</v>
      </c>
      <c r="G743" s="114">
        <v>1953.49</v>
      </c>
      <c r="H743" s="1" t="s">
        <v>17</v>
      </c>
      <c r="J743">
        <v>2.1</v>
      </c>
      <c r="K743">
        <v>1</v>
      </c>
      <c r="L743" s="114">
        <v>0</v>
      </c>
      <c r="M743" s="114">
        <v>0</v>
      </c>
      <c r="N743" s="114">
        <v>0</v>
      </c>
      <c r="O743" t="s">
        <v>1139</v>
      </c>
    </row>
    <row r="744" spans="1:15" x14ac:dyDescent="0.25">
      <c r="A744" t="s">
        <v>787</v>
      </c>
      <c r="B744" s="159">
        <v>45570.636111111111</v>
      </c>
      <c r="C744" s="1" t="s">
        <v>60</v>
      </c>
      <c r="D744" s="1" t="s">
        <v>25</v>
      </c>
      <c r="E744" t="s">
        <v>44</v>
      </c>
      <c r="F744" t="s">
        <v>21</v>
      </c>
      <c r="G744" s="114">
        <v>1791.3</v>
      </c>
      <c r="H744" s="1" t="s">
        <v>22</v>
      </c>
      <c r="J744">
        <v>2.1</v>
      </c>
      <c r="K744">
        <v>1</v>
      </c>
      <c r="L744" s="114">
        <v>37.619999999999997</v>
      </c>
      <c r="M744" s="114">
        <v>1753.68</v>
      </c>
      <c r="N744" s="114">
        <v>1791.3</v>
      </c>
      <c r="O744" t="s">
        <v>1139</v>
      </c>
    </row>
    <row r="745" spans="1:15" x14ac:dyDescent="0.25">
      <c r="A745" t="s">
        <v>788</v>
      </c>
      <c r="B745" s="159">
        <v>45570.779166666667</v>
      </c>
      <c r="C745" s="1" t="s">
        <v>60</v>
      </c>
      <c r="D745" s="1" t="s">
        <v>25</v>
      </c>
      <c r="E745" t="s">
        <v>44</v>
      </c>
      <c r="F745" t="s">
        <v>21</v>
      </c>
      <c r="G745" s="114">
        <v>88.13</v>
      </c>
      <c r="H745" s="1" t="s">
        <v>22</v>
      </c>
      <c r="J745">
        <v>2.1</v>
      </c>
      <c r="K745">
        <v>1</v>
      </c>
      <c r="L745" s="114">
        <v>1.85</v>
      </c>
      <c r="M745" s="114">
        <v>86.28</v>
      </c>
      <c r="N745" s="114">
        <v>88.13</v>
      </c>
      <c r="O745" t="s">
        <v>1139</v>
      </c>
    </row>
    <row r="746" spans="1:15" x14ac:dyDescent="0.25">
      <c r="A746" t="s">
        <v>789</v>
      </c>
      <c r="B746" s="159">
        <v>45570.848611111112</v>
      </c>
      <c r="C746" s="1" t="s">
        <v>60</v>
      </c>
      <c r="D746" s="1" t="s">
        <v>25</v>
      </c>
      <c r="E746" t="s">
        <v>15</v>
      </c>
      <c r="F746" t="s">
        <v>21</v>
      </c>
      <c r="G746" s="114">
        <v>957.14</v>
      </c>
      <c r="H746" s="1" t="s">
        <v>22</v>
      </c>
      <c r="J746">
        <v>2.5</v>
      </c>
      <c r="K746">
        <v>1</v>
      </c>
      <c r="L746" s="114">
        <v>23.93</v>
      </c>
      <c r="M746" s="114">
        <v>933.21</v>
      </c>
      <c r="N746" s="114">
        <v>957.14</v>
      </c>
      <c r="O746" t="s">
        <v>1139</v>
      </c>
    </row>
    <row r="747" spans="1:15" x14ac:dyDescent="0.25">
      <c r="A747" t="s">
        <v>790</v>
      </c>
      <c r="B747" s="159">
        <v>45570.929861111108</v>
      </c>
      <c r="C747" s="1" t="s">
        <v>19</v>
      </c>
      <c r="D747" s="1" t="s">
        <v>20</v>
      </c>
      <c r="E747" t="s">
        <v>33</v>
      </c>
      <c r="F747" t="s">
        <v>41</v>
      </c>
      <c r="G747" s="114">
        <v>3342.64</v>
      </c>
      <c r="H747" s="1" t="s">
        <v>17</v>
      </c>
      <c r="J747">
        <v>1.9</v>
      </c>
      <c r="K747">
        <v>8.5999999999999993E-2</v>
      </c>
      <c r="L747" s="114">
        <v>0</v>
      </c>
      <c r="M747" s="114">
        <v>0</v>
      </c>
      <c r="N747" s="114">
        <v>0</v>
      </c>
      <c r="O747" t="s">
        <v>1139</v>
      </c>
    </row>
    <row r="748" spans="1:15" x14ac:dyDescent="0.25">
      <c r="A748" t="s">
        <v>791</v>
      </c>
      <c r="B748" s="159">
        <v>45571.078472222223</v>
      </c>
      <c r="C748" s="1" t="s">
        <v>37</v>
      </c>
      <c r="D748" s="1" t="s">
        <v>38</v>
      </c>
      <c r="E748" t="s">
        <v>33</v>
      </c>
      <c r="F748" t="s">
        <v>45</v>
      </c>
      <c r="G748" s="114">
        <v>748.99</v>
      </c>
      <c r="H748" s="1" t="s">
        <v>22</v>
      </c>
      <c r="J748">
        <v>1.9</v>
      </c>
      <c r="K748">
        <v>0.23269999999999999</v>
      </c>
      <c r="L748" s="114">
        <v>3.311321</v>
      </c>
      <c r="M748" s="114">
        <v>170.97865199999998</v>
      </c>
      <c r="N748" s="114">
        <v>174.28997299999997</v>
      </c>
      <c r="O748" t="s">
        <v>1139</v>
      </c>
    </row>
    <row r="749" spans="1:15" x14ac:dyDescent="0.25">
      <c r="A749" t="s">
        <v>792</v>
      </c>
      <c r="B749" s="159">
        <v>45571.681250000001</v>
      </c>
      <c r="C749" s="1" t="s">
        <v>47</v>
      </c>
      <c r="D749" s="1" t="s">
        <v>25</v>
      </c>
      <c r="E749" t="s">
        <v>15</v>
      </c>
      <c r="F749" t="s">
        <v>21</v>
      </c>
      <c r="G749" s="114">
        <v>4848.33</v>
      </c>
      <c r="H749" s="1" t="s">
        <v>17</v>
      </c>
      <c r="J749">
        <v>2.5</v>
      </c>
      <c r="K749">
        <v>1</v>
      </c>
      <c r="L749" s="114">
        <v>0</v>
      </c>
      <c r="M749" s="114">
        <v>0</v>
      </c>
      <c r="N749" s="114">
        <v>0</v>
      </c>
      <c r="O749" t="s">
        <v>1139</v>
      </c>
    </row>
    <row r="750" spans="1:15" x14ac:dyDescent="0.25">
      <c r="A750" t="s">
        <v>793</v>
      </c>
      <c r="B750" s="159">
        <v>45571.831250000003</v>
      </c>
      <c r="C750" s="1" t="s">
        <v>24</v>
      </c>
      <c r="D750" s="1" t="s">
        <v>25</v>
      </c>
      <c r="E750" t="s">
        <v>15</v>
      </c>
      <c r="F750" t="s">
        <v>29</v>
      </c>
      <c r="G750" s="114">
        <v>1371.95</v>
      </c>
      <c r="H750" s="1" t="s">
        <v>34</v>
      </c>
      <c r="I750" t="s">
        <v>78</v>
      </c>
      <c r="J750">
        <v>2.5</v>
      </c>
      <c r="K750">
        <v>1</v>
      </c>
      <c r="L750" s="114">
        <v>0</v>
      </c>
      <c r="M750" s="114">
        <v>0</v>
      </c>
      <c r="N750" s="114">
        <v>0</v>
      </c>
      <c r="O750" t="s">
        <v>1139</v>
      </c>
    </row>
    <row r="751" spans="1:15" x14ac:dyDescent="0.25">
      <c r="A751" t="s">
        <v>794</v>
      </c>
      <c r="B751" s="159">
        <v>45572.588888888888</v>
      </c>
      <c r="C751" s="1" t="s">
        <v>13</v>
      </c>
      <c r="D751" s="1" t="s">
        <v>14</v>
      </c>
      <c r="E751" t="s">
        <v>44</v>
      </c>
      <c r="F751" t="s">
        <v>45</v>
      </c>
      <c r="G751" s="114">
        <v>2991.95</v>
      </c>
      <c r="H751" s="1" t="s">
        <v>17</v>
      </c>
      <c r="J751">
        <v>2.1</v>
      </c>
      <c r="K751">
        <v>8.7400000000000005E-2</v>
      </c>
      <c r="L751" s="114">
        <v>0</v>
      </c>
      <c r="M751" s="114">
        <v>0</v>
      </c>
      <c r="N751" s="114">
        <v>0</v>
      </c>
      <c r="O751" t="s">
        <v>1139</v>
      </c>
    </row>
    <row r="752" spans="1:15" x14ac:dyDescent="0.25">
      <c r="A752" t="s">
        <v>795</v>
      </c>
      <c r="B752" s="159">
        <v>45572.755555555559</v>
      </c>
      <c r="C752" s="1" t="s">
        <v>19</v>
      </c>
      <c r="D752" s="1" t="s">
        <v>20</v>
      </c>
      <c r="E752" t="s">
        <v>15</v>
      </c>
      <c r="F752" t="s">
        <v>21</v>
      </c>
      <c r="G752" s="114">
        <v>4471.83</v>
      </c>
      <c r="H752" s="1" t="s">
        <v>22</v>
      </c>
      <c r="J752">
        <v>2.5</v>
      </c>
      <c r="K752">
        <v>8.5999999999999993E-2</v>
      </c>
      <c r="L752" s="114">
        <v>9.6147999999999989</v>
      </c>
      <c r="M752" s="114">
        <v>374.96257999999995</v>
      </c>
      <c r="N752" s="114">
        <v>384.57737999999995</v>
      </c>
      <c r="O752" t="s">
        <v>1139</v>
      </c>
    </row>
    <row r="753" spans="1:15" x14ac:dyDescent="0.25">
      <c r="A753" t="s">
        <v>796</v>
      </c>
      <c r="B753" s="159">
        <v>45573.061805555553</v>
      </c>
      <c r="C753" s="1" t="s">
        <v>31</v>
      </c>
      <c r="D753" s="1" t="s">
        <v>32</v>
      </c>
      <c r="E753" t="s">
        <v>39</v>
      </c>
      <c r="F753" t="s">
        <v>21</v>
      </c>
      <c r="G753" s="114">
        <v>1623.14</v>
      </c>
      <c r="H753" s="1" t="s">
        <v>34</v>
      </c>
      <c r="I753" t="s">
        <v>100</v>
      </c>
      <c r="J753">
        <v>3.2</v>
      </c>
      <c r="K753">
        <v>1.1801999999999999</v>
      </c>
      <c r="L753" s="114">
        <v>0</v>
      </c>
      <c r="M753" s="114">
        <v>0</v>
      </c>
      <c r="N753" s="114">
        <v>0</v>
      </c>
      <c r="O753" t="s">
        <v>1139</v>
      </c>
    </row>
    <row r="754" spans="1:15" x14ac:dyDescent="0.25">
      <c r="A754" t="s">
        <v>797</v>
      </c>
      <c r="B754" s="159">
        <v>45573.406944444447</v>
      </c>
      <c r="C754" s="1" t="s">
        <v>13</v>
      </c>
      <c r="D754" s="1" t="s">
        <v>14</v>
      </c>
      <c r="E754" t="s">
        <v>33</v>
      </c>
      <c r="F754" t="s">
        <v>21</v>
      </c>
      <c r="G754" s="114">
        <v>1743.9</v>
      </c>
      <c r="H754" s="1" t="s">
        <v>22</v>
      </c>
      <c r="J754">
        <v>1.9</v>
      </c>
      <c r="K754">
        <v>8.7400000000000005E-2</v>
      </c>
      <c r="L754" s="114">
        <v>2.8955620000000004</v>
      </c>
      <c r="M754" s="114">
        <v>149.521298</v>
      </c>
      <c r="N754" s="114">
        <v>152.41686000000001</v>
      </c>
      <c r="O754" t="s">
        <v>1139</v>
      </c>
    </row>
    <row r="755" spans="1:15" x14ac:dyDescent="0.25">
      <c r="A755" t="s">
        <v>798</v>
      </c>
      <c r="B755" s="159">
        <v>45573.522222222222</v>
      </c>
      <c r="C755" s="1" t="s">
        <v>37</v>
      </c>
      <c r="D755" s="1" t="s">
        <v>38</v>
      </c>
      <c r="E755" t="s">
        <v>44</v>
      </c>
      <c r="F755" t="s">
        <v>45</v>
      </c>
      <c r="G755" s="114">
        <v>4992.18</v>
      </c>
      <c r="H755" s="1" t="s">
        <v>34</v>
      </c>
      <c r="I755" t="s">
        <v>62</v>
      </c>
      <c r="J755">
        <v>2.1</v>
      </c>
      <c r="K755">
        <v>0.23269999999999999</v>
      </c>
      <c r="L755" s="114">
        <v>0</v>
      </c>
      <c r="M755" s="114">
        <v>0</v>
      </c>
      <c r="N755" s="114">
        <v>0</v>
      </c>
      <c r="O755" t="s">
        <v>1139</v>
      </c>
    </row>
    <row r="756" spans="1:15" x14ac:dyDescent="0.25">
      <c r="A756" t="s">
        <v>799</v>
      </c>
      <c r="B756" s="159">
        <v>45573.611805555556</v>
      </c>
      <c r="C756" s="1" t="s">
        <v>13</v>
      </c>
      <c r="D756" s="1" t="s">
        <v>14</v>
      </c>
      <c r="E756" t="s">
        <v>28</v>
      </c>
      <c r="F756" t="s">
        <v>21</v>
      </c>
      <c r="G756" s="114">
        <v>3361.71</v>
      </c>
      <c r="H756" s="1" t="s">
        <v>22</v>
      </c>
      <c r="J756">
        <v>2.9</v>
      </c>
      <c r="K756">
        <v>8.7400000000000005E-2</v>
      </c>
      <c r="L756" s="114">
        <v>8.520626</v>
      </c>
      <c r="M756" s="114">
        <v>285.29282799999999</v>
      </c>
      <c r="N756" s="114">
        <v>293.81345399999998</v>
      </c>
      <c r="O756" t="s">
        <v>1139</v>
      </c>
    </row>
    <row r="757" spans="1:15" x14ac:dyDescent="0.25">
      <c r="A757" t="s">
        <v>800</v>
      </c>
      <c r="B757" s="159">
        <v>45574.024305555555</v>
      </c>
      <c r="C757" s="1" t="s">
        <v>58</v>
      </c>
      <c r="D757" s="1" t="s">
        <v>25</v>
      </c>
      <c r="E757" t="s">
        <v>28</v>
      </c>
      <c r="F757" t="s">
        <v>29</v>
      </c>
      <c r="G757" s="114">
        <v>4961.3599999999997</v>
      </c>
      <c r="H757" s="1" t="s">
        <v>22</v>
      </c>
      <c r="J757">
        <v>2.9</v>
      </c>
      <c r="K757">
        <v>1</v>
      </c>
      <c r="L757" s="114">
        <v>143.88</v>
      </c>
      <c r="M757" s="114">
        <v>4817.4799999999996</v>
      </c>
      <c r="N757" s="114">
        <v>4961.3599999999997</v>
      </c>
      <c r="O757" t="s">
        <v>1139</v>
      </c>
    </row>
    <row r="758" spans="1:15" x14ac:dyDescent="0.25">
      <c r="A758" t="s">
        <v>801</v>
      </c>
      <c r="B758" s="159">
        <v>45574.724999999999</v>
      </c>
      <c r="C758" s="1" t="s">
        <v>43</v>
      </c>
      <c r="D758" s="1" t="s">
        <v>25</v>
      </c>
      <c r="E758" t="s">
        <v>39</v>
      </c>
      <c r="F758" t="s">
        <v>29</v>
      </c>
      <c r="G758" s="114">
        <v>4904.07</v>
      </c>
      <c r="H758" s="1" t="s">
        <v>22</v>
      </c>
      <c r="J758">
        <v>3.2</v>
      </c>
      <c r="K758">
        <v>1</v>
      </c>
      <c r="L758" s="114">
        <v>156.93</v>
      </c>
      <c r="M758" s="114">
        <v>4747.1400000000003</v>
      </c>
      <c r="N758" s="114">
        <v>4904.0700000000006</v>
      </c>
      <c r="O758" t="s">
        <v>1139</v>
      </c>
    </row>
    <row r="759" spans="1:15" x14ac:dyDescent="0.25">
      <c r="A759" t="s">
        <v>802</v>
      </c>
      <c r="B759" s="159">
        <v>45574.859027777777</v>
      </c>
      <c r="C759" s="1" t="s">
        <v>27</v>
      </c>
      <c r="D759" s="1" t="s">
        <v>25</v>
      </c>
      <c r="E759" t="s">
        <v>44</v>
      </c>
      <c r="F759" t="s">
        <v>16</v>
      </c>
      <c r="G759" s="114">
        <v>2519.29</v>
      </c>
      <c r="H759" s="1" t="s">
        <v>22</v>
      </c>
      <c r="J759">
        <v>2.1</v>
      </c>
      <c r="K759">
        <v>1</v>
      </c>
      <c r="L759" s="114">
        <v>52.91</v>
      </c>
      <c r="M759" s="114">
        <v>2466.38</v>
      </c>
      <c r="N759" s="114">
        <v>2519.29</v>
      </c>
      <c r="O759" t="s">
        <v>1139</v>
      </c>
    </row>
    <row r="760" spans="1:15" x14ac:dyDescent="0.25">
      <c r="A760" t="s">
        <v>803</v>
      </c>
      <c r="B760" s="159">
        <v>45575.15625</v>
      </c>
      <c r="C760" s="1" t="s">
        <v>13</v>
      </c>
      <c r="D760" s="1" t="s">
        <v>14</v>
      </c>
      <c r="E760" t="s">
        <v>28</v>
      </c>
      <c r="F760" t="s">
        <v>21</v>
      </c>
      <c r="G760" s="114">
        <v>428.54</v>
      </c>
      <c r="H760" s="1" t="s">
        <v>22</v>
      </c>
      <c r="J760">
        <v>2.9</v>
      </c>
      <c r="K760">
        <v>8.7400000000000005E-2</v>
      </c>
      <c r="L760" s="114">
        <v>1.086382</v>
      </c>
      <c r="M760" s="114">
        <v>36.368014000000002</v>
      </c>
      <c r="N760" s="114">
        <v>37.454396000000003</v>
      </c>
      <c r="O760" t="s">
        <v>1139</v>
      </c>
    </row>
    <row r="761" spans="1:15" x14ac:dyDescent="0.25">
      <c r="A761" t="s">
        <v>804</v>
      </c>
      <c r="B761" s="159">
        <v>45575.229166666664</v>
      </c>
      <c r="C761" s="1" t="s">
        <v>37</v>
      </c>
      <c r="D761" s="1" t="s">
        <v>38</v>
      </c>
      <c r="E761" t="s">
        <v>39</v>
      </c>
      <c r="F761" t="s">
        <v>29</v>
      </c>
      <c r="G761" s="114">
        <v>4472.6400000000003</v>
      </c>
      <c r="H761" s="1" t="s">
        <v>22</v>
      </c>
      <c r="J761">
        <v>3.2</v>
      </c>
      <c r="K761">
        <v>0.23269999999999999</v>
      </c>
      <c r="L761" s="114">
        <v>33.304023999999998</v>
      </c>
      <c r="M761" s="114">
        <v>1007.4793040000001</v>
      </c>
      <c r="N761" s="114">
        <v>1040.783328</v>
      </c>
      <c r="O761" t="s">
        <v>1139</v>
      </c>
    </row>
    <row r="762" spans="1:15" x14ac:dyDescent="0.25">
      <c r="A762" t="s">
        <v>805</v>
      </c>
      <c r="B762" s="159">
        <v>45575.578472222223</v>
      </c>
      <c r="C762" s="1" t="s">
        <v>19</v>
      </c>
      <c r="D762" s="1" t="s">
        <v>20</v>
      </c>
      <c r="E762" t="s">
        <v>15</v>
      </c>
      <c r="F762" t="s">
        <v>45</v>
      </c>
      <c r="G762" s="114">
        <v>3907.6</v>
      </c>
      <c r="H762" s="1" t="s">
        <v>22</v>
      </c>
      <c r="J762">
        <v>2.5</v>
      </c>
      <c r="K762">
        <v>8.5999999999999993E-2</v>
      </c>
      <c r="L762" s="114">
        <v>8.4013399999999994</v>
      </c>
      <c r="M762" s="114">
        <v>327.65225999999996</v>
      </c>
      <c r="N762" s="114">
        <v>336.05359999999996</v>
      </c>
      <c r="O762" t="s">
        <v>1139</v>
      </c>
    </row>
    <row r="763" spans="1:15" x14ac:dyDescent="0.25">
      <c r="A763" t="s">
        <v>806</v>
      </c>
      <c r="B763" s="159">
        <v>45576.229861111111</v>
      </c>
      <c r="C763" s="1" t="s">
        <v>47</v>
      </c>
      <c r="D763" s="1" t="s">
        <v>25</v>
      </c>
      <c r="E763" t="s">
        <v>44</v>
      </c>
      <c r="F763" t="s">
        <v>29</v>
      </c>
      <c r="G763" s="114">
        <v>1579.75</v>
      </c>
      <c r="H763" s="1" t="s">
        <v>34</v>
      </c>
      <c r="I763" t="s">
        <v>100</v>
      </c>
      <c r="J763">
        <v>2.1</v>
      </c>
      <c r="K763">
        <v>1</v>
      </c>
      <c r="L763" s="114">
        <v>0</v>
      </c>
      <c r="M763" s="114">
        <v>0</v>
      </c>
      <c r="N763" s="114">
        <v>0</v>
      </c>
      <c r="O763" t="s">
        <v>1139</v>
      </c>
    </row>
    <row r="764" spans="1:15" x14ac:dyDescent="0.25">
      <c r="A764" t="s">
        <v>807</v>
      </c>
      <c r="B764" s="159">
        <v>45576.836111111108</v>
      </c>
      <c r="C764" s="1" t="s">
        <v>47</v>
      </c>
      <c r="D764" s="1" t="s">
        <v>25</v>
      </c>
      <c r="E764" t="s">
        <v>33</v>
      </c>
      <c r="F764" t="s">
        <v>16</v>
      </c>
      <c r="G764" s="114">
        <v>2010.07</v>
      </c>
      <c r="H764" s="1" t="s">
        <v>34</v>
      </c>
      <c r="I764" t="s">
        <v>35</v>
      </c>
      <c r="J764">
        <v>1.9</v>
      </c>
      <c r="K764">
        <v>1</v>
      </c>
      <c r="L764" s="114">
        <v>0</v>
      </c>
      <c r="M764" s="114">
        <v>0</v>
      </c>
      <c r="N764" s="114">
        <v>0</v>
      </c>
      <c r="O764" t="s">
        <v>1139</v>
      </c>
    </row>
    <row r="765" spans="1:15" x14ac:dyDescent="0.25">
      <c r="A765" t="s">
        <v>808</v>
      </c>
      <c r="B765" s="159">
        <v>45577.99722222222</v>
      </c>
      <c r="C765" s="1" t="s">
        <v>58</v>
      </c>
      <c r="D765" s="1" t="s">
        <v>25</v>
      </c>
      <c r="E765" t="s">
        <v>39</v>
      </c>
      <c r="F765" t="s">
        <v>41</v>
      </c>
      <c r="G765" s="114">
        <v>4119.9799999999996</v>
      </c>
      <c r="H765" s="1" t="s">
        <v>22</v>
      </c>
      <c r="J765">
        <v>3.2</v>
      </c>
      <c r="K765">
        <v>1</v>
      </c>
      <c r="L765" s="114">
        <v>131.84</v>
      </c>
      <c r="M765" s="114">
        <v>3988.14</v>
      </c>
      <c r="N765" s="114">
        <v>4119.9799999999996</v>
      </c>
      <c r="O765" t="s">
        <v>1139</v>
      </c>
    </row>
    <row r="766" spans="1:15" x14ac:dyDescent="0.25">
      <c r="A766" t="s">
        <v>809</v>
      </c>
      <c r="B766" s="159">
        <v>45578.067361111112</v>
      </c>
      <c r="C766" s="1" t="s">
        <v>27</v>
      </c>
      <c r="D766" s="1" t="s">
        <v>25</v>
      </c>
      <c r="E766" t="s">
        <v>39</v>
      </c>
      <c r="F766" t="s">
        <v>29</v>
      </c>
      <c r="G766" s="114">
        <v>2523.6999999999998</v>
      </c>
      <c r="H766" s="1" t="s">
        <v>22</v>
      </c>
      <c r="J766">
        <v>3.2</v>
      </c>
      <c r="K766">
        <v>1</v>
      </c>
      <c r="L766" s="114">
        <v>80.760000000000005</v>
      </c>
      <c r="M766" s="114">
        <v>2442.94</v>
      </c>
      <c r="N766" s="114">
        <v>2523.7000000000003</v>
      </c>
      <c r="O766" t="s">
        <v>1139</v>
      </c>
    </row>
    <row r="767" spans="1:15" x14ac:dyDescent="0.25">
      <c r="A767" t="s">
        <v>810</v>
      </c>
      <c r="B767" s="159">
        <v>45578.398611111108</v>
      </c>
      <c r="C767" s="1" t="s">
        <v>43</v>
      </c>
      <c r="D767" s="1" t="s">
        <v>25</v>
      </c>
      <c r="E767" t="s">
        <v>44</v>
      </c>
      <c r="F767" t="s">
        <v>45</v>
      </c>
      <c r="G767" s="114">
        <v>941.27</v>
      </c>
      <c r="H767" s="1" t="s">
        <v>22</v>
      </c>
      <c r="J767">
        <v>2.1</v>
      </c>
      <c r="K767">
        <v>1</v>
      </c>
      <c r="L767" s="114">
        <v>19.77</v>
      </c>
      <c r="M767" s="114">
        <v>921.5</v>
      </c>
      <c r="N767" s="114">
        <v>941.27</v>
      </c>
      <c r="O767" t="s">
        <v>1139</v>
      </c>
    </row>
    <row r="768" spans="1:15" x14ac:dyDescent="0.25">
      <c r="A768" t="s">
        <v>811</v>
      </c>
      <c r="B768" s="159">
        <v>45578.568749999999</v>
      </c>
      <c r="C768" s="1" t="s">
        <v>27</v>
      </c>
      <c r="D768" s="1" t="s">
        <v>25</v>
      </c>
      <c r="E768" t="s">
        <v>44</v>
      </c>
      <c r="F768" t="s">
        <v>29</v>
      </c>
      <c r="G768" s="114">
        <v>4881.2700000000004</v>
      </c>
      <c r="H768" s="1" t="s">
        <v>22</v>
      </c>
      <c r="J768">
        <v>2.1</v>
      </c>
      <c r="K768">
        <v>1</v>
      </c>
      <c r="L768" s="114">
        <v>102.51</v>
      </c>
      <c r="M768" s="114">
        <v>4778.76</v>
      </c>
      <c r="N768" s="114">
        <v>4881.2700000000004</v>
      </c>
      <c r="O768" t="s">
        <v>1139</v>
      </c>
    </row>
    <row r="769" spans="1:15" x14ac:dyDescent="0.25">
      <c r="A769" t="s">
        <v>812</v>
      </c>
      <c r="B769" s="159">
        <v>45579.28125</v>
      </c>
      <c r="C769" s="1" t="s">
        <v>13</v>
      </c>
      <c r="D769" s="1" t="s">
        <v>14</v>
      </c>
      <c r="E769" t="s">
        <v>15</v>
      </c>
      <c r="F769" t="s">
        <v>29</v>
      </c>
      <c r="G769" s="114">
        <v>2251.5500000000002</v>
      </c>
      <c r="H769" s="1" t="s">
        <v>22</v>
      </c>
      <c r="J769">
        <v>2.5</v>
      </c>
      <c r="K769">
        <v>8.7400000000000005E-2</v>
      </c>
      <c r="L769" s="114">
        <v>4.919746</v>
      </c>
      <c r="M769" s="114">
        <v>191.86572400000003</v>
      </c>
      <c r="N769" s="114">
        <v>196.78547000000003</v>
      </c>
      <c r="O769" t="s">
        <v>1139</v>
      </c>
    </row>
    <row r="770" spans="1:15" x14ac:dyDescent="0.25">
      <c r="A770" t="s">
        <v>813</v>
      </c>
      <c r="B770" s="159">
        <v>45579.833333333336</v>
      </c>
      <c r="C770" s="1" t="s">
        <v>31</v>
      </c>
      <c r="D770" s="1" t="s">
        <v>32</v>
      </c>
      <c r="E770" t="s">
        <v>39</v>
      </c>
      <c r="F770" t="s">
        <v>16</v>
      </c>
      <c r="G770" s="114">
        <v>1209.3399999999999</v>
      </c>
      <c r="H770" s="1" t="s">
        <v>17</v>
      </c>
      <c r="J770">
        <v>3.2</v>
      </c>
      <c r="K770">
        <v>1.1801999999999999</v>
      </c>
      <c r="L770" s="114">
        <v>0</v>
      </c>
      <c r="M770" s="114">
        <v>0</v>
      </c>
      <c r="N770" s="114">
        <v>0</v>
      </c>
      <c r="O770" t="s">
        <v>1139</v>
      </c>
    </row>
    <row r="771" spans="1:15" x14ac:dyDescent="0.25">
      <c r="A771" t="s">
        <v>814</v>
      </c>
      <c r="B771" s="159">
        <v>45579.950694444444</v>
      </c>
      <c r="C771" s="1" t="s">
        <v>24</v>
      </c>
      <c r="D771" s="1" t="s">
        <v>25</v>
      </c>
      <c r="E771" t="s">
        <v>44</v>
      </c>
      <c r="F771" t="s">
        <v>21</v>
      </c>
      <c r="G771" s="114">
        <v>1200.78</v>
      </c>
      <c r="H771" s="1" t="s">
        <v>22</v>
      </c>
      <c r="J771">
        <v>2.1</v>
      </c>
      <c r="K771">
        <v>1</v>
      </c>
      <c r="L771" s="114">
        <v>25.22</v>
      </c>
      <c r="M771" s="114">
        <v>1175.56</v>
      </c>
      <c r="N771" s="114">
        <v>1200.78</v>
      </c>
      <c r="O771" t="s">
        <v>1139</v>
      </c>
    </row>
    <row r="772" spans="1:15" x14ac:dyDescent="0.25">
      <c r="A772" t="s">
        <v>815</v>
      </c>
      <c r="B772" s="159">
        <v>45580.159722222219</v>
      </c>
      <c r="C772" s="1" t="s">
        <v>47</v>
      </c>
      <c r="D772" s="1" t="s">
        <v>25</v>
      </c>
      <c r="E772" t="s">
        <v>33</v>
      </c>
      <c r="F772" t="s">
        <v>21</v>
      </c>
      <c r="G772" s="114">
        <v>4390.6899999999996</v>
      </c>
      <c r="H772" s="1" t="s">
        <v>22</v>
      </c>
      <c r="J772">
        <v>1.9</v>
      </c>
      <c r="K772">
        <v>1</v>
      </c>
      <c r="L772" s="114">
        <v>83.42</v>
      </c>
      <c r="M772" s="114">
        <v>4307.2700000000004</v>
      </c>
      <c r="N772" s="114">
        <v>4390.6900000000005</v>
      </c>
      <c r="O772" t="s">
        <v>1139</v>
      </c>
    </row>
    <row r="773" spans="1:15" x14ac:dyDescent="0.25">
      <c r="A773" t="s">
        <v>816</v>
      </c>
      <c r="B773" s="159">
        <v>45580.286805555559</v>
      </c>
      <c r="C773" s="1" t="s">
        <v>43</v>
      </c>
      <c r="D773" s="1" t="s">
        <v>25</v>
      </c>
      <c r="E773" t="s">
        <v>33</v>
      </c>
      <c r="F773" t="s">
        <v>21</v>
      </c>
      <c r="G773" s="114">
        <v>886.03</v>
      </c>
      <c r="H773" s="1" t="s">
        <v>22</v>
      </c>
      <c r="J773">
        <v>1.9</v>
      </c>
      <c r="K773">
        <v>1</v>
      </c>
      <c r="L773" s="114">
        <v>16.829999999999998</v>
      </c>
      <c r="M773" s="114">
        <v>869.2</v>
      </c>
      <c r="N773" s="114">
        <v>886.03000000000009</v>
      </c>
      <c r="O773" t="s">
        <v>1139</v>
      </c>
    </row>
    <row r="774" spans="1:15" x14ac:dyDescent="0.25">
      <c r="A774" t="s">
        <v>817</v>
      </c>
      <c r="B774" s="159">
        <v>45580.717361111114</v>
      </c>
      <c r="C774" s="1" t="s">
        <v>58</v>
      </c>
      <c r="D774" s="1" t="s">
        <v>25</v>
      </c>
      <c r="E774" t="s">
        <v>33</v>
      </c>
      <c r="F774" t="s">
        <v>21</v>
      </c>
      <c r="G774" s="114">
        <v>1806.44</v>
      </c>
      <c r="H774" s="1" t="s">
        <v>34</v>
      </c>
      <c r="I774" t="s">
        <v>55</v>
      </c>
      <c r="J774">
        <v>1.9</v>
      </c>
      <c r="K774">
        <v>1</v>
      </c>
      <c r="L774" s="114">
        <v>0</v>
      </c>
      <c r="M774" s="114">
        <v>0</v>
      </c>
      <c r="N774" s="114">
        <v>0</v>
      </c>
      <c r="O774" t="s">
        <v>1139</v>
      </c>
    </row>
    <row r="775" spans="1:15" x14ac:dyDescent="0.25">
      <c r="A775" t="s">
        <v>818</v>
      </c>
      <c r="B775" s="159">
        <v>45580.834027777775</v>
      </c>
      <c r="C775" s="1" t="s">
        <v>47</v>
      </c>
      <c r="D775" s="1" t="s">
        <v>25</v>
      </c>
      <c r="E775" t="s">
        <v>28</v>
      </c>
      <c r="F775" t="s">
        <v>29</v>
      </c>
      <c r="G775" s="114">
        <v>2251.52</v>
      </c>
      <c r="H775" s="1" t="s">
        <v>34</v>
      </c>
      <c r="I775" t="s">
        <v>55</v>
      </c>
      <c r="J775">
        <v>2.9</v>
      </c>
      <c r="K775">
        <v>1</v>
      </c>
      <c r="L775" s="114">
        <v>0</v>
      </c>
      <c r="M775" s="114">
        <v>0</v>
      </c>
      <c r="N775" s="114">
        <v>0</v>
      </c>
      <c r="O775" t="s">
        <v>1139</v>
      </c>
    </row>
    <row r="776" spans="1:15" x14ac:dyDescent="0.25">
      <c r="A776" t="s">
        <v>819</v>
      </c>
      <c r="B776" s="159">
        <v>45581.25277777778</v>
      </c>
      <c r="C776" s="1" t="s">
        <v>13</v>
      </c>
      <c r="D776" s="1" t="s">
        <v>14</v>
      </c>
      <c r="E776" t="s">
        <v>44</v>
      </c>
      <c r="F776" t="s">
        <v>45</v>
      </c>
      <c r="G776" s="114">
        <v>1087.5999999999999</v>
      </c>
      <c r="H776" s="1" t="s">
        <v>22</v>
      </c>
      <c r="J776">
        <v>2.1</v>
      </c>
      <c r="K776">
        <v>8.7400000000000005E-2</v>
      </c>
      <c r="L776" s="114">
        <v>1.9962160000000002</v>
      </c>
      <c r="M776" s="114">
        <v>93.060023999999999</v>
      </c>
      <c r="N776" s="114">
        <v>95.056240000000003</v>
      </c>
      <c r="O776" t="s">
        <v>1139</v>
      </c>
    </row>
    <row r="777" spans="1:15" x14ac:dyDescent="0.25">
      <c r="A777" t="s">
        <v>820</v>
      </c>
      <c r="B777" s="159">
        <v>45581.579861111109</v>
      </c>
      <c r="C777" s="1" t="s">
        <v>47</v>
      </c>
      <c r="D777" s="1" t="s">
        <v>25</v>
      </c>
      <c r="E777" t="s">
        <v>15</v>
      </c>
      <c r="F777" t="s">
        <v>41</v>
      </c>
      <c r="G777" s="114">
        <v>1872.28</v>
      </c>
      <c r="H777" s="1" t="s">
        <v>17</v>
      </c>
      <c r="J777">
        <v>2.5</v>
      </c>
      <c r="K777">
        <v>1</v>
      </c>
      <c r="L777" s="114">
        <v>0</v>
      </c>
      <c r="M777" s="114">
        <v>0</v>
      </c>
      <c r="N777" s="114">
        <v>0</v>
      </c>
      <c r="O777" t="s">
        <v>1139</v>
      </c>
    </row>
    <row r="778" spans="1:15" x14ac:dyDescent="0.25">
      <c r="A778" t="s">
        <v>821</v>
      </c>
      <c r="B778" s="159">
        <v>45581.909722222219</v>
      </c>
      <c r="C778" s="1" t="s">
        <v>27</v>
      </c>
      <c r="D778" s="1" t="s">
        <v>25</v>
      </c>
      <c r="E778" t="s">
        <v>44</v>
      </c>
      <c r="F778" t="s">
        <v>29</v>
      </c>
      <c r="G778" s="114">
        <v>404.05</v>
      </c>
      <c r="H778" s="1" t="s">
        <v>34</v>
      </c>
      <c r="I778" t="s">
        <v>100</v>
      </c>
      <c r="J778">
        <v>2.1</v>
      </c>
      <c r="K778">
        <v>1</v>
      </c>
      <c r="L778" s="114">
        <v>0</v>
      </c>
      <c r="M778" s="114">
        <v>0</v>
      </c>
      <c r="N778" s="114">
        <v>0</v>
      </c>
      <c r="O778" t="s">
        <v>1139</v>
      </c>
    </row>
    <row r="779" spans="1:15" x14ac:dyDescent="0.25">
      <c r="A779" t="s">
        <v>822</v>
      </c>
      <c r="B779" s="159">
        <v>45581.998611111114</v>
      </c>
      <c r="C779" s="1" t="s">
        <v>43</v>
      </c>
      <c r="D779" s="1" t="s">
        <v>25</v>
      </c>
      <c r="E779" t="s">
        <v>39</v>
      </c>
      <c r="F779" t="s">
        <v>41</v>
      </c>
      <c r="G779" s="114">
        <v>3660.89</v>
      </c>
      <c r="H779" s="1" t="s">
        <v>22</v>
      </c>
      <c r="J779">
        <v>3.2</v>
      </c>
      <c r="K779">
        <v>1</v>
      </c>
      <c r="L779" s="114">
        <v>117.15</v>
      </c>
      <c r="M779" s="114">
        <v>3543.74</v>
      </c>
      <c r="N779" s="114">
        <v>3660.89</v>
      </c>
      <c r="O779" t="s">
        <v>1139</v>
      </c>
    </row>
    <row r="780" spans="1:15" x14ac:dyDescent="0.25">
      <c r="A780" t="s">
        <v>823</v>
      </c>
      <c r="B780" s="159">
        <v>45582.049305555556</v>
      </c>
      <c r="C780" s="1" t="s">
        <v>19</v>
      </c>
      <c r="D780" s="1" t="s">
        <v>20</v>
      </c>
      <c r="E780" t="s">
        <v>39</v>
      </c>
      <c r="F780" t="s">
        <v>45</v>
      </c>
      <c r="G780" s="114">
        <v>1112.27</v>
      </c>
      <c r="H780" s="1" t="s">
        <v>17</v>
      </c>
      <c r="J780">
        <v>3.2</v>
      </c>
      <c r="K780">
        <v>8.5999999999999993E-2</v>
      </c>
      <c r="L780" s="114">
        <v>0</v>
      </c>
      <c r="M780" s="114">
        <v>0</v>
      </c>
      <c r="N780" s="114">
        <v>0</v>
      </c>
      <c r="O780" t="s">
        <v>1139</v>
      </c>
    </row>
    <row r="781" spans="1:15" x14ac:dyDescent="0.25">
      <c r="A781" t="s">
        <v>824</v>
      </c>
      <c r="B781" s="159">
        <v>45582.65625</v>
      </c>
      <c r="C781" s="1" t="s">
        <v>37</v>
      </c>
      <c r="D781" s="1" t="s">
        <v>38</v>
      </c>
      <c r="E781" t="s">
        <v>28</v>
      </c>
      <c r="F781" t="s">
        <v>45</v>
      </c>
      <c r="G781" s="114">
        <v>2412.85</v>
      </c>
      <c r="H781" s="1" t="s">
        <v>22</v>
      </c>
      <c r="J781">
        <v>2.9</v>
      </c>
      <c r="K781">
        <v>0.23269999999999999</v>
      </c>
      <c r="L781" s="114">
        <v>16.282018999999998</v>
      </c>
      <c r="M781" s="114">
        <v>545.188176</v>
      </c>
      <c r="N781" s="114">
        <v>561.47019499999999</v>
      </c>
      <c r="O781" t="s">
        <v>1139</v>
      </c>
    </row>
    <row r="782" spans="1:15" x14ac:dyDescent="0.25">
      <c r="A782" t="s">
        <v>825</v>
      </c>
      <c r="B782" s="159">
        <v>45582.749305555553</v>
      </c>
      <c r="C782" s="1" t="s">
        <v>37</v>
      </c>
      <c r="D782" s="1" t="s">
        <v>38</v>
      </c>
      <c r="E782" t="s">
        <v>39</v>
      </c>
      <c r="F782" t="s">
        <v>21</v>
      </c>
      <c r="G782" s="114">
        <v>2009.07</v>
      </c>
      <c r="H782" s="1" t="s">
        <v>22</v>
      </c>
      <c r="J782">
        <v>3.2</v>
      </c>
      <c r="K782">
        <v>0.23269999999999999</v>
      </c>
      <c r="L782" s="114">
        <v>14.960283</v>
      </c>
      <c r="M782" s="114">
        <v>452.55030599999998</v>
      </c>
      <c r="N782" s="114">
        <v>467.51058899999998</v>
      </c>
      <c r="O782" t="s">
        <v>1139</v>
      </c>
    </row>
    <row r="783" spans="1:15" x14ac:dyDescent="0.25">
      <c r="A783" t="s">
        <v>826</v>
      </c>
      <c r="B783" s="159">
        <v>45583.894444444442</v>
      </c>
      <c r="C783" s="1" t="s">
        <v>27</v>
      </c>
      <c r="D783" s="1" t="s">
        <v>25</v>
      </c>
      <c r="E783" t="s">
        <v>33</v>
      </c>
      <c r="F783" t="s">
        <v>16</v>
      </c>
      <c r="G783" s="114">
        <v>3898.03</v>
      </c>
      <c r="H783" s="1" t="s">
        <v>17</v>
      </c>
      <c r="J783">
        <v>1.9</v>
      </c>
      <c r="K783">
        <v>1</v>
      </c>
      <c r="L783" s="114">
        <v>0</v>
      </c>
      <c r="M783" s="114">
        <v>0</v>
      </c>
      <c r="N783" s="114">
        <v>0</v>
      </c>
      <c r="O783" t="s">
        <v>1139</v>
      </c>
    </row>
    <row r="784" spans="1:15" x14ac:dyDescent="0.25">
      <c r="A784" t="s">
        <v>827</v>
      </c>
      <c r="B784" s="159">
        <v>45584.513888888891</v>
      </c>
      <c r="C784" s="1" t="s">
        <v>19</v>
      </c>
      <c r="D784" s="1" t="s">
        <v>20</v>
      </c>
      <c r="E784" t="s">
        <v>28</v>
      </c>
      <c r="F784" t="s">
        <v>16</v>
      </c>
      <c r="G784" s="114">
        <v>509.28</v>
      </c>
      <c r="H784" s="1" t="s">
        <v>22</v>
      </c>
      <c r="J784">
        <v>2.9</v>
      </c>
      <c r="K784">
        <v>8.5999999999999993E-2</v>
      </c>
      <c r="L784" s="114">
        <v>1.2702199999999999</v>
      </c>
      <c r="M784" s="114">
        <v>42.527859999999997</v>
      </c>
      <c r="N784" s="114">
        <v>43.798079999999999</v>
      </c>
      <c r="O784" t="s">
        <v>1139</v>
      </c>
    </row>
    <row r="785" spans="1:15" x14ac:dyDescent="0.25">
      <c r="A785" t="s">
        <v>828</v>
      </c>
      <c r="B785" s="159">
        <v>45584.808333333334</v>
      </c>
      <c r="C785" s="1" t="s">
        <v>27</v>
      </c>
      <c r="D785" s="1" t="s">
        <v>25</v>
      </c>
      <c r="E785" t="s">
        <v>33</v>
      </c>
      <c r="F785" t="s">
        <v>41</v>
      </c>
      <c r="G785" s="114">
        <v>4324.32</v>
      </c>
      <c r="H785" s="1" t="s">
        <v>22</v>
      </c>
      <c r="J785">
        <v>1.9</v>
      </c>
      <c r="K785">
        <v>1</v>
      </c>
      <c r="L785" s="114">
        <v>82.16</v>
      </c>
      <c r="M785" s="114">
        <v>4242.16</v>
      </c>
      <c r="N785" s="114">
        <v>4324.32</v>
      </c>
      <c r="O785" t="s">
        <v>1139</v>
      </c>
    </row>
    <row r="786" spans="1:15" x14ac:dyDescent="0.25">
      <c r="A786" t="s">
        <v>829</v>
      </c>
      <c r="B786" s="159">
        <v>45584.81527777778</v>
      </c>
      <c r="C786" s="1" t="s">
        <v>13</v>
      </c>
      <c r="D786" s="1" t="s">
        <v>14</v>
      </c>
      <c r="E786" t="s">
        <v>28</v>
      </c>
      <c r="F786" t="s">
        <v>45</v>
      </c>
      <c r="G786" s="114">
        <v>555.49</v>
      </c>
      <c r="H786" s="1" t="s">
        <v>34</v>
      </c>
      <c r="I786" t="s">
        <v>78</v>
      </c>
      <c r="J786">
        <v>2.9</v>
      </c>
      <c r="K786">
        <v>8.7400000000000005E-2</v>
      </c>
      <c r="L786" s="114">
        <v>0</v>
      </c>
      <c r="M786" s="114">
        <v>0</v>
      </c>
      <c r="N786" s="114">
        <v>0</v>
      </c>
      <c r="O786" t="s">
        <v>1139</v>
      </c>
    </row>
    <row r="787" spans="1:15" x14ac:dyDescent="0.25">
      <c r="A787" t="s">
        <v>830</v>
      </c>
      <c r="B787" s="159">
        <v>45585.168749999997</v>
      </c>
      <c r="C787" s="1" t="s">
        <v>27</v>
      </c>
      <c r="D787" s="1" t="s">
        <v>25</v>
      </c>
      <c r="E787" t="s">
        <v>39</v>
      </c>
      <c r="F787" t="s">
        <v>29</v>
      </c>
      <c r="G787" s="114">
        <v>2588.04</v>
      </c>
      <c r="H787" s="1" t="s">
        <v>34</v>
      </c>
      <c r="I787" t="s">
        <v>100</v>
      </c>
      <c r="J787">
        <v>3.2</v>
      </c>
      <c r="K787">
        <v>1</v>
      </c>
      <c r="L787" s="114">
        <v>0</v>
      </c>
      <c r="M787" s="114">
        <v>0</v>
      </c>
      <c r="N787" s="114">
        <v>0</v>
      </c>
      <c r="O787" t="s">
        <v>1139</v>
      </c>
    </row>
    <row r="788" spans="1:15" x14ac:dyDescent="0.25">
      <c r="A788" t="s">
        <v>831</v>
      </c>
      <c r="B788" s="159">
        <v>45585.535416666666</v>
      </c>
      <c r="C788" s="1" t="s">
        <v>24</v>
      </c>
      <c r="D788" s="1" t="s">
        <v>25</v>
      </c>
      <c r="E788" t="s">
        <v>33</v>
      </c>
      <c r="F788" t="s">
        <v>41</v>
      </c>
      <c r="G788" s="114">
        <v>3591.36</v>
      </c>
      <c r="H788" s="1" t="s">
        <v>17</v>
      </c>
      <c r="J788">
        <v>1.9</v>
      </c>
      <c r="K788">
        <v>1</v>
      </c>
      <c r="L788" s="114">
        <v>0</v>
      </c>
      <c r="M788" s="114">
        <v>0</v>
      </c>
      <c r="N788" s="114">
        <v>0</v>
      </c>
      <c r="O788" t="s">
        <v>1139</v>
      </c>
    </row>
    <row r="789" spans="1:15" x14ac:dyDescent="0.25">
      <c r="A789" t="s">
        <v>832</v>
      </c>
      <c r="B789" s="159">
        <v>45585.714583333334</v>
      </c>
      <c r="C789" s="1" t="s">
        <v>27</v>
      </c>
      <c r="D789" s="1" t="s">
        <v>25</v>
      </c>
      <c r="E789" t="s">
        <v>39</v>
      </c>
      <c r="F789" t="s">
        <v>45</v>
      </c>
      <c r="G789" s="114">
        <v>2214.7800000000002</v>
      </c>
      <c r="H789" s="1" t="s">
        <v>22</v>
      </c>
      <c r="J789">
        <v>3.2</v>
      </c>
      <c r="K789">
        <v>1</v>
      </c>
      <c r="L789" s="114">
        <v>70.87</v>
      </c>
      <c r="M789" s="114">
        <v>2143.91</v>
      </c>
      <c r="N789" s="114">
        <v>2214.7799999999997</v>
      </c>
      <c r="O789" t="s">
        <v>1139</v>
      </c>
    </row>
    <row r="790" spans="1:15" x14ac:dyDescent="0.25">
      <c r="A790" t="s">
        <v>833</v>
      </c>
      <c r="B790" s="159">
        <v>45586.088194444441</v>
      </c>
      <c r="C790" s="1" t="s">
        <v>27</v>
      </c>
      <c r="D790" s="1" t="s">
        <v>25</v>
      </c>
      <c r="E790" t="s">
        <v>44</v>
      </c>
      <c r="F790" t="s">
        <v>45</v>
      </c>
      <c r="G790" s="114">
        <v>3570.68</v>
      </c>
      <c r="H790" s="1" t="s">
        <v>22</v>
      </c>
      <c r="J790">
        <v>2.1</v>
      </c>
      <c r="K790">
        <v>1</v>
      </c>
      <c r="L790" s="114">
        <v>74.98</v>
      </c>
      <c r="M790" s="114">
        <v>3495.7</v>
      </c>
      <c r="N790" s="114">
        <v>3570.68</v>
      </c>
      <c r="O790" t="s">
        <v>1139</v>
      </c>
    </row>
    <row r="791" spans="1:15" x14ac:dyDescent="0.25">
      <c r="A791" t="s">
        <v>834</v>
      </c>
      <c r="B791" s="159">
        <v>45586.520833333336</v>
      </c>
      <c r="C791" s="1" t="s">
        <v>60</v>
      </c>
      <c r="D791" s="1" t="s">
        <v>25</v>
      </c>
      <c r="E791" t="s">
        <v>39</v>
      </c>
      <c r="F791" t="s">
        <v>21</v>
      </c>
      <c r="G791" s="114">
        <v>3769.84</v>
      </c>
      <c r="H791" s="1" t="s">
        <v>34</v>
      </c>
      <c r="I791" t="s">
        <v>100</v>
      </c>
      <c r="J791">
        <v>3.2</v>
      </c>
      <c r="K791">
        <v>1</v>
      </c>
      <c r="L791" s="114">
        <v>0</v>
      </c>
      <c r="M791" s="114">
        <v>0</v>
      </c>
      <c r="N791" s="114">
        <v>0</v>
      </c>
      <c r="O791" t="s">
        <v>1139</v>
      </c>
    </row>
    <row r="792" spans="1:15" x14ac:dyDescent="0.25">
      <c r="A792" t="s">
        <v>835</v>
      </c>
      <c r="B792" s="159">
        <v>45586.566666666666</v>
      </c>
      <c r="C792" s="1" t="s">
        <v>58</v>
      </c>
      <c r="D792" s="1" t="s">
        <v>25</v>
      </c>
      <c r="E792" t="s">
        <v>15</v>
      </c>
      <c r="F792" t="s">
        <v>21</v>
      </c>
      <c r="G792" s="114">
        <v>584.72</v>
      </c>
      <c r="H792" s="1" t="s">
        <v>22</v>
      </c>
      <c r="J792">
        <v>2.5</v>
      </c>
      <c r="K792">
        <v>1</v>
      </c>
      <c r="L792" s="114">
        <v>14.62</v>
      </c>
      <c r="M792" s="114">
        <v>570.1</v>
      </c>
      <c r="N792" s="114">
        <v>584.72</v>
      </c>
      <c r="O792" t="s">
        <v>1139</v>
      </c>
    </row>
    <row r="793" spans="1:15" x14ac:dyDescent="0.25">
      <c r="A793" t="s">
        <v>836</v>
      </c>
      <c r="B793" s="159">
        <v>45586.915277777778</v>
      </c>
      <c r="C793" s="1" t="s">
        <v>58</v>
      </c>
      <c r="D793" s="1" t="s">
        <v>25</v>
      </c>
      <c r="E793" t="s">
        <v>15</v>
      </c>
      <c r="F793" t="s">
        <v>29</v>
      </c>
      <c r="G793" s="114">
        <v>389.22</v>
      </c>
      <c r="H793" s="1" t="s">
        <v>22</v>
      </c>
      <c r="J793">
        <v>2.5</v>
      </c>
      <c r="K793">
        <v>1</v>
      </c>
      <c r="L793" s="114">
        <v>9.73</v>
      </c>
      <c r="M793" s="114">
        <v>379.49</v>
      </c>
      <c r="N793" s="114">
        <v>389.22</v>
      </c>
      <c r="O793" t="s">
        <v>1139</v>
      </c>
    </row>
    <row r="794" spans="1:15" x14ac:dyDescent="0.25">
      <c r="A794" t="s">
        <v>837</v>
      </c>
      <c r="B794" s="159">
        <v>45587.074999999997</v>
      </c>
      <c r="C794" s="1" t="s">
        <v>27</v>
      </c>
      <c r="D794" s="1" t="s">
        <v>25</v>
      </c>
      <c r="E794" t="s">
        <v>15</v>
      </c>
      <c r="F794" t="s">
        <v>45</v>
      </c>
      <c r="G794" s="114">
        <v>3261.03</v>
      </c>
      <c r="H794" s="1" t="s">
        <v>22</v>
      </c>
      <c r="J794">
        <v>2.5</v>
      </c>
      <c r="K794">
        <v>1</v>
      </c>
      <c r="L794" s="114">
        <v>81.53</v>
      </c>
      <c r="M794" s="114">
        <v>3179.5</v>
      </c>
      <c r="N794" s="114">
        <v>3261.03</v>
      </c>
      <c r="O794" t="s">
        <v>1139</v>
      </c>
    </row>
    <row r="795" spans="1:15" x14ac:dyDescent="0.25">
      <c r="A795" t="s">
        <v>838</v>
      </c>
      <c r="B795" s="159">
        <v>45587.28125</v>
      </c>
      <c r="C795" s="1" t="s">
        <v>31</v>
      </c>
      <c r="D795" s="1" t="s">
        <v>32</v>
      </c>
      <c r="E795" t="s">
        <v>28</v>
      </c>
      <c r="F795" t="s">
        <v>29</v>
      </c>
      <c r="G795" s="114">
        <v>3867.61</v>
      </c>
      <c r="H795" s="1" t="s">
        <v>22</v>
      </c>
      <c r="J795">
        <v>2.9</v>
      </c>
      <c r="K795">
        <v>1.1801999999999999</v>
      </c>
      <c r="L795" s="114">
        <v>132.37123199999999</v>
      </c>
      <c r="M795" s="114">
        <v>4432.1820899999993</v>
      </c>
      <c r="N795" s="114">
        <v>4564.5533219999998</v>
      </c>
      <c r="O795" t="s">
        <v>1139</v>
      </c>
    </row>
    <row r="796" spans="1:15" x14ac:dyDescent="0.25">
      <c r="A796" t="s">
        <v>839</v>
      </c>
      <c r="B796" s="159">
        <v>45587.503472222219</v>
      </c>
      <c r="C796" s="1" t="s">
        <v>60</v>
      </c>
      <c r="D796" s="1" t="s">
        <v>25</v>
      </c>
      <c r="E796" t="s">
        <v>39</v>
      </c>
      <c r="F796" t="s">
        <v>21</v>
      </c>
      <c r="G796" s="114">
        <v>4400.16</v>
      </c>
      <c r="H796" s="1" t="s">
        <v>34</v>
      </c>
      <c r="I796" t="s">
        <v>55</v>
      </c>
      <c r="J796">
        <v>3.2</v>
      </c>
      <c r="K796">
        <v>1</v>
      </c>
      <c r="L796" s="114">
        <v>0</v>
      </c>
      <c r="M796" s="114">
        <v>0</v>
      </c>
      <c r="N796" s="114">
        <v>0</v>
      </c>
      <c r="O796" t="s">
        <v>1139</v>
      </c>
    </row>
    <row r="797" spans="1:15" x14ac:dyDescent="0.25">
      <c r="A797" t="s">
        <v>840</v>
      </c>
      <c r="B797" s="159">
        <v>45587.745833333334</v>
      </c>
      <c r="C797" s="1" t="s">
        <v>24</v>
      </c>
      <c r="D797" s="1" t="s">
        <v>25</v>
      </c>
      <c r="E797" t="s">
        <v>28</v>
      </c>
      <c r="F797" t="s">
        <v>16</v>
      </c>
      <c r="G797" s="114">
        <v>4286.3</v>
      </c>
      <c r="H797" s="1" t="s">
        <v>34</v>
      </c>
      <c r="I797" t="s">
        <v>35</v>
      </c>
      <c r="J797">
        <v>2.9</v>
      </c>
      <c r="K797">
        <v>1</v>
      </c>
      <c r="L797" s="114">
        <v>0</v>
      </c>
      <c r="M797" s="114">
        <v>0</v>
      </c>
      <c r="N797" s="114">
        <v>0</v>
      </c>
      <c r="O797" t="s">
        <v>1139</v>
      </c>
    </row>
    <row r="798" spans="1:15" x14ac:dyDescent="0.25">
      <c r="A798" t="s">
        <v>841</v>
      </c>
      <c r="B798" s="159">
        <v>45587.972222222219</v>
      </c>
      <c r="C798" s="1" t="s">
        <v>24</v>
      </c>
      <c r="D798" s="1" t="s">
        <v>25</v>
      </c>
      <c r="E798" t="s">
        <v>44</v>
      </c>
      <c r="F798" t="s">
        <v>16</v>
      </c>
      <c r="G798" s="114">
        <v>4979.8900000000003</v>
      </c>
      <c r="H798" s="1" t="s">
        <v>34</v>
      </c>
      <c r="I798" t="s">
        <v>55</v>
      </c>
      <c r="J798">
        <v>2.1</v>
      </c>
      <c r="K798">
        <v>1</v>
      </c>
      <c r="L798" s="114">
        <v>0</v>
      </c>
      <c r="M798" s="114">
        <v>0</v>
      </c>
      <c r="N798" s="114">
        <v>0</v>
      </c>
      <c r="O798" t="s">
        <v>1139</v>
      </c>
    </row>
    <row r="799" spans="1:15" x14ac:dyDescent="0.25">
      <c r="A799" t="s">
        <v>842</v>
      </c>
      <c r="B799" s="159">
        <v>45587.995138888888</v>
      </c>
      <c r="C799" s="1" t="s">
        <v>37</v>
      </c>
      <c r="D799" s="1" t="s">
        <v>38</v>
      </c>
      <c r="E799" t="s">
        <v>28</v>
      </c>
      <c r="F799" t="s">
        <v>21</v>
      </c>
      <c r="G799" s="114">
        <v>3779.86</v>
      </c>
      <c r="H799" s="1" t="s">
        <v>22</v>
      </c>
      <c r="J799">
        <v>2.9</v>
      </c>
      <c r="K799">
        <v>0.23269999999999999</v>
      </c>
      <c r="L799" s="114">
        <v>25.508573999999999</v>
      </c>
      <c r="M799" s="114">
        <v>854.06484799999987</v>
      </c>
      <c r="N799" s="114">
        <v>879.57342199999982</v>
      </c>
      <c r="O799" t="s">
        <v>1139</v>
      </c>
    </row>
    <row r="800" spans="1:15" x14ac:dyDescent="0.25">
      <c r="A800" t="s">
        <v>843</v>
      </c>
      <c r="B800" s="159">
        <v>45588.084722222222</v>
      </c>
      <c r="C800" s="1" t="s">
        <v>58</v>
      </c>
      <c r="D800" s="1" t="s">
        <v>25</v>
      </c>
      <c r="E800" t="s">
        <v>39</v>
      </c>
      <c r="F800" t="s">
        <v>41</v>
      </c>
      <c r="G800" s="114">
        <v>2710.41</v>
      </c>
      <c r="H800" s="1" t="s">
        <v>22</v>
      </c>
      <c r="J800">
        <v>3.2</v>
      </c>
      <c r="K800">
        <v>1</v>
      </c>
      <c r="L800" s="114">
        <v>86.73</v>
      </c>
      <c r="M800" s="114">
        <v>2623.68</v>
      </c>
      <c r="N800" s="114">
        <v>2710.41</v>
      </c>
      <c r="O800" t="s">
        <v>1139</v>
      </c>
    </row>
    <row r="801" spans="1:15" x14ac:dyDescent="0.25">
      <c r="A801" t="s">
        <v>844</v>
      </c>
      <c r="B801" s="159">
        <v>45588.43472222222</v>
      </c>
      <c r="C801" s="1" t="s">
        <v>24</v>
      </c>
      <c r="D801" s="1" t="s">
        <v>25</v>
      </c>
      <c r="E801" t="s">
        <v>39</v>
      </c>
      <c r="F801" t="s">
        <v>29</v>
      </c>
      <c r="G801" s="114">
        <v>3897.09</v>
      </c>
      <c r="H801" s="1" t="s">
        <v>22</v>
      </c>
      <c r="J801">
        <v>3.2</v>
      </c>
      <c r="K801">
        <v>1</v>
      </c>
      <c r="L801" s="114">
        <v>124.71</v>
      </c>
      <c r="M801" s="114">
        <v>3772.38</v>
      </c>
      <c r="N801" s="114">
        <v>3897.09</v>
      </c>
      <c r="O801" t="s">
        <v>1139</v>
      </c>
    </row>
    <row r="802" spans="1:15" x14ac:dyDescent="0.25">
      <c r="A802" t="s">
        <v>845</v>
      </c>
      <c r="B802" s="159">
        <v>45588.793055555558</v>
      </c>
      <c r="C802" s="1" t="s">
        <v>19</v>
      </c>
      <c r="D802" s="1" t="s">
        <v>20</v>
      </c>
      <c r="E802" t="s">
        <v>28</v>
      </c>
      <c r="F802" t="s">
        <v>16</v>
      </c>
      <c r="G802" s="114">
        <v>3290.29</v>
      </c>
      <c r="H802" s="1" t="s">
        <v>17</v>
      </c>
      <c r="J802">
        <v>2.9</v>
      </c>
      <c r="K802">
        <v>8.5999999999999993E-2</v>
      </c>
      <c r="L802" s="114">
        <v>0</v>
      </c>
      <c r="M802" s="114">
        <v>0</v>
      </c>
      <c r="N802" s="114">
        <v>0</v>
      </c>
      <c r="O802" t="s">
        <v>1139</v>
      </c>
    </row>
    <row r="803" spans="1:15" x14ac:dyDescent="0.25">
      <c r="A803" t="s">
        <v>846</v>
      </c>
      <c r="B803" s="159">
        <v>45588.820138888892</v>
      </c>
      <c r="C803" s="1" t="s">
        <v>37</v>
      </c>
      <c r="D803" s="1" t="s">
        <v>38</v>
      </c>
      <c r="E803" t="s">
        <v>15</v>
      </c>
      <c r="F803" t="s">
        <v>16</v>
      </c>
      <c r="G803" s="114">
        <v>2216.38</v>
      </c>
      <c r="H803" s="1" t="s">
        <v>22</v>
      </c>
      <c r="J803">
        <v>2.5</v>
      </c>
      <c r="K803">
        <v>0.23269999999999999</v>
      </c>
      <c r="L803" s="114">
        <v>12.893906999999999</v>
      </c>
      <c r="M803" s="114">
        <v>502.85771899999992</v>
      </c>
      <c r="N803" s="114">
        <v>515.75162599999987</v>
      </c>
      <c r="O803" t="s">
        <v>1139</v>
      </c>
    </row>
    <row r="804" spans="1:15" x14ac:dyDescent="0.25">
      <c r="A804" t="s">
        <v>847</v>
      </c>
      <c r="B804" s="159">
        <v>45589.334722222222</v>
      </c>
      <c r="C804" s="1" t="s">
        <v>31</v>
      </c>
      <c r="D804" s="1" t="s">
        <v>32</v>
      </c>
      <c r="E804" t="s">
        <v>33</v>
      </c>
      <c r="F804" t="s">
        <v>16</v>
      </c>
      <c r="G804" s="114">
        <v>1734.98</v>
      </c>
      <c r="H804" s="1" t="s">
        <v>22</v>
      </c>
      <c r="J804">
        <v>1.9</v>
      </c>
      <c r="K804">
        <v>1.1801999999999999</v>
      </c>
      <c r="L804" s="114">
        <v>38.899391999999999</v>
      </c>
      <c r="M804" s="114">
        <v>2008.7240039999999</v>
      </c>
      <c r="N804" s="114">
        <v>2047.623396</v>
      </c>
      <c r="O804" t="s">
        <v>1139</v>
      </c>
    </row>
    <row r="805" spans="1:15" x14ac:dyDescent="0.25">
      <c r="A805" t="s">
        <v>848</v>
      </c>
      <c r="B805" s="159">
        <v>45589.925694444442</v>
      </c>
      <c r="C805" s="1" t="s">
        <v>24</v>
      </c>
      <c r="D805" s="1" t="s">
        <v>25</v>
      </c>
      <c r="E805" t="s">
        <v>39</v>
      </c>
      <c r="F805" t="s">
        <v>21</v>
      </c>
      <c r="G805" s="114">
        <v>4490.6899999999996</v>
      </c>
      <c r="H805" s="1" t="s">
        <v>17</v>
      </c>
      <c r="J805">
        <v>3.2</v>
      </c>
      <c r="K805">
        <v>1</v>
      </c>
      <c r="L805" s="114">
        <v>0</v>
      </c>
      <c r="M805" s="114">
        <v>0</v>
      </c>
      <c r="N805" s="114">
        <v>0</v>
      </c>
      <c r="O805" t="s">
        <v>1139</v>
      </c>
    </row>
    <row r="806" spans="1:15" x14ac:dyDescent="0.25">
      <c r="A806" t="s">
        <v>849</v>
      </c>
      <c r="B806" s="159">
        <v>45590.409722222219</v>
      </c>
      <c r="C806" s="1" t="s">
        <v>60</v>
      </c>
      <c r="D806" s="1" t="s">
        <v>25</v>
      </c>
      <c r="E806" t="s">
        <v>33</v>
      </c>
      <c r="F806" t="s">
        <v>16</v>
      </c>
      <c r="G806" s="114">
        <v>1335</v>
      </c>
      <c r="H806" s="1" t="s">
        <v>17</v>
      </c>
      <c r="J806">
        <v>1.9</v>
      </c>
      <c r="K806">
        <v>1</v>
      </c>
      <c r="L806" s="114">
        <v>0</v>
      </c>
      <c r="M806" s="114">
        <v>0</v>
      </c>
      <c r="N806" s="114">
        <v>0</v>
      </c>
      <c r="O806" t="s">
        <v>1139</v>
      </c>
    </row>
    <row r="807" spans="1:15" x14ac:dyDescent="0.25">
      <c r="A807" t="s">
        <v>850</v>
      </c>
      <c r="B807" s="159">
        <v>45590.460416666669</v>
      </c>
      <c r="C807" s="1" t="s">
        <v>60</v>
      </c>
      <c r="D807" s="1" t="s">
        <v>25</v>
      </c>
      <c r="E807" t="s">
        <v>39</v>
      </c>
      <c r="F807" t="s">
        <v>16</v>
      </c>
      <c r="G807" s="114">
        <v>2991.62</v>
      </c>
      <c r="H807" s="1" t="s">
        <v>34</v>
      </c>
      <c r="I807" t="s">
        <v>62</v>
      </c>
      <c r="J807">
        <v>3.2</v>
      </c>
      <c r="K807">
        <v>1</v>
      </c>
      <c r="L807" s="114">
        <v>0</v>
      </c>
      <c r="M807" s="114">
        <v>0</v>
      </c>
      <c r="N807" s="114">
        <v>0</v>
      </c>
      <c r="O807" t="s">
        <v>1139</v>
      </c>
    </row>
    <row r="808" spans="1:15" x14ac:dyDescent="0.25">
      <c r="A808" t="s">
        <v>851</v>
      </c>
      <c r="B808" s="159">
        <v>45590.98333333333</v>
      </c>
      <c r="C808" s="1" t="s">
        <v>60</v>
      </c>
      <c r="D808" s="1" t="s">
        <v>25</v>
      </c>
      <c r="E808" t="s">
        <v>39</v>
      </c>
      <c r="F808" t="s">
        <v>21</v>
      </c>
      <c r="G808" s="114">
        <v>3466.92</v>
      </c>
      <c r="H808" s="1" t="s">
        <v>22</v>
      </c>
      <c r="J808">
        <v>3.2</v>
      </c>
      <c r="K808">
        <v>1</v>
      </c>
      <c r="L808" s="114">
        <v>110.94</v>
      </c>
      <c r="M808" s="114">
        <v>3355.98</v>
      </c>
      <c r="N808" s="114">
        <v>3466.92</v>
      </c>
      <c r="O808" t="s">
        <v>1139</v>
      </c>
    </row>
    <row r="809" spans="1:15" x14ac:dyDescent="0.25">
      <c r="A809" t="s">
        <v>852</v>
      </c>
      <c r="B809" s="159">
        <v>45591.072222222225</v>
      </c>
      <c r="C809" s="1" t="s">
        <v>31</v>
      </c>
      <c r="D809" s="1" t="s">
        <v>32</v>
      </c>
      <c r="E809" t="s">
        <v>39</v>
      </c>
      <c r="F809" t="s">
        <v>45</v>
      </c>
      <c r="G809" s="114">
        <v>539.62</v>
      </c>
      <c r="H809" s="1" t="s">
        <v>22</v>
      </c>
      <c r="J809">
        <v>3.2</v>
      </c>
      <c r="K809">
        <v>1.1801999999999999</v>
      </c>
      <c r="L809" s="114">
        <v>20.382053999999997</v>
      </c>
      <c r="M809" s="114">
        <v>616.47747000000004</v>
      </c>
      <c r="N809" s="114">
        <v>636.85952400000008</v>
      </c>
      <c r="O809" t="s">
        <v>1139</v>
      </c>
    </row>
    <row r="810" spans="1:15" x14ac:dyDescent="0.25">
      <c r="A810" t="s">
        <v>853</v>
      </c>
      <c r="B810" s="159">
        <v>45591.117361111108</v>
      </c>
      <c r="C810" s="1" t="s">
        <v>13</v>
      </c>
      <c r="D810" s="1" t="s">
        <v>14</v>
      </c>
      <c r="E810" t="s">
        <v>28</v>
      </c>
      <c r="F810" t="s">
        <v>41</v>
      </c>
      <c r="G810" s="114">
        <v>3705.18</v>
      </c>
      <c r="H810" s="1" t="s">
        <v>34</v>
      </c>
      <c r="I810" t="s">
        <v>35</v>
      </c>
      <c r="J810">
        <v>2.9</v>
      </c>
      <c r="K810">
        <v>8.7400000000000005E-2</v>
      </c>
      <c r="L810" s="114">
        <v>0</v>
      </c>
      <c r="M810" s="114">
        <v>0</v>
      </c>
      <c r="N810" s="114">
        <v>0</v>
      </c>
      <c r="O810" t="s">
        <v>1139</v>
      </c>
    </row>
    <row r="811" spans="1:15" x14ac:dyDescent="0.25">
      <c r="A811" t="s">
        <v>854</v>
      </c>
      <c r="B811" s="159">
        <v>45591.125</v>
      </c>
      <c r="C811" s="1" t="s">
        <v>13</v>
      </c>
      <c r="D811" s="1" t="s">
        <v>14</v>
      </c>
      <c r="E811" t="s">
        <v>39</v>
      </c>
      <c r="F811" t="s">
        <v>45</v>
      </c>
      <c r="G811" s="114">
        <v>3240.24</v>
      </c>
      <c r="H811" s="1" t="s">
        <v>17</v>
      </c>
      <c r="J811">
        <v>3.2</v>
      </c>
      <c r="K811">
        <v>8.7400000000000005E-2</v>
      </c>
      <c r="L811" s="114">
        <v>0</v>
      </c>
      <c r="M811" s="114">
        <v>0</v>
      </c>
      <c r="N811" s="114">
        <v>0</v>
      </c>
      <c r="O811" t="s">
        <v>1139</v>
      </c>
    </row>
    <row r="812" spans="1:15" x14ac:dyDescent="0.25">
      <c r="A812" t="s">
        <v>855</v>
      </c>
      <c r="B812" s="159">
        <v>45591.569444444445</v>
      </c>
      <c r="C812" s="1" t="s">
        <v>43</v>
      </c>
      <c r="D812" s="1" t="s">
        <v>25</v>
      </c>
      <c r="E812" t="s">
        <v>28</v>
      </c>
      <c r="F812" t="s">
        <v>16</v>
      </c>
      <c r="G812" s="114">
        <v>1746.33</v>
      </c>
      <c r="H812" s="1" t="s">
        <v>22</v>
      </c>
      <c r="J812">
        <v>2.9</v>
      </c>
      <c r="K812">
        <v>1</v>
      </c>
      <c r="L812" s="114">
        <v>50.64</v>
      </c>
      <c r="M812" s="114">
        <v>1695.69</v>
      </c>
      <c r="N812" s="114">
        <v>1746.3300000000002</v>
      </c>
      <c r="O812" t="s">
        <v>1139</v>
      </c>
    </row>
    <row r="813" spans="1:15" x14ac:dyDescent="0.25">
      <c r="A813" t="s">
        <v>856</v>
      </c>
      <c r="B813" s="159">
        <v>45591.581250000003</v>
      </c>
      <c r="C813" s="1" t="s">
        <v>19</v>
      </c>
      <c r="D813" s="1" t="s">
        <v>20</v>
      </c>
      <c r="E813" t="s">
        <v>15</v>
      </c>
      <c r="F813" t="s">
        <v>21</v>
      </c>
      <c r="G813" s="114">
        <v>1104.4100000000001</v>
      </c>
      <c r="H813" s="1" t="s">
        <v>22</v>
      </c>
      <c r="J813">
        <v>2.5</v>
      </c>
      <c r="K813">
        <v>8.5999999999999993E-2</v>
      </c>
      <c r="L813" s="114">
        <v>2.3744599999999996</v>
      </c>
      <c r="M813" s="114">
        <v>92.604799999999983</v>
      </c>
      <c r="N813" s="114">
        <v>94.979259999999982</v>
      </c>
      <c r="O813" t="s">
        <v>1139</v>
      </c>
    </row>
    <row r="814" spans="1:15" x14ac:dyDescent="0.25">
      <c r="A814" t="s">
        <v>857</v>
      </c>
      <c r="B814" s="159">
        <v>45591.627083333333</v>
      </c>
      <c r="C814" s="1" t="s">
        <v>58</v>
      </c>
      <c r="D814" s="1" t="s">
        <v>25</v>
      </c>
      <c r="E814" t="s">
        <v>44</v>
      </c>
      <c r="F814" t="s">
        <v>29</v>
      </c>
      <c r="G814" s="114">
        <v>4640.16</v>
      </c>
      <c r="H814" s="1" t="s">
        <v>34</v>
      </c>
      <c r="I814" t="s">
        <v>35</v>
      </c>
      <c r="J814">
        <v>2.1</v>
      </c>
      <c r="K814">
        <v>1</v>
      </c>
      <c r="L814" s="114">
        <v>0</v>
      </c>
      <c r="M814" s="114">
        <v>0</v>
      </c>
      <c r="N814" s="114">
        <v>0</v>
      </c>
      <c r="O814" t="s">
        <v>1139</v>
      </c>
    </row>
    <row r="815" spans="1:15" x14ac:dyDescent="0.25">
      <c r="A815" t="s">
        <v>858</v>
      </c>
      <c r="B815" s="159">
        <v>45592.402777777781</v>
      </c>
      <c r="C815" s="1" t="s">
        <v>58</v>
      </c>
      <c r="D815" s="1" t="s">
        <v>25</v>
      </c>
      <c r="E815" t="s">
        <v>39</v>
      </c>
      <c r="F815" t="s">
        <v>16</v>
      </c>
      <c r="G815" s="114">
        <v>4228.07</v>
      </c>
      <c r="H815" s="1" t="s">
        <v>22</v>
      </c>
      <c r="J815">
        <v>3.2</v>
      </c>
      <c r="K815">
        <v>1</v>
      </c>
      <c r="L815" s="114">
        <v>135.30000000000001</v>
      </c>
      <c r="M815" s="114">
        <v>4092.77</v>
      </c>
      <c r="N815" s="114">
        <v>4228.07</v>
      </c>
      <c r="O815" t="s">
        <v>1139</v>
      </c>
    </row>
    <row r="816" spans="1:15" x14ac:dyDescent="0.25">
      <c r="A816" t="s">
        <v>859</v>
      </c>
      <c r="B816" s="159">
        <v>45592.732638888891</v>
      </c>
      <c r="C816" s="1" t="s">
        <v>37</v>
      </c>
      <c r="D816" s="1" t="s">
        <v>38</v>
      </c>
      <c r="E816" t="s">
        <v>28</v>
      </c>
      <c r="F816" t="s">
        <v>16</v>
      </c>
      <c r="G816" s="114">
        <v>1774.45</v>
      </c>
      <c r="H816" s="1" t="s">
        <v>34</v>
      </c>
      <c r="I816" t="s">
        <v>78</v>
      </c>
      <c r="J816">
        <v>2.9</v>
      </c>
      <c r="K816">
        <v>0.23269999999999999</v>
      </c>
      <c r="L816" s="114">
        <v>0</v>
      </c>
      <c r="M816" s="114">
        <v>0</v>
      </c>
      <c r="N816" s="114">
        <v>0</v>
      </c>
      <c r="O816" t="s">
        <v>1139</v>
      </c>
    </row>
    <row r="817" spans="1:15" x14ac:dyDescent="0.25">
      <c r="A817" t="s">
        <v>860</v>
      </c>
      <c r="B817" s="159">
        <v>45593.291666666664</v>
      </c>
      <c r="C817" s="1" t="s">
        <v>31</v>
      </c>
      <c r="D817" s="1" t="s">
        <v>32</v>
      </c>
      <c r="E817" t="s">
        <v>28</v>
      </c>
      <c r="F817" t="s">
        <v>29</v>
      </c>
      <c r="G817" s="114">
        <v>346.33</v>
      </c>
      <c r="H817" s="1" t="s">
        <v>22</v>
      </c>
      <c r="J817">
        <v>2.9</v>
      </c>
      <c r="K817">
        <v>1.1801999999999999</v>
      </c>
      <c r="L817" s="114">
        <v>11.849207999999997</v>
      </c>
      <c r="M817" s="114">
        <v>396.88945799999999</v>
      </c>
      <c r="N817" s="114">
        <v>408.73866599999997</v>
      </c>
      <c r="O817" t="s">
        <v>1139</v>
      </c>
    </row>
    <row r="818" spans="1:15" x14ac:dyDescent="0.25">
      <c r="A818" t="s">
        <v>861</v>
      </c>
      <c r="B818" s="159">
        <v>45593.522916666669</v>
      </c>
      <c r="C818" s="1" t="s">
        <v>31</v>
      </c>
      <c r="D818" s="1" t="s">
        <v>32</v>
      </c>
      <c r="E818" t="s">
        <v>15</v>
      </c>
      <c r="F818" t="s">
        <v>21</v>
      </c>
      <c r="G818" s="114">
        <v>3731.57</v>
      </c>
      <c r="H818" s="1" t="s">
        <v>22</v>
      </c>
      <c r="J818">
        <v>2.5</v>
      </c>
      <c r="K818">
        <v>1.1801999999999999</v>
      </c>
      <c r="L818" s="114">
        <v>110.100858</v>
      </c>
      <c r="M818" s="114">
        <v>4293.898056</v>
      </c>
      <c r="N818" s="114">
        <v>4403.9989139999998</v>
      </c>
      <c r="O818" t="s">
        <v>1139</v>
      </c>
    </row>
    <row r="819" spans="1:15" x14ac:dyDescent="0.25">
      <c r="A819" t="s">
        <v>862</v>
      </c>
      <c r="B819" s="159">
        <v>45593.693055555559</v>
      </c>
      <c r="C819" s="1" t="s">
        <v>47</v>
      </c>
      <c r="D819" s="1" t="s">
        <v>25</v>
      </c>
      <c r="E819" t="s">
        <v>28</v>
      </c>
      <c r="F819" t="s">
        <v>29</v>
      </c>
      <c r="G819" s="114">
        <v>1488.27</v>
      </c>
      <c r="H819" s="1" t="s">
        <v>22</v>
      </c>
      <c r="J819">
        <v>2.9</v>
      </c>
      <c r="K819">
        <v>1</v>
      </c>
      <c r="L819" s="114">
        <v>43.16</v>
      </c>
      <c r="M819" s="114">
        <v>1445.11</v>
      </c>
      <c r="N819" s="114">
        <v>1488.27</v>
      </c>
      <c r="O819" t="s">
        <v>1139</v>
      </c>
    </row>
    <row r="820" spans="1:15" x14ac:dyDescent="0.25">
      <c r="A820" t="s">
        <v>863</v>
      </c>
      <c r="B820" s="159">
        <v>45594.543055555558</v>
      </c>
      <c r="C820" s="1" t="s">
        <v>60</v>
      </c>
      <c r="D820" s="1" t="s">
        <v>25</v>
      </c>
      <c r="E820" t="s">
        <v>28</v>
      </c>
      <c r="F820" t="s">
        <v>29</v>
      </c>
      <c r="G820" s="114">
        <v>1170.98</v>
      </c>
      <c r="H820" s="1" t="s">
        <v>17</v>
      </c>
      <c r="J820">
        <v>2.9</v>
      </c>
      <c r="K820">
        <v>1</v>
      </c>
      <c r="L820" s="114">
        <v>0</v>
      </c>
      <c r="M820" s="114">
        <v>0</v>
      </c>
      <c r="N820" s="114">
        <v>0</v>
      </c>
      <c r="O820" t="s">
        <v>1139</v>
      </c>
    </row>
    <row r="821" spans="1:15" x14ac:dyDescent="0.25">
      <c r="A821" t="s">
        <v>864</v>
      </c>
      <c r="B821" s="159">
        <v>45594.661805555559</v>
      </c>
      <c r="C821" s="1" t="s">
        <v>43</v>
      </c>
      <c r="D821" s="1" t="s">
        <v>25</v>
      </c>
      <c r="E821" t="s">
        <v>39</v>
      </c>
      <c r="F821" t="s">
        <v>41</v>
      </c>
      <c r="G821" s="114">
        <v>3652.79</v>
      </c>
      <c r="H821" s="1" t="s">
        <v>22</v>
      </c>
      <c r="J821">
        <v>3.2</v>
      </c>
      <c r="K821">
        <v>1</v>
      </c>
      <c r="L821" s="114">
        <v>116.89</v>
      </c>
      <c r="M821" s="114">
        <v>3535.9</v>
      </c>
      <c r="N821" s="114">
        <v>3652.79</v>
      </c>
      <c r="O821" t="s">
        <v>1139</v>
      </c>
    </row>
    <row r="822" spans="1:15" x14ac:dyDescent="0.25">
      <c r="A822" t="s">
        <v>865</v>
      </c>
      <c r="B822" s="159">
        <v>45594.964583333334</v>
      </c>
      <c r="C822" s="1" t="s">
        <v>43</v>
      </c>
      <c r="D822" s="1" t="s">
        <v>25</v>
      </c>
      <c r="E822" t="s">
        <v>39</v>
      </c>
      <c r="F822" t="s">
        <v>29</v>
      </c>
      <c r="G822" s="114">
        <v>1313.65</v>
      </c>
      <c r="H822" s="1" t="s">
        <v>22</v>
      </c>
      <c r="J822">
        <v>3.2</v>
      </c>
      <c r="K822">
        <v>1</v>
      </c>
      <c r="L822" s="114">
        <v>42.04</v>
      </c>
      <c r="M822" s="114">
        <v>1271.6099999999999</v>
      </c>
      <c r="N822" s="114">
        <v>1313.6499999999999</v>
      </c>
      <c r="O822" t="s">
        <v>1139</v>
      </c>
    </row>
    <row r="823" spans="1:15" x14ac:dyDescent="0.25">
      <c r="A823" t="s">
        <v>866</v>
      </c>
      <c r="B823" s="159">
        <v>45595.428472222222</v>
      </c>
      <c r="C823" s="1" t="s">
        <v>31</v>
      </c>
      <c r="D823" s="1" t="s">
        <v>32</v>
      </c>
      <c r="E823" t="s">
        <v>33</v>
      </c>
      <c r="F823" t="s">
        <v>45</v>
      </c>
      <c r="G823" s="114">
        <v>2381.59</v>
      </c>
      <c r="H823" s="1" t="s">
        <v>22</v>
      </c>
      <c r="J823">
        <v>1.9</v>
      </c>
      <c r="K823">
        <v>1.1801999999999999</v>
      </c>
      <c r="L823" s="114">
        <v>53.404049999999998</v>
      </c>
      <c r="M823" s="114">
        <v>2757.3484680000001</v>
      </c>
      <c r="N823" s="114">
        <v>2810.7525180000002</v>
      </c>
      <c r="O823" t="s">
        <v>1139</v>
      </c>
    </row>
    <row r="824" spans="1:15" x14ac:dyDescent="0.25">
      <c r="A824" t="s">
        <v>867</v>
      </c>
      <c r="B824" s="159">
        <v>45596.800000000003</v>
      </c>
      <c r="C824" s="1" t="s">
        <v>43</v>
      </c>
      <c r="D824" s="1" t="s">
        <v>25</v>
      </c>
      <c r="E824" t="s">
        <v>28</v>
      </c>
      <c r="F824" t="s">
        <v>29</v>
      </c>
      <c r="G824" s="114">
        <v>1530.24</v>
      </c>
      <c r="H824" s="1" t="s">
        <v>34</v>
      </c>
      <c r="I824" t="s">
        <v>62</v>
      </c>
      <c r="J824">
        <v>2.9</v>
      </c>
      <c r="K824">
        <v>1</v>
      </c>
      <c r="L824" s="114">
        <v>0</v>
      </c>
      <c r="M824" s="114">
        <v>0</v>
      </c>
      <c r="N824" s="114">
        <v>0</v>
      </c>
      <c r="O824" t="s">
        <v>1139</v>
      </c>
    </row>
    <row r="825" spans="1:15" x14ac:dyDescent="0.25">
      <c r="A825" t="s">
        <v>868</v>
      </c>
      <c r="B825" s="159">
        <v>45596.920138888891</v>
      </c>
      <c r="C825" s="1" t="s">
        <v>47</v>
      </c>
      <c r="D825" s="1" t="s">
        <v>25</v>
      </c>
      <c r="E825" t="s">
        <v>33</v>
      </c>
      <c r="F825" t="s">
        <v>16</v>
      </c>
      <c r="G825" s="114">
        <v>3221.03</v>
      </c>
      <c r="H825" s="1" t="s">
        <v>22</v>
      </c>
      <c r="J825">
        <v>1.9</v>
      </c>
      <c r="K825">
        <v>1</v>
      </c>
      <c r="L825" s="114">
        <v>61.2</v>
      </c>
      <c r="M825" s="114">
        <v>3159.83</v>
      </c>
      <c r="N825" s="114">
        <v>3221.0299999999997</v>
      </c>
      <c r="O825" t="s">
        <v>1139</v>
      </c>
    </row>
    <row r="826" spans="1:15" x14ac:dyDescent="0.25">
      <c r="A826" t="s">
        <v>869</v>
      </c>
      <c r="B826" s="159">
        <v>45597.239583333336</v>
      </c>
      <c r="C826" s="1" t="s">
        <v>43</v>
      </c>
      <c r="D826" s="1" t="s">
        <v>25</v>
      </c>
      <c r="E826" t="s">
        <v>33</v>
      </c>
      <c r="F826" t="s">
        <v>41</v>
      </c>
      <c r="G826" s="114">
        <v>3139.69</v>
      </c>
      <c r="H826" s="1" t="s">
        <v>22</v>
      </c>
      <c r="J826">
        <v>1.9</v>
      </c>
      <c r="K826">
        <v>1</v>
      </c>
      <c r="L826" s="114">
        <v>59.65</v>
      </c>
      <c r="M826" s="114">
        <v>3080.04</v>
      </c>
      <c r="N826" s="114">
        <v>3139.69</v>
      </c>
      <c r="O826" t="s">
        <v>1140</v>
      </c>
    </row>
    <row r="827" spans="1:15" x14ac:dyDescent="0.25">
      <c r="A827" t="s">
        <v>870</v>
      </c>
      <c r="B827" s="159">
        <v>45597.301388888889</v>
      </c>
      <c r="C827" s="1" t="s">
        <v>60</v>
      </c>
      <c r="D827" s="1" t="s">
        <v>25</v>
      </c>
      <c r="E827" t="s">
        <v>39</v>
      </c>
      <c r="F827" t="s">
        <v>41</v>
      </c>
      <c r="G827" s="114">
        <v>3443.83</v>
      </c>
      <c r="H827" s="1" t="s">
        <v>34</v>
      </c>
      <c r="I827" t="s">
        <v>35</v>
      </c>
      <c r="J827">
        <v>3.2</v>
      </c>
      <c r="K827">
        <v>1</v>
      </c>
      <c r="L827" s="114">
        <v>0</v>
      </c>
      <c r="M827" s="114">
        <v>0</v>
      </c>
      <c r="N827" s="114">
        <v>0</v>
      </c>
      <c r="O827" t="s">
        <v>1140</v>
      </c>
    </row>
    <row r="828" spans="1:15" x14ac:dyDescent="0.25">
      <c r="A828" t="s">
        <v>871</v>
      </c>
      <c r="B828" s="159">
        <v>45598.438194444447</v>
      </c>
      <c r="C828" s="1" t="s">
        <v>60</v>
      </c>
      <c r="D828" s="1" t="s">
        <v>25</v>
      </c>
      <c r="E828" t="s">
        <v>28</v>
      </c>
      <c r="F828" t="s">
        <v>21</v>
      </c>
      <c r="G828" s="114">
        <v>4394.82</v>
      </c>
      <c r="H828" s="1" t="s">
        <v>22</v>
      </c>
      <c r="J828">
        <v>2.9</v>
      </c>
      <c r="K828">
        <v>1</v>
      </c>
      <c r="L828" s="114">
        <v>127.45</v>
      </c>
      <c r="M828" s="114">
        <v>4267.37</v>
      </c>
      <c r="N828" s="114">
        <v>4394.82</v>
      </c>
      <c r="O828" t="s">
        <v>1140</v>
      </c>
    </row>
    <row r="829" spans="1:15" x14ac:dyDescent="0.25">
      <c r="A829" t="s">
        <v>872</v>
      </c>
      <c r="B829" s="159">
        <v>45599.15902777778</v>
      </c>
      <c r="C829" s="1" t="s">
        <v>37</v>
      </c>
      <c r="D829" s="1" t="s">
        <v>38</v>
      </c>
      <c r="E829" t="s">
        <v>39</v>
      </c>
      <c r="F829" t="s">
        <v>45</v>
      </c>
      <c r="G829" s="114">
        <v>3688.81</v>
      </c>
      <c r="H829" s="1" t="s">
        <v>22</v>
      </c>
      <c r="J829">
        <v>3.2</v>
      </c>
      <c r="K829">
        <v>0.23269999999999999</v>
      </c>
      <c r="L829" s="114">
        <v>27.467908000000001</v>
      </c>
      <c r="M829" s="114">
        <v>830.91817900000001</v>
      </c>
      <c r="N829" s="114">
        <v>858.38608699999997</v>
      </c>
      <c r="O829" t="s">
        <v>1140</v>
      </c>
    </row>
    <row r="830" spans="1:15" x14ac:dyDescent="0.25">
      <c r="A830" t="s">
        <v>873</v>
      </c>
      <c r="B830" s="159">
        <v>45599.529166666667</v>
      </c>
      <c r="C830" s="1" t="s">
        <v>37</v>
      </c>
      <c r="D830" s="1" t="s">
        <v>38</v>
      </c>
      <c r="E830" t="s">
        <v>44</v>
      </c>
      <c r="F830" t="s">
        <v>41</v>
      </c>
      <c r="G830" s="114">
        <v>3280.45</v>
      </c>
      <c r="H830" s="1" t="s">
        <v>22</v>
      </c>
      <c r="J830">
        <v>2.1</v>
      </c>
      <c r="K830">
        <v>0.23269999999999999</v>
      </c>
      <c r="L830" s="114">
        <v>16.030702999999999</v>
      </c>
      <c r="M830" s="114">
        <v>747.33001200000001</v>
      </c>
      <c r="N830" s="114">
        <v>763.36071500000003</v>
      </c>
      <c r="O830" t="s">
        <v>1140</v>
      </c>
    </row>
    <row r="831" spans="1:15" x14ac:dyDescent="0.25">
      <c r="A831" t="s">
        <v>874</v>
      </c>
      <c r="B831" s="159">
        <v>45600.684027777781</v>
      </c>
      <c r="C831" s="1" t="s">
        <v>13</v>
      </c>
      <c r="D831" s="1" t="s">
        <v>14</v>
      </c>
      <c r="E831" t="s">
        <v>28</v>
      </c>
      <c r="F831" t="s">
        <v>41</v>
      </c>
      <c r="G831" s="114">
        <v>204.18</v>
      </c>
      <c r="H831" s="1" t="s">
        <v>22</v>
      </c>
      <c r="J831">
        <v>2.9</v>
      </c>
      <c r="K831">
        <v>8.7400000000000005E-2</v>
      </c>
      <c r="L831" s="114">
        <v>0.51740799999999998</v>
      </c>
      <c r="M831" s="114">
        <v>17.327923999999999</v>
      </c>
      <c r="N831" s="114">
        <v>17.845331999999999</v>
      </c>
      <c r="O831" t="s">
        <v>1140</v>
      </c>
    </row>
    <row r="832" spans="1:15" x14ac:dyDescent="0.25">
      <c r="A832" t="s">
        <v>875</v>
      </c>
      <c r="B832" s="159">
        <v>45600.945833333331</v>
      </c>
      <c r="C832" s="1" t="s">
        <v>43</v>
      </c>
      <c r="D832" s="1" t="s">
        <v>25</v>
      </c>
      <c r="E832" t="s">
        <v>44</v>
      </c>
      <c r="F832" t="s">
        <v>21</v>
      </c>
      <c r="G832" s="114">
        <v>3617.75</v>
      </c>
      <c r="H832" s="1" t="s">
        <v>34</v>
      </c>
      <c r="I832" t="s">
        <v>55</v>
      </c>
      <c r="J832">
        <v>2.1</v>
      </c>
      <c r="K832">
        <v>1</v>
      </c>
      <c r="L832" s="114">
        <v>0</v>
      </c>
      <c r="M832" s="114">
        <v>0</v>
      </c>
      <c r="N832" s="114">
        <v>0</v>
      </c>
      <c r="O832" t="s">
        <v>1140</v>
      </c>
    </row>
    <row r="833" spans="1:15" x14ac:dyDescent="0.25">
      <c r="A833" t="s">
        <v>876</v>
      </c>
      <c r="B833" s="159">
        <v>45601.196527777778</v>
      </c>
      <c r="C833" s="1" t="s">
        <v>43</v>
      </c>
      <c r="D833" s="1" t="s">
        <v>25</v>
      </c>
      <c r="E833" t="s">
        <v>39</v>
      </c>
      <c r="F833" t="s">
        <v>21</v>
      </c>
      <c r="G833" s="114">
        <v>2225.2600000000002</v>
      </c>
      <c r="H833" s="1" t="s">
        <v>22</v>
      </c>
      <c r="J833">
        <v>3.2</v>
      </c>
      <c r="K833">
        <v>1</v>
      </c>
      <c r="L833" s="114">
        <v>71.209999999999994</v>
      </c>
      <c r="M833" s="114">
        <v>2154.0500000000002</v>
      </c>
      <c r="N833" s="114">
        <v>2225.2600000000002</v>
      </c>
      <c r="O833" t="s">
        <v>1140</v>
      </c>
    </row>
    <row r="834" spans="1:15" x14ac:dyDescent="0.25">
      <c r="A834" t="s">
        <v>877</v>
      </c>
      <c r="B834" s="159">
        <v>45601.334027777775</v>
      </c>
      <c r="C834" s="1" t="s">
        <v>31</v>
      </c>
      <c r="D834" s="1" t="s">
        <v>32</v>
      </c>
      <c r="E834" t="s">
        <v>44</v>
      </c>
      <c r="F834" t="s">
        <v>45</v>
      </c>
      <c r="G834" s="114">
        <v>2939.74</v>
      </c>
      <c r="H834" s="1" t="s">
        <v>22</v>
      </c>
      <c r="J834">
        <v>2.1</v>
      </c>
      <c r="K834">
        <v>1.1801999999999999</v>
      </c>
      <c r="L834" s="114">
        <v>72.853745999999987</v>
      </c>
      <c r="M834" s="114">
        <v>3396.6274020000001</v>
      </c>
      <c r="N834" s="114">
        <v>3469.4811479999998</v>
      </c>
      <c r="O834" t="s">
        <v>1140</v>
      </c>
    </row>
    <row r="835" spans="1:15" x14ac:dyDescent="0.25">
      <c r="A835" t="s">
        <v>878</v>
      </c>
      <c r="B835" s="159">
        <v>45601.850694444445</v>
      </c>
      <c r="C835" s="1" t="s">
        <v>47</v>
      </c>
      <c r="D835" s="1" t="s">
        <v>25</v>
      </c>
      <c r="E835" t="s">
        <v>15</v>
      </c>
      <c r="F835" t="s">
        <v>21</v>
      </c>
      <c r="G835" s="114">
        <v>3742</v>
      </c>
      <c r="H835" s="1" t="s">
        <v>17</v>
      </c>
      <c r="J835">
        <v>2.5</v>
      </c>
      <c r="K835">
        <v>1</v>
      </c>
      <c r="L835" s="114">
        <v>0</v>
      </c>
      <c r="M835" s="114">
        <v>0</v>
      </c>
      <c r="N835" s="114">
        <v>0</v>
      </c>
      <c r="O835" t="s">
        <v>1140</v>
      </c>
    </row>
    <row r="836" spans="1:15" x14ac:dyDescent="0.25">
      <c r="A836" t="s">
        <v>879</v>
      </c>
      <c r="B836" s="159">
        <v>45602.270138888889</v>
      </c>
      <c r="C836" s="1" t="s">
        <v>58</v>
      </c>
      <c r="D836" s="1" t="s">
        <v>25</v>
      </c>
      <c r="E836" t="s">
        <v>33</v>
      </c>
      <c r="F836" t="s">
        <v>41</v>
      </c>
      <c r="G836" s="114">
        <v>1312.93</v>
      </c>
      <c r="H836" s="1" t="s">
        <v>34</v>
      </c>
      <c r="I836" t="s">
        <v>100</v>
      </c>
      <c r="J836">
        <v>1.9</v>
      </c>
      <c r="K836">
        <v>1</v>
      </c>
      <c r="L836" s="114">
        <v>0</v>
      </c>
      <c r="M836" s="114">
        <v>0</v>
      </c>
      <c r="N836" s="114">
        <v>0</v>
      </c>
      <c r="O836" t="s">
        <v>1140</v>
      </c>
    </row>
    <row r="837" spans="1:15" x14ac:dyDescent="0.25">
      <c r="A837" t="s">
        <v>880</v>
      </c>
      <c r="B837" s="159">
        <v>45602.671527777777</v>
      </c>
      <c r="C837" s="1" t="s">
        <v>58</v>
      </c>
      <c r="D837" s="1" t="s">
        <v>25</v>
      </c>
      <c r="E837" t="s">
        <v>33</v>
      </c>
      <c r="F837" t="s">
        <v>29</v>
      </c>
      <c r="G837" s="114">
        <v>1281.07</v>
      </c>
      <c r="H837" s="1" t="s">
        <v>34</v>
      </c>
      <c r="I837" t="s">
        <v>78</v>
      </c>
      <c r="J837">
        <v>1.9</v>
      </c>
      <c r="K837">
        <v>1</v>
      </c>
      <c r="L837" s="114">
        <v>0</v>
      </c>
      <c r="M837" s="114">
        <v>0</v>
      </c>
      <c r="N837" s="114">
        <v>0</v>
      </c>
      <c r="O837" t="s">
        <v>1140</v>
      </c>
    </row>
    <row r="838" spans="1:15" x14ac:dyDescent="0.25">
      <c r="A838" t="s">
        <v>881</v>
      </c>
      <c r="B838" s="159">
        <v>45603.95</v>
      </c>
      <c r="C838" s="1" t="s">
        <v>24</v>
      </c>
      <c r="D838" s="1" t="s">
        <v>25</v>
      </c>
      <c r="E838" t="s">
        <v>39</v>
      </c>
      <c r="F838" t="s">
        <v>16</v>
      </c>
      <c r="G838" s="114">
        <v>4818.33</v>
      </c>
      <c r="H838" s="1" t="s">
        <v>22</v>
      </c>
      <c r="J838">
        <v>3.2</v>
      </c>
      <c r="K838">
        <v>1</v>
      </c>
      <c r="L838" s="114">
        <v>154.19</v>
      </c>
      <c r="M838" s="114">
        <v>4664.1400000000003</v>
      </c>
      <c r="N838" s="114">
        <v>4818.33</v>
      </c>
      <c r="O838" t="s">
        <v>1140</v>
      </c>
    </row>
    <row r="839" spans="1:15" x14ac:dyDescent="0.25">
      <c r="A839" t="s">
        <v>882</v>
      </c>
      <c r="B839" s="159">
        <v>45604.408333333333</v>
      </c>
      <c r="C839" s="1" t="s">
        <v>43</v>
      </c>
      <c r="D839" s="1" t="s">
        <v>25</v>
      </c>
      <c r="E839" t="s">
        <v>44</v>
      </c>
      <c r="F839" t="s">
        <v>45</v>
      </c>
      <c r="G839" s="114">
        <v>1203.45</v>
      </c>
      <c r="H839" s="1" t="s">
        <v>34</v>
      </c>
      <c r="I839" t="s">
        <v>35</v>
      </c>
      <c r="J839">
        <v>2.1</v>
      </c>
      <c r="K839">
        <v>1</v>
      </c>
      <c r="L839" s="114">
        <v>0</v>
      </c>
      <c r="M839" s="114">
        <v>0</v>
      </c>
      <c r="N839" s="114">
        <v>0</v>
      </c>
      <c r="O839" t="s">
        <v>1140</v>
      </c>
    </row>
    <row r="840" spans="1:15" x14ac:dyDescent="0.25">
      <c r="A840" t="s">
        <v>883</v>
      </c>
      <c r="B840" s="159">
        <v>45604.89166666667</v>
      </c>
      <c r="C840" s="1" t="s">
        <v>37</v>
      </c>
      <c r="D840" s="1" t="s">
        <v>38</v>
      </c>
      <c r="E840" t="s">
        <v>28</v>
      </c>
      <c r="F840" t="s">
        <v>16</v>
      </c>
      <c r="G840" s="114">
        <v>4256.25</v>
      </c>
      <c r="H840" s="1" t="s">
        <v>22</v>
      </c>
      <c r="J840">
        <v>2.9</v>
      </c>
      <c r="K840">
        <v>0.23269999999999999</v>
      </c>
      <c r="L840" s="114">
        <v>28.722161</v>
      </c>
      <c r="M840" s="114">
        <v>961.70721399999991</v>
      </c>
      <c r="N840" s="114">
        <v>990.42937499999994</v>
      </c>
      <c r="O840" t="s">
        <v>1140</v>
      </c>
    </row>
    <row r="841" spans="1:15" x14ac:dyDescent="0.25">
      <c r="A841" t="s">
        <v>884</v>
      </c>
      <c r="B841" s="159">
        <v>45605.086111111108</v>
      </c>
      <c r="C841" s="1" t="s">
        <v>47</v>
      </c>
      <c r="D841" s="1" t="s">
        <v>25</v>
      </c>
      <c r="E841" t="s">
        <v>15</v>
      </c>
      <c r="F841" t="s">
        <v>16</v>
      </c>
      <c r="G841" s="114">
        <v>2633.22</v>
      </c>
      <c r="H841" s="1" t="s">
        <v>34</v>
      </c>
      <c r="I841" t="s">
        <v>100</v>
      </c>
      <c r="J841">
        <v>2.5</v>
      </c>
      <c r="K841">
        <v>1</v>
      </c>
      <c r="L841" s="114">
        <v>0</v>
      </c>
      <c r="M841" s="114">
        <v>0</v>
      </c>
      <c r="N841" s="114">
        <v>0</v>
      </c>
      <c r="O841" t="s">
        <v>1140</v>
      </c>
    </row>
    <row r="842" spans="1:15" x14ac:dyDescent="0.25">
      <c r="A842" t="s">
        <v>885</v>
      </c>
      <c r="B842" s="159">
        <v>45605.224999999999</v>
      </c>
      <c r="C842" s="1" t="s">
        <v>13</v>
      </c>
      <c r="D842" s="1" t="s">
        <v>14</v>
      </c>
      <c r="E842" t="s">
        <v>15</v>
      </c>
      <c r="F842" t="s">
        <v>41</v>
      </c>
      <c r="G842" s="114">
        <v>3843.62</v>
      </c>
      <c r="H842" s="1" t="s">
        <v>22</v>
      </c>
      <c r="J842">
        <v>2.5</v>
      </c>
      <c r="K842">
        <v>8.7400000000000005E-2</v>
      </c>
      <c r="L842" s="114">
        <v>8.3982660000000013</v>
      </c>
      <c r="M842" s="114">
        <v>327.53412200000002</v>
      </c>
      <c r="N842" s="114">
        <v>335.932388</v>
      </c>
      <c r="O842" t="s">
        <v>1140</v>
      </c>
    </row>
    <row r="843" spans="1:15" x14ac:dyDescent="0.25">
      <c r="A843" t="s">
        <v>886</v>
      </c>
      <c r="B843" s="159">
        <v>45605.34097222222</v>
      </c>
      <c r="C843" s="1" t="s">
        <v>13</v>
      </c>
      <c r="D843" s="1" t="s">
        <v>14</v>
      </c>
      <c r="E843" t="s">
        <v>39</v>
      </c>
      <c r="F843" t="s">
        <v>29</v>
      </c>
      <c r="G843" s="114">
        <v>1354.35</v>
      </c>
      <c r="H843" s="1" t="s">
        <v>17</v>
      </c>
      <c r="J843">
        <v>3.2</v>
      </c>
      <c r="K843">
        <v>8.7400000000000005E-2</v>
      </c>
      <c r="L843" s="114">
        <v>0</v>
      </c>
      <c r="M843" s="114">
        <v>0</v>
      </c>
      <c r="N843" s="114">
        <v>0</v>
      </c>
      <c r="O843" t="s">
        <v>1140</v>
      </c>
    </row>
    <row r="844" spans="1:15" x14ac:dyDescent="0.25">
      <c r="A844" t="s">
        <v>887</v>
      </c>
      <c r="B844" s="159">
        <v>45605.405555555553</v>
      </c>
      <c r="C844" s="1" t="s">
        <v>43</v>
      </c>
      <c r="D844" s="1" t="s">
        <v>25</v>
      </c>
      <c r="E844" t="s">
        <v>44</v>
      </c>
      <c r="F844" t="s">
        <v>41</v>
      </c>
      <c r="G844" s="114">
        <v>687.28</v>
      </c>
      <c r="H844" s="1" t="s">
        <v>22</v>
      </c>
      <c r="J844">
        <v>2.1</v>
      </c>
      <c r="K844">
        <v>1</v>
      </c>
      <c r="L844" s="114">
        <v>14.43</v>
      </c>
      <c r="M844" s="114">
        <v>672.85</v>
      </c>
      <c r="N844" s="114">
        <v>687.28</v>
      </c>
      <c r="O844" t="s">
        <v>1140</v>
      </c>
    </row>
    <row r="845" spans="1:15" x14ac:dyDescent="0.25">
      <c r="A845" t="s">
        <v>888</v>
      </c>
      <c r="B845" s="159">
        <v>45606.301388888889</v>
      </c>
      <c r="C845" s="1" t="s">
        <v>27</v>
      </c>
      <c r="D845" s="1" t="s">
        <v>25</v>
      </c>
      <c r="E845" t="s">
        <v>15</v>
      </c>
      <c r="F845" t="s">
        <v>29</v>
      </c>
      <c r="G845" s="114">
        <v>2280.34</v>
      </c>
      <c r="H845" s="1" t="s">
        <v>17</v>
      </c>
      <c r="J845">
        <v>2.5</v>
      </c>
      <c r="K845">
        <v>1</v>
      </c>
      <c r="L845" s="114">
        <v>0</v>
      </c>
      <c r="M845" s="114">
        <v>0</v>
      </c>
      <c r="N845" s="114">
        <v>0</v>
      </c>
      <c r="O845" t="s">
        <v>1140</v>
      </c>
    </row>
    <row r="846" spans="1:15" x14ac:dyDescent="0.25">
      <c r="A846" t="s">
        <v>889</v>
      </c>
      <c r="B846" s="159">
        <v>45606.837500000001</v>
      </c>
      <c r="C846" s="1" t="s">
        <v>43</v>
      </c>
      <c r="D846" s="1" t="s">
        <v>25</v>
      </c>
      <c r="E846" t="s">
        <v>39</v>
      </c>
      <c r="F846" t="s">
        <v>41</v>
      </c>
      <c r="G846" s="114">
        <v>183.96</v>
      </c>
      <c r="H846" s="1" t="s">
        <v>22</v>
      </c>
      <c r="J846">
        <v>3.2</v>
      </c>
      <c r="K846">
        <v>1</v>
      </c>
      <c r="L846" s="114">
        <v>5.89</v>
      </c>
      <c r="M846" s="114">
        <v>178.07</v>
      </c>
      <c r="N846" s="114">
        <v>183.95999999999998</v>
      </c>
      <c r="O846" t="s">
        <v>1140</v>
      </c>
    </row>
    <row r="847" spans="1:15" x14ac:dyDescent="0.25">
      <c r="A847" t="s">
        <v>890</v>
      </c>
      <c r="B847" s="159">
        <v>45607.47152777778</v>
      </c>
      <c r="C847" s="1" t="s">
        <v>37</v>
      </c>
      <c r="D847" s="1" t="s">
        <v>38</v>
      </c>
      <c r="E847" t="s">
        <v>44</v>
      </c>
      <c r="F847" t="s">
        <v>45</v>
      </c>
      <c r="G847" s="114">
        <v>401.94</v>
      </c>
      <c r="H847" s="1" t="s">
        <v>34</v>
      </c>
      <c r="I847" t="s">
        <v>100</v>
      </c>
      <c r="J847">
        <v>2.1</v>
      </c>
      <c r="K847">
        <v>0.23269999999999999</v>
      </c>
      <c r="L847" s="114">
        <v>0</v>
      </c>
      <c r="M847" s="114">
        <v>0</v>
      </c>
      <c r="N847" s="114">
        <v>0</v>
      </c>
      <c r="O847" t="s">
        <v>1140</v>
      </c>
    </row>
    <row r="848" spans="1:15" x14ac:dyDescent="0.25">
      <c r="A848" t="s">
        <v>891</v>
      </c>
      <c r="B848" s="159">
        <v>45607.55972222222</v>
      </c>
      <c r="C848" s="1" t="s">
        <v>60</v>
      </c>
      <c r="D848" s="1" t="s">
        <v>25</v>
      </c>
      <c r="E848" t="s">
        <v>39</v>
      </c>
      <c r="F848" t="s">
        <v>21</v>
      </c>
      <c r="G848" s="114">
        <v>2806.47</v>
      </c>
      <c r="H848" s="1" t="s">
        <v>22</v>
      </c>
      <c r="J848">
        <v>3.2</v>
      </c>
      <c r="K848">
        <v>1</v>
      </c>
      <c r="L848" s="114">
        <v>89.81</v>
      </c>
      <c r="M848" s="114">
        <v>2716.66</v>
      </c>
      <c r="N848" s="114">
        <v>2806.47</v>
      </c>
      <c r="O848" t="s">
        <v>1140</v>
      </c>
    </row>
    <row r="849" spans="1:15" x14ac:dyDescent="0.25">
      <c r="A849" t="s">
        <v>892</v>
      </c>
      <c r="B849" s="159">
        <v>45607.742361111108</v>
      </c>
      <c r="C849" s="1" t="s">
        <v>43</v>
      </c>
      <c r="D849" s="1" t="s">
        <v>25</v>
      </c>
      <c r="E849" t="s">
        <v>15</v>
      </c>
      <c r="F849" t="s">
        <v>16</v>
      </c>
      <c r="G849" s="114">
        <v>4130.42</v>
      </c>
      <c r="H849" s="1" t="s">
        <v>17</v>
      </c>
      <c r="J849">
        <v>2.5</v>
      </c>
      <c r="K849">
        <v>1</v>
      </c>
      <c r="L849" s="114">
        <v>0</v>
      </c>
      <c r="M849" s="114">
        <v>0</v>
      </c>
      <c r="N849" s="114">
        <v>0</v>
      </c>
      <c r="O849" t="s">
        <v>1140</v>
      </c>
    </row>
    <row r="850" spans="1:15" x14ac:dyDescent="0.25">
      <c r="A850" t="s">
        <v>893</v>
      </c>
      <c r="B850" s="159">
        <v>45607.763194444444</v>
      </c>
      <c r="C850" s="1" t="s">
        <v>58</v>
      </c>
      <c r="D850" s="1" t="s">
        <v>25</v>
      </c>
      <c r="E850" t="s">
        <v>33</v>
      </c>
      <c r="F850" t="s">
        <v>41</v>
      </c>
      <c r="G850" s="114">
        <v>1526.34</v>
      </c>
      <c r="H850" s="1" t="s">
        <v>22</v>
      </c>
      <c r="J850">
        <v>1.9</v>
      </c>
      <c r="K850">
        <v>1</v>
      </c>
      <c r="L850" s="114">
        <v>29</v>
      </c>
      <c r="M850" s="114">
        <v>1497.34</v>
      </c>
      <c r="N850" s="114">
        <v>1526.34</v>
      </c>
      <c r="O850" t="s">
        <v>1140</v>
      </c>
    </row>
    <row r="851" spans="1:15" x14ac:dyDescent="0.25">
      <c r="A851" t="s">
        <v>894</v>
      </c>
      <c r="B851" s="159">
        <v>45608.821527777778</v>
      </c>
      <c r="C851" s="1" t="s">
        <v>58</v>
      </c>
      <c r="D851" s="1" t="s">
        <v>25</v>
      </c>
      <c r="E851" t="s">
        <v>28</v>
      </c>
      <c r="F851" t="s">
        <v>16</v>
      </c>
      <c r="G851" s="114">
        <v>4448.9799999999996</v>
      </c>
      <c r="H851" s="1" t="s">
        <v>22</v>
      </c>
      <c r="J851">
        <v>2.9</v>
      </c>
      <c r="K851">
        <v>1</v>
      </c>
      <c r="L851" s="114">
        <v>129.02000000000001</v>
      </c>
      <c r="M851" s="114">
        <v>4319.96</v>
      </c>
      <c r="N851" s="114">
        <v>4448.9800000000005</v>
      </c>
      <c r="O851" t="s">
        <v>1140</v>
      </c>
    </row>
    <row r="852" spans="1:15" x14ac:dyDescent="0.25">
      <c r="A852" t="s">
        <v>895</v>
      </c>
      <c r="B852" s="159">
        <v>45609.315972222219</v>
      </c>
      <c r="C852" s="1" t="s">
        <v>27</v>
      </c>
      <c r="D852" s="1" t="s">
        <v>25</v>
      </c>
      <c r="E852" t="s">
        <v>15</v>
      </c>
      <c r="F852" t="s">
        <v>16</v>
      </c>
      <c r="G852" s="114">
        <v>339.64</v>
      </c>
      <c r="H852" s="1" t="s">
        <v>22</v>
      </c>
      <c r="J852">
        <v>2.5</v>
      </c>
      <c r="K852">
        <v>1</v>
      </c>
      <c r="L852" s="114">
        <v>8.49</v>
      </c>
      <c r="M852" s="114">
        <v>331.15</v>
      </c>
      <c r="N852" s="114">
        <v>339.64</v>
      </c>
      <c r="O852" t="s">
        <v>1140</v>
      </c>
    </row>
    <row r="853" spans="1:15" x14ac:dyDescent="0.25">
      <c r="A853" t="s">
        <v>896</v>
      </c>
      <c r="B853" s="159">
        <v>45609.438194444447</v>
      </c>
      <c r="C853" s="1" t="s">
        <v>19</v>
      </c>
      <c r="D853" s="1" t="s">
        <v>20</v>
      </c>
      <c r="E853" t="s">
        <v>39</v>
      </c>
      <c r="F853" t="s">
        <v>16</v>
      </c>
      <c r="G853" s="114">
        <v>922.53</v>
      </c>
      <c r="H853" s="1" t="s">
        <v>17</v>
      </c>
      <c r="J853">
        <v>3.2</v>
      </c>
      <c r="K853">
        <v>8.5999999999999993E-2</v>
      </c>
      <c r="L853" s="114">
        <v>0</v>
      </c>
      <c r="M853" s="114">
        <v>0</v>
      </c>
      <c r="N853" s="114">
        <v>0</v>
      </c>
      <c r="O853" t="s">
        <v>1140</v>
      </c>
    </row>
    <row r="854" spans="1:15" x14ac:dyDescent="0.25">
      <c r="A854" t="s">
        <v>897</v>
      </c>
      <c r="B854" s="159">
        <v>45609.535416666666</v>
      </c>
      <c r="C854" s="1" t="s">
        <v>37</v>
      </c>
      <c r="D854" s="1" t="s">
        <v>38</v>
      </c>
      <c r="E854" t="s">
        <v>15</v>
      </c>
      <c r="F854" t="s">
        <v>21</v>
      </c>
      <c r="G854" s="114">
        <v>2158.77</v>
      </c>
      <c r="H854" s="1" t="s">
        <v>17</v>
      </c>
      <c r="J854">
        <v>2.5</v>
      </c>
      <c r="K854">
        <v>0.23269999999999999</v>
      </c>
      <c r="L854" s="114">
        <v>0</v>
      </c>
      <c r="M854" s="114">
        <v>0</v>
      </c>
      <c r="N854" s="114">
        <v>0</v>
      </c>
      <c r="O854" t="s">
        <v>1140</v>
      </c>
    </row>
    <row r="855" spans="1:15" x14ac:dyDescent="0.25">
      <c r="A855" t="s">
        <v>898</v>
      </c>
      <c r="B855" s="159">
        <v>45609.620138888888</v>
      </c>
      <c r="C855" s="1" t="s">
        <v>24</v>
      </c>
      <c r="D855" s="1" t="s">
        <v>25</v>
      </c>
      <c r="E855" t="s">
        <v>39</v>
      </c>
      <c r="F855" t="s">
        <v>45</v>
      </c>
      <c r="G855" s="114">
        <v>2737.61</v>
      </c>
      <c r="H855" s="1" t="s">
        <v>17</v>
      </c>
      <c r="J855">
        <v>3.2</v>
      </c>
      <c r="K855">
        <v>1</v>
      </c>
      <c r="L855" s="114">
        <v>0</v>
      </c>
      <c r="M855" s="114">
        <v>0</v>
      </c>
      <c r="N855" s="114">
        <v>0</v>
      </c>
      <c r="O855" t="s">
        <v>1140</v>
      </c>
    </row>
    <row r="856" spans="1:15" x14ac:dyDescent="0.25">
      <c r="A856" t="s">
        <v>899</v>
      </c>
      <c r="B856" s="159">
        <v>45610.652777777781</v>
      </c>
      <c r="C856" s="1" t="s">
        <v>43</v>
      </c>
      <c r="D856" s="1" t="s">
        <v>25</v>
      </c>
      <c r="E856" t="s">
        <v>28</v>
      </c>
      <c r="F856" t="s">
        <v>29</v>
      </c>
      <c r="G856" s="114">
        <v>1342.61</v>
      </c>
      <c r="H856" s="1" t="s">
        <v>22</v>
      </c>
      <c r="J856">
        <v>2.9</v>
      </c>
      <c r="K856">
        <v>1</v>
      </c>
      <c r="L856" s="114">
        <v>38.94</v>
      </c>
      <c r="M856" s="114">
        <v>1303.67</v>
      </c>
      <c r="N856" s="114">
        <v>1342.6100000000001</v>
      </c>
      <c r="O856" t="s">
        <v>1140</v>
      </c>
    </row>
    <row r="857" spans="1:15" x14ac:dyDescent="0.25">
      <c r="A857" t="s">
        <v>900</v>
      </c>
      <c r="B857" s="159">
        <v>45610.79583333333</v>
      </c>
      <c r="C857" s="1" t="s">
        <v>31</v>
      </c>
      <c r="D857" s="1" t="s">
        <v>32</v>
      </c>
      <c r="E857" t="s">
        <v>33</v>
      </c>
      <c r="F857" t="s">
        <v>16</v>
      </c>
      <c r="G857" s="114">
        <v>3965.73</v>
      </c>
      <c r="H857" s="1" t="s">
        <v>22</v>
      </c>
      <c r="J857">
        <v>1.9</v>
      </c>
      <c r="K857">
        <v>1.1801999999999999</v>
      </c>
      <c r="L857" s="114">
        <v>88.928069999999991</v>
      </c>
      <c r="M857" s="114">
        <v>4591.4264759999996</v>
      </c>
      <c r="N857" s="114">
        <v>4680.3545459999996</v>
      </c>
      <c r="O857" t="s">
        <v>1140</v>
      </c>
    </row>
    <row r="858" spans="1:15" x14ac:dyDescent="0.25">
      <c r="A858" t="s">
        <v>901</v>
      </c>
      <c r="B858" s="159">
        <v>45610.822222222225</v>
      </c>
      <c r="C858" s="1" t="s">
        <v>27</v>
      </c>
      <c r="D858" s="1" t="s">
        <v>25</v>
      </c>
      <c r="E858" t="s">
        <v>15</v>
      </c>
      <c r="F858" t="s">
        <v>41</v>
      </c>
      <c r="G858" s="114">
        <v>2562.81</v>
      </c>
      <c r="H858" s="1" t="s">
        <v>17</v>
      </c>
      <c r="J858">
        <v>2.5</v>
      </c>
      <c r="K858">
        <v>1</v>
      </c>
      <c r="L858" s="114">
        <v>0</v>
      </c>
      <c r="M858" s="114">
        <v>0</v>
      </c>
      <c r="N858" s="114">
        <v>0</v>
      </c>
      <c r="O858" t="s">
        <v>1140</v>
      </c>
    </row>
    <row r="859" spans="1:15" x14ac:dyDescent="0.25">
      <c r="A859" t="s">
        <v>902</v>
      </c>
      <c r="B859" s="159">
        <v>45611.347916666666</v>
      </c>
      <c r="C859" s="1" t="s">
        <v>27</v>
      </c>
      <c r="D859" s="1" t="s">
        <v>25</v>
      </c>
      <c r="E859" t="s">
        <v>44</v>
      </c>
      <c r="F859" t="s">
        <v>29</v>
      </c>
      <c r="G859" s="114">
        <v>400.32</v>
      </c>
      <c r="H859" s="1" t="s">
        <v>17</v>
      </c>
      <c r="J859">
        <v>2.1</v>
      </c>
      <c r="K859">
        <v>1</v>
      </c>
      <c r="L859" s="114">
        <v>0</v>
      </c>
      <c r="M859" s="114">
        <v>0</v>
      </c>
      <c r="N859" s="114">
        <v>0</v>
      </c>
      <c r="O859" t="s">
        <v>1140</v>
      </c>
    </row>
    <row r="860" spans="1:15" x14ac:dyDescent="0.25">
      <c r="A860" t="s">
        <v>903</v>
      </c>
      <c r="B860" s="159">
        <v>45611.934027777781</v>
      </c>
      <c r="C860" s="1" t="s">
        <v>31</v>
      </c>
      <c r="D860" s="1" t="s">
        <v>32</v>
      </c>
      <c r="E860" t="s">
        <v>39</v>
      </c>
      <c r="F860" t="s">
        <v>45</v>
      </c>
      <c r="G860" s="114">
        <v>1906.25</v>
      </c>
      <c r="H860" s="1" t="s">
        <v>22</v>
      </c>
      <c r="J860">
        <v>3.2</v>
      </c>
      <c r="K860">
        <v>1.1801999999999999</v>
      </c>
      <c r="L860" s="114">
        <v>71.992199999999997</v>
      </c>
      <c r="M860" s="114">
        <v>2177.7640499999998</v>
      </c>
      <c r="N860" s="114">
        <v>2249.7562499999999</v>
      </c>
      <c r="O860" t="s">
        <v>1140</v>
      </c>
    </row>
    <row r="861" spans="1:15" x14ac:dyDescent="0.25">
      <c r="A861" t="s">
        <v>904</v>
      </c>
      <c r="B861" s="159">
        <v>45612.092361111114</v>
      </c>
      <c r="C861" s="1" t="s">
        <v>24</v>
      </c>
      <c r="D861" s="1" t="s">
        <v>25</v>
      </c>
      <c r="E861" t="s">
        <v>15</v>
      </c>
      <c r="F861" t="s">
        <v>41</v>
      </c>
      <c r="G861" s="114">
        <v>1035.8399999999999</v>
      </c>
      <c r="H861" s="1" t="s">
        <v>34</v>
      </c>
      <c r="I861" t="s">
        <v>78</v>
      </c>
      <c r="J861">
        <v>2.5</v>
      </c>
      <c r="K861">
        <v>1</v>
      </c>
      <c r="L861" s="114">
        <v>0</v>
      </c>
      <c r="M861" s="114">
        <v>0</v>
      </c>
      <c r="N861" s="114">
        <v>0</v>
      </c>
      <c r="O861" t="s">
        <v>1140</v>
      </c>
    </row>
    <row r="862" spans="1:15" x14ac:dyDescent="0.25">
      <c r="A862" t="s">
        <v>905</v>
      </c>
      <c r="B862" s="159">
        <v>45612.213194444441</v>
      </c>
      <c r="C862" s="1" t="s">
        <v>27</v>
      </c>
      <c r="D862" s="1" t="s">
        <v>25</v>
      </c>
      <c r="E862" t="s">
        <v>44</v>
      </c>
      <c r="F862" t="s">
        <v>41</v>
      </c>
      <c r="G862" s="114">
        <v>3116.58</v>
      </c>
      <c r="H862" s="1" t="s">
        <v>22</v>
      </c>
      <c r="J862">
        <v>2.1</v>
      </c>
      <c r="K862">
        <v>1</v>
      </c>
      <c r="L862" s="114">
        <v>65.45</v>
      </c>
      <c r="M862" s="114">
        <v>3051.13</v>
      </c>
      <c r="N862" s="114">
        <v>3116.58</v>
      </c>
      <c r="O862" t="s">
        <v>1140</v>
      </c>
    </row>
    <row r="863" spans="1:15" x14ac:dyDescent="0.25">
      <c r="A863" t="s">
        <v>906</v>
      </c>
      <c r="B863" s="159">
        <v>45612.433333333334</v>
      </c>
      <c r="C863" s="1" t="s">
        <v>31</v>
      </c>
      <c r="D863" s="1" t="s">
        <v>32</v>
      </c>
      <c r="E863" t="s">
        <v>15</v>
      </c>
      <c r="F863" t="s">
        <v>21</v>
      </c>
      <c r="G863" s="114">
        <v>4959.8100000000004</v>
      </c>
      <c r="H863" s="1" t="s">
        <v>34</v>
      </c>
      <c r="I863" t="s">
        <v>62</v>
      </c>
      <c r="J863">
        <v>2.5</v>
      </c>
      <c r="K863">
        <v>1.1801999999999999</v>
      </c>
      <c r="L863" s="114">
        <v>0</v>
      </c>
      <c r="M863" s="114">
        <v>0</v>
      </c>
      <c r="N863" s="114">
        <v>0</v>
      </c>
      <c r="O863" t="s">
        <v>1140</v>
      </c>
    </row>
    <row r="864" spans="1:15" x14ac:dyDescent="0.25">
      <c r="A864" t="s">
        <v>907</v>
      </c>
      <c r="B864" s="159">
        <v>45612.828472222223</v>
      </c>
      <c r="C864" s="1" t="s">
        <v>47</v>
      </c>
      <c r="D864" s="1" t="s">
        <v>25</v>
      </c>
      <c r="E864" t="s">
        <v>15</v>
      </c>
      <c r="F864" t="s">
        <v>45</v>
      </c>
      <c r="G864" s="114">
        <v>2755.3</v>
      </c>
      <c r="H864" s="1" t="s">
        <v>22</v>
      </c>
      <c r="J864">
        <v>2.5</v>
      </c>
      <c r="K864">
        <v>1</v>
      </c>
      <c r="L864" s="114">
        <v>68.88</v>
      </c>
      <c r="M864" s="114">
        <v>2686.42</v>
      </c>
      <c r="N864" s="114">
        <v>2755.3</v>
      </c>
      <c r="O864" t="s">
        <v>1140</v>
      </c>
    </row>
    <row r="865" spans="1:15" x14ac:dyDescent="0.25">
      <c r="A865" t="s">
        <v>908</v>
      </c>
      <c r="B865" s="159">
        <v>45612.893750000003</v>
      </c>
      <c r="C865" s="1" t="s">
        <v>13</v>
      </c>
      <c r="D865" s="1" t="s">
        <v>14</v>
      </c>
      <c r="E865" t="s">
        <v>15</v>
      </c>
      <c r="F865" t="s">
        <v>41</v>
      </c>
      <c r="G865" s="114">
        <v>4861.7299999999996</v>
      </c>
      <c r="H865" s="1" t="s">
        <v>34</v>
      </c>
      <c r="I865" t="s">
        <v>100</v>
      </c>
      <c r="J865">
        <v>2.5</v>
      </c>
      <c r="K865">
        <v>8.7400000000000005E-2</v>
      </c>
      <c r="L865" s="114">
        <v>0</v>
      </c>
      <c r="M865" s="114">
        <v>0</v>
      </c>
      <c r="N865" s="114">
        <v>0</v>
      </c>
      <c r="O865" t="s">
        <v>1140</v>
      </c>
    </row>
    <row r="866" spans="1:15" x14ac:dyDescent="0.25">
      <c r="A866" t="s">
        <v>909</v>
      </c>
      <c r="B866" s="159">
        <v>45613.681944444441</v>
      </c>
      <c r="C866" s="1" t="s">
        <v>31</v>
      </c>
      <c r="D866" s="1" t="s">
        <v>32</v>
      </c>
      <c r="E866" t="s">
        <v>28</v>
      </c>
      <c r="F866" t="s">
        <v>41</v>
      </c>
      <c r="G866" s="114">
        <v>2249.1999999999998</v>
      </c>
      <c r="H866" s="1" t="s">
        <v>17</v>
      </c>
      <c r="J866">
        <v>2.9</v>
      </c>
      <c r="K866">
        <v>1.1801999999999999</v>
      </c>
      <c r="L866" s="114">
        <v>0</v>
      </c>
      <c r="M866" s="114">
        <v>0</v>
      </c>
      <c r="N866" s="114">
        <v>0</v>
      </c>
      <c r="O866" t="s">
        <v>1140</v>
      </c>
    </row>
    <row r="867" spans="1:15" x14ac:dyDescent="0.25">
      <c r="A867" t="s">
        <v>910</v>
      </c>
      <c r="B867" s="159">
        <v>45613.834722222222</v>
      </c>
      <c r="C867" s="1" t="s">
        <v>47</v>
      </c>
      <c r="D867" s="1" t="s">
        <v>25</v>
      </c>
      <c r="E867" t="s">
        <v>15</v>
      </c>
      <c r="F867" t="s">
        <v>41</v>
      </c>
      <c r="G867" s="114">
        <v>2902.07</v>
      </c>
      <c r="H867" s="1" t="s">
        <v>22</v>
      </c>
      <c r="J867">
        <v>2.5</v>
      </c>
      <c r="K867">
        <v>1</v>
      </c>
      <c r="L867" s="114">
        <v>72.55</v>
      </c>
      <c r="M867" s="114">
        <v>2829.52</v>
      </c>
      <c r="N867" s="114">
        <v>2902.07</v>
      </c>
      <c r="O867" t="s">
        <v>1140</v>
      </c>
    </row>
    <row r="868" spans="1:15" x14ac:dyDescent="0.25">
      <c r="A868" t="s">
        <v>911</v>
      </c>
      <c r="B868" s="159">
        <v>45614.618055555555</v>
      </c>
      <c r="C868" s="1" t="s">
        <v>27</v>
      </c>
      <c r="D868" s="1" t="s">
        <v>25</v>
      </c>
      <c r="E868" t="s">
        <v>28</v>
      </c>
      <c r="F868" t="s">
        <v>16</v>
      </c>
      <c r="G868" s="114">
        <v>1008.38</v>
      </c>
      <c r="H868" s="1" t="s">
        <v>22</v>
      </c>
      <c r="J868">
        <v>2.9</v>
      </c>
      <c r="K868">
        <v>1</v>
      </c>
      <c r="L868" s="114">
        <v>29.24</v>
      </c>
      <c r="M868" s="114">
        <v>979.14</v>
      </c>
      <c r="N868" s="114">
        <v>1008.38</v>
      </c>
      <c r="O868" t="s">
        <v>1140</v>
      </c>
    </row>
    <row r="869" spans="1:15" x14ac:dyDescent="0.25">
      <c r="A869" t="s">
        <v>912</v>
      </c>
      <c r="B869" s="159">
        <v>45615.409722222219</v>
      </c>
      <c r="C869" s="1" t="s">
        <v>47</v>
      </c>
      <c r="D869" s="1" t="s">
        <v>25</v>
      </c>
      <c r="E869" t="s">
        <v>33</v>
      </c>
      <c r="F869" t="s">
        <v>41</v>
      </c>
      <c r="G869" s="114">
        <v>1766.19</v>
      </c>
      <c r="H869" s="1" t="s">
        <v>22</v>
      </c>
      <c r="J869">
        <v>1.9</v>
      </c>
      <c r="K869">
        <v>1</v>
      </c>
      <c r="L869" s="114">
        <v>33.56</v>
      </c>
      <c r="M869" s="114">
        <v>1732.63</v>
      </c>
      <c r="N869" s="114">
        <v>1766.19</v>
      </c>
      <c r="O869" t="s">
        <v>1140</v>
      </c>
    </row>
    <row r="870" spans="1:15" x14ac:dyDescent="0.25">
      <c r="A870" t="s">
        <v>913</v>
      </c>
      <c r="B870" s="159">
        <v>45615.455555555556</v>
      </c>
      <c r="C870" s="1" t="s">
        <v>58</v>
      </c>
      <c r="D870" s="1" t="s">
        <v>25</v>
      </c>
      <c r="E870" t="s">
        <v>28</v>
      </c>
      <c r="F870" t="s">
        <v>21</v>
      </c>
      <c r="G870" s="114">
        <v>4333.5600000000004</v>
      </c>
      <c r="H870" s="1" t="s">
        <v>34</v>
      </c>
      <c r="I870" t="s">
        <v>55</v>
      </c>
      <c r="J870">
        <v>2.9</v>
      </c>
      <c r="K870">
        <v>1</v>
      </c>
      <c r="L870" s="114">
        <v>0</v>
      </c>
      <c r="M870" s="114">
        <v>0</v>
      </c>
      <c r="N870" s="114">
        <v>0</v>
      </c>
      <c r="O870" t="s">
        <v>1140</v>
      </c>
    </row>
    <row r="871" spans="1:15" x14ac:dyDescent="0.25">
      <c r="A871" t="s">
        <v>914</v>
      </c>
      <c r="B871" s="159">
        <v>45616.321527777778</v>
      </c>
      <c r="C871" s="1" t="s">
        <v>24</v>
      </c>
      <c r="D871" s="1" t="s">
        <v>25</v>
      </c>
      <c r="E871" t="s">
        <v>39</v>
      </c>
      <c r="F871" t="s">
        <v>16</v>
      </c>
      <c r="G871" s="114">
        <v>4777.67</v>
      </c>
      <c r="H871" s="1" t="s">
        <v>17</v>
      </c>
      <c r="J871">
        <v>3.2</v>
      </c>
      <c r="K871">
        <v>1</v>
      </c>
      <c r="L871" s="114">
        <v>0</v>
      </c>
      <c r="M871" s="114">
        <v>0</v>
      </c>
      <c r="N871" s="114">
        <v>0</v>
      </c>
      <c r="O871" t="s">
        <v>1140</v>
      </c>
    </row>
    <row r="872" spans="1:15" x14ac:dyDescent="0.25">
      <c r="A872" t="s">
        <v>915</v>
      </c>
      <c r="B872" s="159">
        <v>45617.561111111114</v>
      </c>
      <c r="C872" s="1" t="s">
        <v>43</v>
      </c>
      <c r="D872" s="1" t="s">
        <v>25</v>
      </c>
      <c r="E872" t="s">
        <v>15</v>
      </c>
      <c r="F872" t="s">
        <v>29</v>
      </c>
      <c r="G872" s="114">
        <v>730.29</v>
      </c>
      <c r="H872" s="1" t="s">
        <v>22</v>
      </c>
      <c r="J872">
        <v>2.5</v>
      </c>
      <c r="K872">
        <v>1</v>
      </c>
      <c r="L872" s="114">
        <v>18.260000000000002</v>
      </c>
      <c r="M872" s="114">
        <v>712.03</v>
      </c>
      <c r="N872" s="114">
        <v>730.29</v>
      </c>
      <c r="O872" t="s">
        <v>1140</v>
      </c>
    </row>
    <row r="873" spans="1:15" x14ac:dyDescent="0.25">
      <c r="A873" t="s">
        <v>916</v>
      </c>
      <c r="B873" s="159">
        <v>45618.378472222219</v>
      </c>
      <c r="C873" s="1" t="s">
        <v>43</v>
      </c>
      <c r="D873" s="1" t="s">
        <v>25</v>
      </c>
      <c r="E873" t="s">
        <v>28</v>
      </c>
      <c r="F873" t="s">
        <v>21</v>
      </c>
      <c r="G873" s="114">
        <v>3926.53</v>
      </c>
      <c r="H873" s="1" t="s">
        <v>34</v>
      </c>
      <c r="I873" t="s">
        <v>55</v>
      </c>
      <c r="J873">
        <v>2.9</v>
      </c>
      <c r="K873">
        <v>1</v>
      </c>
      <c r="L873" s="114">
        <v>0</v>
      </c>
      <c r="M873" s="114">
        <v>0</v>
      </c>
      <c r="N873" s="114">
        <v>0</v>
      </c>
      <c r="O873" t="s">
        <v>1140</v>
      </c>
    </row>
    <row r="874" spans="1:15" x14ac:dyDescent="0.25">
      <c r="A874" t="s">
        <v>917</v>
      </c>
      <c r="B874" s="159">
        <v>45618.743750000001</v>
      </c>
      <c r="C874" s="1" t="s">
        <v>19</v>
      </c>
      <c r="D874" s="1" t="s">
        <v>20</v>
      </c>
      <c r="E874" t="s">
        <v>15</v>
      </c>
      <c r="F874" t="s">
        <v>45</v>
      </c>
      <c r="G874" s="114">
        <v>3635.81</v>
      </c>
      <c r="H874" s="1" t="s">
        <v>22</v>
      </c>
      <c r="J874">
        <v>2.5</v>
      </c>
      <c r="K874">
        <v>8.5999999999999993E-2</v>
      </c>
      <c r="L874" s="114">
        <v>7.8174000000000001</v>
      </c>
      <c r="M874" s="114">
        <v>304.86225999999994</v>
      </c>
      <c r="N874" s="114">
        <v>312.67965999999996</v>
      </c>
      <c r="O874" t="s">
        <v>1140</v>
      </c>
    </row>
    <row r="875" spans="1:15" x14ac:dyDescent="0.25">
      <c r="A875" t="s">
        <v>918</v>
      </c>
      <c r="B875" s="159">
        <v>45619.021527777775</v>
      </c>
      <c r="C875" s="1" t="s">
        <v>13</v>
      </c>
      <c r="D875" s="1" t="s">
        <v>14</v>
      </c>
      <c r="E875" t="s">
        <v>39</v>
      </c>
      <c r="F875" t="s">
        <v>21</v>
      </c>
      <c r="G875" s="114">
        <v>2419.89</v>
      </c>
      <c r="H875" s="1" t="s">
        <v>34</v>
      </c>
      <c r="I875" t="s">
        <v>62</v>
      </c>
      <c r="J875">
        <v>3.2</v>
      </c>
      <c r="K875">
        <v>8.7400000000000005E-2</v>
      </c>
      <c r="L875" s="114">
        <v>0</v>
      </c>
      <c r="M875" s="114">
        <v>0</v>
      </c>
      <c r="N875" s="114">
        <v>0</v>
      </c>
      <c r="O875" t="s">
        <v>1140</v>
      </c>
    </row>
    <row r="876" spans="1:15" x14ac:dyDescent="0.25">
      <c r="A876" t="s">
        <v>919</v>
      </c>
      <c r="B876" s="159">
        <v>45619.125694444447</v>
      </c>
      <c r="C876" s="1" t="s">
        <v>47</v>
      </c>
      <c r="D876" s="1" t="s">
        <v>25</v>
      </c>
      <c r="E876" t="s">
        <v>44</v>
      </c>
      <c r="F876" t="s">
        <v>29</v>
      </c>
      <c r="G876" s="114">
        <v>706.29</v>
      </c>
      <c r="H876" s="1" t="s">
        <v>22</v>
      </c>
      <c r="J876">
        <v>2.1</v>
      </c>
      <c r="K876">
        <v>1</v>
      </c>
      <c r="L876" s="114">
        <v>14.83</v>
      </c>
      <c r="M876" s="114">
        <v>691.46</v>
      </c>
      <c r="N876" s="114">
        <v>706.29000000000008</v>
      </c>
      <c r="O876" t="s">
        <v>1140</v>
      </c>
    </row>
    <row r="877" spans="1:15" x14ac:dyDescent="0.25">
      <c r="A877" t="s">
        <v>920</v>
      </c>
      <c r="B877" s="159">
        <v>45619.280555555553</v>
      </c>
      <c r="C877" s="1" t="s">
        <v>47</v>
      </c>
      <c r="D877" s="1" t="s">
        <v>25</v>
      </c>
      <c r="E877" t="s">
        <v>39</v>
      </c>
      <c r="F877" t="s">
        <v>41</v>
      </c>
      <c r="G877" s="114">
        <v>1545.79</v>
      </c>
      <c r="H877" s="1" t="s">
        <v>17</v>
      </c>
      <c r="J877">
        <v>3.2</v>
      </c>
      <c r="K877">
        <v>1</v>
      </c>
      <c r="L877" s="114">
        <v>0</v>
      </c>
      <c r="M877" s="114">
        <v>0</v>
      </c>
      <c r="N877" s="114">
        <v>0</v>
      </c>
      <c r="O877" t="s">
        <v>1140</v>
      </c>
    </row>
    <row r="878" spans="1:15" x14ac:dyDescent="0.25">
      <c r="A878" t="s">
        <v>921</v>
      </c>
      <c r="B878" s="159">
        <v>45619.367361111108</v>
      </c>
      <c r="C878" s="1" t="s">
        <v>13</v>
      </c>
      <c r="D878" s="1" t="s">
        <v>14</v>
      </c>
      <c r="E878" t="s">
        <v>33</v>
      </c>
      <c r="F878" t="s">
        <v>41</v>
      </c>
      <c r="G878" s="114">
        <v>2973.68</v>
      </c>
      <c r="H878" s="1" t="s">
        <v>22</v>
      </c>
      <c r="J878">
        <v>1.9</v>
      </c>
      <c r="K878">
        <v>8.7400000000000005E-2</v>
      </c>
      <c r="L878" s="114">
        <v>4.9381000000000004</v>
      </c>
      <c r="M878" s="114">
        <v>254.96153200000001</v>
      </c>
      <c r="N878" s="114">
        <v>259.899632</v>
      </c>
      <c r="O878" t="s">
        <v>1140</v>
      </c>
    </row>
    <row r="879" spans="1:15" x14ac:dyDescent="0.25">
      <c r="A879" t="s">
        <v>922</v>
      </c>
      <c r="B879" s="159">
        <v>45619.443055555559</v>
      </c>
      <c r="C879" s="1" t="s">
        <v>58</v>
      </c>
      <c r="D879" s="1" t="s">
        <v>25</v>
      </c>
      <c r="E879" t="s">
        <v>33</v>
      </c>
      <c r="F879" t="s">
        <v>16</v>
      </c>
      <c r="G879" s="114">
        <v>2939.15</v>
      </c>
      <c r="H879" s="1" t="s">
        <v>22</v>
      </c>
      <c r="J879">
        <v>1.9</v>
      </c>
      <c r="K879">
        <v>1</v>
      </c>
      <c r="L879" s="114">
        <v>55.84</v>
      </c>
      <c r="M879" s="114">
        <v>2883.31</v>
      </c>
      <c r="N879" s="114">
        <v>2939.15</v>
      </c>
      <c r="O879" t="s">
        <v>1140</v>
      </c>
    </row>
    <row r="880" spans="1:15" x14ac:dyDescent="0.25">
      <c r="A880" t="s">
        <v>923</v>
      </c>
      <c r="B880" s="159">
        <v>45619.693055555559</v>
      </c>
      <c r="C880" s="1" t="s">
        <v>24</v>
      </c>
      <c r="D880" s="1" t="s">
        <v>25</v>
      </c>
      <c r="E880" t="s">
        <v>44</v>
      </c>
      <c r="F880" t="s">
        <v>21</v>
      </c>
      <c r="G880" s="114">
        <v>3814.93</v>
      </c>
      <c r="H880" s="1" t="s">
        <v>17</v>
      </c>
      <c r="J880">
        <v>2.1</v>
      </c>
      <c r="K880">
        <v>1</v>
      </c>
      <c r="L880" s="114">
        <v>0</v>
      </c>
      <c r="M880" s="114">
        <v>0</v>
      </c>
      <c r="N880" s="114">
        <v>0</v>
      </c>
      <c r="O880" t="s">
        <v>1140</v>
      </c>
    </row>
    <row r="881" spans="1:15" x14ac:dyDescent="0.25">
      <c r="A881" t="s">
        <v>924</v>
      </c>
      <c r="B881" s="159">
        <v>45620.421527777777</v>
      </c>
      <c r="C881" s="1" t="s">
        <v>31</v>
      </c>
      <c r="D881" s="1" t="s">
        <v>32</v>
      </c>
      <c r="E881" t="s">
        <v>33</v>
      </c>
      <c r="F881" t="s">
        <v>41</v>
      </c>
      <c r="G881" s="114">
        <v>228.45</v>
      </c>
      <c r="H881" s="1" t="s">
        <v>22</v>
      </c>
      <c r="J881">
        <v>1.9</v>
      </c>
      <c r="K881">
        <v>1.1801999999999999</v>
      </c>
      <c r="L881" s="114">
        <v>5.1220679999999996</v>
      </c>
      <c r="M881" s="114">
        <v>264.49462199999999</v>
      </c>
      <c r="N881" s="114">
        <v>269.61669000000001</v>
      </c>
      <c r="O881" t="s">
        <v>1140</v>
      </c>
    </row>
    <row r="882" spans="1:15" x14ac:dyDescent="0.25">
      <c r="A882" t="s">
        <v>925</v>
      </c>
      <c r="B882" s="159">
        <v>45620.684027777781</v>
      </c>
      <c r="C882" s="1" t="s">
        <v>13</v>
      </c>
      <c r="D882" s="1" t="s">
        <v>14</v>
      </c>
      <c r="E882" t="s">
        <v>39</v>
      </c>
      <c r="F882" t="s">
        <v>41</v>
      </c>
      <c r="G882" s="114">
        <v>585.55999999999995</v>
      </c>
      <c r="H882" s="1" t="s">
        <v>22</v>
      </c>
      <c r="J882">
        <v>3.2</v>
      </c>
      <c r="K882">
        <v>8.7400000000000005E-2</v>
      </c>
      <c r="L882" s="114">
        <v>1.6378759999999999</v>
      </c>
      <c r="M882" s="114">
        <v>49.540068000000005</v>
      </c>
      <c r="N882" s="114">
        <v>51.177944000000004</v>
      </c>
      <c r="O882" t="s">
        <v>1140</v>
      </c>
    </row>
    <row r="883" spans="1:15" x14ac:dyDescent="0.25">
      <c r="A883" t="s">
        <v>926</v>
      </c>
      <c r="B883" s="159">
        <v>45621.245138888888</v>
      </c>
      <c r="C883" s="1" t="s">
        <v>43</v>
      </c>
      <c r="D883" s="1" t="s">
        <v>25</v>
      </c>
      <c r="E883" t="s">
        <v>15</v>
      </c>
      <c r="F883" t="s">
        <v>29</v>
      </c>
      <c r="G883" s="114">
        <v>4059.37</v>
      </c>
      <c r="H883" s="1" t="s">
        <v>22</v>
      </c>
      <c r="J883">
        <v>2.5</v>
      </c>
      <c r="K883">
        <v>1</v>
      </c>
      <c r="L883" s="114">
        <v>101.48</v>
      </c>
      <c r="M883" s="114">
        <v>3957.89</v>
      </c>
      <c r="N883" s="114">
        <v>4059.37</v>
      </c>
      <c r="O883" t="s">
        <v>1140</v>
      </c>
    </row>
    <row r="884" spans="1:15" x14ac:dyDescent="0.25">
      <c r="A884" t="s">
        <v>927</v>
      </c>
      <c r="B884" s="159">
        <v>45621.86041666667</v>
      </c>
      <c r="C884" s="1" t="s">
        <v>37</v>
      </c>
      <c r="D884" s="1" t="s">
        <v>38</v>
      </c>
      <c r="E884" t="s">
        <v>39</v>
      </c>
      <c r="F884" t="s">
        <v>29</v>
      </c>
      <c r="G884" s="114">
        <v>2204.42</v>
      </c>
      <c r="H884" s="1" t="s">
        <v>34</v>
      </c>
      <c r="I884" t="s">
        <v>55</v>
      </c>
      <c r="J884">
        <v>3.2</v>
      </c>
      <c r="K884">
        <v>0.23269999999999999</v>
      </c>
      <c r="L884" s="114">
        <v>0</v>
      </c>
      <c r="M884" s="114">
        <v>0</v>
      </c>
      <c r="N884" s="114">
        <v>0</v>
      </c>
      <c r="O884" t="s">
        <v>1140</v>
      </c>
    </row>
    <row r="885" spans="1:15" x14ac:dyDescent="0.25">
      <c r="A885" t="s">
        <v>928</v>
      </c>
      <c r="B885" s="159">
        <v>45622.177083333336</v>
      </c>
      <c r="C885" s="1" t="s">
        <v>31</v>
      </c>
      <c r="D885" s="1" t="s">
        <v>32</v>
      </c>
      <c r="E885" t="s">
        <v>44</v>
      </c>
      <c r="F885" t="s">
        <v>21</v>
      </c>
      <c r="G885" s="114">
        <v>994.39</v>
      </c>
      <c r="H885" s="1" t="s">
        <v>17</v>
      </c>
      <c r="J885">
        <v>2.1</v>
      </c>
      <c r="K885">
        <v>1.1801999999999999</v>
      </c>
      <c r="L885" s="114">
        <v>0</v>
      </c>
      <c r="M885" s="114">
        <v>0</v>
      </c>
      <c r="N885" s="114">
        <v>0</v>
      </c>
      <c r="O885" t="s">
        <v>1140</v>
      </c>
    </row>
    <row r="886" spans="1:15" x14ac:dyDescent="0.25">
      <c r="A886" t="s">
        <v>929</v>
      </c>
      <c r="B886" s="159">
        <v>45622.938194444447</v>
      </c>
      <c r="C886" s="1" t="s">
        <v>43</v>
      </c>
      <c r="D886" s="1" t="s">
        <v>25</v>
      </c>
      <c r="E886" t="s">
        <v>28</v>
      </c>
      <c r="F886" t="s">
        <v>41</v>
      </c>
      <c r="G886" s="114">
        <v>1478.24</v>
      </c>
      <c r="H886" s="1" t="s">
        <v>34</v>
      </c>
      <c r="I886" t="s">
        <v>35</v>
      </c>
      <c r="J886">
        <v>2.9</v>
      </c>
      <c r="K886">
        <v>1</v>
      </c>
      <c r="L886" s="114">
        <v>0</v>
      </c>
      <c r="M886" s="114">
        <v>0</v>
      </c>
      <c r="N886" s="114">
        <v>0</v>
      </c>
      <c r="O886" t="s">
        <v>1140</v>
      </c>
    </row>
    <row r="887" spans="1:15" x14ac:dyDescent="0.25">
      <c r="A887" t="s">
        <v>930</v>
      </c>
      <c r="B887" s="159">
        <v>45623.111111111109</v>
      </c>
      <c r="C887" s="1" t="s">
        <v>43</v>
      </c>
      <c r="D887" s="1" t="s">
        <v>25</v>
      </c>
      <c r="E887" t="s">
        <v>39</v>
      </c>
      <c r="F887" t="s">
        <v>16</v>
      </c>
      <c r="G887" s="114">
        <v>592.21</v>
      </c>
      <c r="H887" s="1" t="s">
        <v>22</v>
      </c>
      <c r="J887">
        <v>3.2</v>
      </c>
      <c r="K887">
        <v>1</v>
      </c>
      <c r="L887" s="114">
        <v>18.95</v>
      </c>
      <c r="M887" s="114">
        <v>573.26</v>
      </c>
      <c r="N887" s="114">
        <v>592.21</v>
      </c>
      <c r="O887" t="s">
        <v>1140</v>
      </c>
    </row>
    <row r="888" spans="1:15" x14ac:dyDescent="0.25">
      <c r="A888" t="s">
        <v>931</v>
      </c>
      <c r="B888" s="159">
        <v>45623.321527777778</v>
      </c>
      <c r="C888" s="1" t="s">
        <v>24</v>
      </c>
      <c r="D888" s="1" t="s">
        <v>25</v>
      </c>
      <c r="E888" t="s">
        <v>39</v>
      </c>
      <c r="F888" t="s">
        <v>16</v>
      </c>
      <c r="G888" s="114">
        <v>2571.27</v>
      </c>
      <c r="H888" s="1" t="s">
        <v>22</v>
      </c>
      <c r="J888">
        <v>3.2</v>
      </c>
      <c r="K888">
        <v>1</v>
      </c>
      <c r="L888" s="114">
        <v>82.28</v>
      </c>
      <c r="M888" s="114">
        <v>2488.9899999999998</v>
      </c>
      <c r="N888" s="114">
        <v>2571.27</v>
      </c>
      <c r="O888" t="s">
        <v>1140</v>
      </c>
    </row>
    <row r="889" spans="1:15" x14ac:dyDescent="0.25">
      <c r="A889" t="s">
        <v>932</v>
      </c>
      <c r="B889" s="159">
        <v>45623.724999999999</v>
      </c>
      <c r="C889" s="1" t="s">
        <v>24</v>
      </c>
      <c r="D889" s="1" t="s">
        <v>25</v>
      </c>
      <c r="E889" t="s">
        <v>33</v>
      </c>
      <c r="F889" t="s">
        <v>21</v>
      </c>
      <c r="G889" s="114">
        <v>3467.75</v>
      </c>
      <c r="H889" s="1" t="s">
        <v>22</v>
      </c>
      <c r="J889">
        <v>1.9</v>
      </c>
      <c r="K889">
        <v>1</v>
      </c>
      <c r="L889" s="114">
        <v>65.89</v>
      </c>
      <c r="M889" s="114">
        <v>3401.86</v>
      </c>
      <c r="N889" s="114">
        <v>3467.75</v>
      </c>
      <c r="O889" t="s">
        <v>1140</v>
      </c>
    </row>
    <row r="890" spans="1:15" x14ac:dyDescent="0.25">
      <c r="A890" t="s">
        <v>933</v>
      </c>
      <c r="B890" s="159">
        <v>45623.839583333334</v>
      </c>
      <c r="C890" s="1" t="s">
        <v>31</v>
      </c>
      <c r="D890" s="1" t="s">
        <v>32</v>
      </c>
      <c r="E890" t="s">
        <v>39</v>
      </c>
      <c r="F890" t="s">
        <v>16</v>
      </c>
      <c r="G890" s="114">
        <v>4007.49</v>
      </c>
      <c r="H890" s="1" t="s">
        <v>22</v>
      </c>
      <c r="J890">
        <v>3.2</v>
      </c>
      <c r="K890">
        <v>1.1801999999999999</v>
      </c>
      <c r="L890" s="114">
        <v>151.348848</v>
      </c>
      <c r="M890" s="114">
        <v>4578.2908499999994</v>
      </c>
      <c r="N890" s="114">
        <v>4729.639697999999</v>
      </c>
      <c r="O890" t="s">
        <v>1140</v>
      </c>
    </row>
    <row r="891" spans="1:15" x14ac:dyDescent="0.25">
      <c r="A891" t="s">
        <v>934</v>
      </c>
      <c r="B891" s="159">
        <v>45623.90625</v>
      </c>
      <c r="C891" s="1" t="s">
        <v>27</v>
      </c>
      <c r="D891" s="1" t="s">
        <v>25</v>
      </c>
      <c r="E891" t="s">
        <v>15</v>
      </c>
      <c r="F891" t="s">
        <v>45</v>
      </c>
      <c r="G891" s="114">
        <v>3151.5</v>
      </c>
      <c r="H891" s="1" t="s">
        <v>17</v>
      </c>
      <c r="J891">
        <v>2.5</v>
      </c>
      <c r="K891">
        <v>1</v>
      </c>
      <c r="L891" s="114">
        <v>0</v>
      </c>
      <c r="M891" s="114">
        <v>0</v>
      </c>
      <c r="N891" s="114">
        <v>0</v>
      </c>
      <c r="O891" t="s">
        <v>1140</v>
      </c>
    </row>
    <row r="892" spans="1:15" x14ac:dyDescent="0.25">
      <c r="A892" t="s">
        <v>935</v>
      </c>
      <c r="B892" s="159">
        <v>45624.42083333333</v>
      </c>
      <c r="C892" s="1" t="s">
        <v>13</v>
      </c>
      <c r="D892" s="1" t="s">
        <v>14</v>
      </c>
      <c r="E892" t="s">
        <v>39</v>
      </c>
      <c r="F892" t="s">
        <v>21</v>
      </c>
      <c r="G892" s="114">
        <v>2897.37</v>
      </c>
      <c r="H892" s="1" t="s">
        <v>17</v>
      </c>
      <c r="J892">
        <v>3.2</v>
      </c>
      <c r="K892">
        <v>8.7400000000000005E-2</v>
      </c>
      <c r="L892" s="114">
        <v>0</v>
      </c>
      <c r="M892" s="114">
        <v>0</v>
      </c>
      <c r="N892" s="114">
        <v>0</v>
      </c>
      <c r="O892" t="s">
        <v>1140</v>
      </c>
    </row>
    <row r="893" spans="1:15" x14ac:dyDescent="0.25">
      <c r="A893" t="s">
        <v>936</v>
      </c>
      <c r="B893" s="159">
        <v>45624.424305555556</v>
      </c>
      <c r="C893" s="1" t="s">
        <v>13</v>
      </c>
      <c r="D893" s="1" t="s">
        <v>14</v>
      </c>
      <c r="E893" t="s">
        <v>33</v>
      </c>
      <c r="F893" t="s">
        <v>21</v>
      </c>
      <c r="G893" s="114">
        <v>1123.95</v>
      </c>
      <c r="H893" s="1" t="s">
        <v>17</v>
      </c>
      <c r="J893">
        <v>1.9</v>
      </c>
      <c r="K893">
        <v>8.7400000000000005E-2</v>
      </c>
      <c r="L893" s="114">
        <v>0</v>
      </c>
      <c r="M893" s="114">
        <v>0</v>
      </c>
      <c r="N893" s="114">
        <v>0</v>
      </c>
      <c r="O893" t="s">
        <v>1140</v>
      </c>
    </row>
    <row r="894" spans="1:15" x14ac:dyDescent="0.25">
      <c r="A894" t="s">
        <v>937</v>
      </c>
      <c r="B894" s="159">
        <v>45625.263888888891</v>
      </c>
      <c r="C894" s="1" t="s">
        <v>13</v>
      </c>
      <c r="D894" s="1" t="s">
        <v>14</v>
      </c>
      <c r="E894" t="s">
        <v>28</v>
      </c>
      <c r="F894" t="s">
        <v>41</v>
      </c>
      <c r="G894" s="114">
        <v>845.3</v>
      </c>
      <c r="H894" s="1" t="s">
        <v>17</v>
      </c>
      <c r="J894">
        <v>2.9</v>
      </c>
      <c r="K894">
        <v>8.7400000000000005E-2</v>
      </c>
      <c r="L894" s="114">
        <v>0</v>
      </c>
      <c r="M894" s="114">
        <v>0</v>
      </c>
      <c r="N894" s="114">
        <v>0</v>
      </c>
      <c r="O894" t="s">
        <v>1140</v>
      </c>
    </row>
    <row r="895" spans="1:15" x14ac:dyDescent="0.25">
      <c r="A895" t="s">
        <v>938</v>
      </c>
      <c r="B895" s="159">
        <v>45625.759722222225</v>
      </c>
      <c r="C895" s="1" t="s">
        <v>13</v>
      </c>
      <c r="D895" s="1" t="s">
        <v>14</v>
      </c>
      <c r="E895" t="s">
        <v>28</v>
      </c>
      <c r="F895" t="s">
        <v>29</v>
      </c>
      <c r="G895" s="114">
        <v>2095.25</v>
      </c>
      <c r="H895" s="1" t="s">
        <v>22</v>
      </c>
      <c r="J895">
        <v>2.9</v>
      </c>
      <c r="K895">
        <v>8.7400000000000005E-2</v>
      </c>
      <c r="L895" s="114">
        <v>5.3104240000000003</v>
      </c>
      <c r="M895" s="114">
        <v>177.81442600000003</v>
      </c>
      <c r="N895" s="114">
        <v>183.12485000000004</v>
      </c>
      <c r="O895" t="s">
        <v>1140</v>
      </c>
    </row>
    <row r="896" spans="1:15" x14ac:dyDescent="0.25">
      <c r="A896" t="s">
        <v>939</v>
      </c>
      <c r="B896" s="159">
        <v>45625.761111111111</v>
      </c>
      <c r="C896" s="1" t="s">
        <v>47</v>
      </c>
      <c r="D896" s="1" t="s">
        <v>25</v>
      </c>
      <c r="E896" t="s">
        <v>33</v>
      </c>
      <c r="F896" t="s">
        <v>16</v>
      </c>
      <c r="G896" s="114">
        <v>2827.7</v>
      </c>
      <c r="H896" s="1" t="s">
        <v>17</v>
      </c>
      <c r="J896">
        <v>1.9</v>
      </c>
      <c r="K896">
        <v>1</v>
      </c>
      <c r="L896" s="114">
        <v>0</v>
      </c>
      <c r="M896" s="114">
        <v>0</v>
      </c>
      <c r="N896" s="114">
        <v>0</v>
      </c>
      <c r="O896" t="s">
        <v>1140</v>
      </c>
    </row>
    <row r="897" spans="1:15" x14ac:dyDescent="0.25">
      <c r="A897" t="s">
        <v>940</v>
      </c>
      <c r="B897" s="159">
        <v>45625.884722222225</v>
      </c>
      <c r="C897" s="1" t="s">
        <v>27</v>
      </c>
      <c r="D897" s="1" t="s">
        <v>25</v>
      </c>
      <c r="E897" t="s">
        <v>15</v>
      </c>
      <c r="F897" t="s">
        <v>41</v>
      </c>
      <c r="G897" s="114">
        <v>3997.98</v>
      </c>
      <c r="H897" s="1" t="s">
        <v>22</v>
      </c>
      <c r="J897">
        <v>2.5</v>
      </c>
      <c r="K897">
        <v>1</v>
      </c>
      <c r="L897" s="114">
        <v>99.95</v>
      </c>
      <c r="M897" s="114">
        <v>3898.03</v>
      </c>
      <c r="N897" s="114">
        <v>3997.98</v>
      </c>
      <c r="O897" t="s">
        <v>1140</v>
      </c>
    </row>
    <row r="898" spans="1:15" x14ac:dyDescent="0.25">
      <c r="A898" t="s">
        <v>941</v>
      </c>
      <c r="B898" s="159">
        <v>45626.002083333333</v>
      </c>
      <c r="C898" s="1" t="s">
        <v>31</v>
      </c>
      <c r="D898" s="1" t="s">
        <v>32</v>
      </c>
      <c r="E898" t="s">
        <v>15</v>
      </c>
      <c r="F898" t="s">
        <v>16</v>
      </c>
      <c r="G898" s="114">
        <v>1907.47</v>
      </c>
      <c r="H898" s="1" t="s">
        <v>17</v>
      </c>
      <c r="J898">
        <v>2.5</v>
      </c>
      <c r="K898">
        <v>1.1801999999999999</v>
      </c>
      <c r="L898" s="114">
        <v>0</v>
      </c>
      <c r="M898" s="114">
        <v>0</v>
      </c>
      <c r="N898" s="114">
        <v>0</v>
      </c>
      <c r="O898" t="s">
        <v>1140</v>
      </c>
    </row>
    <row r="899" spans="1:15" x14ac:dyDescent="0.25">
      <c r="A899" t="s">
        <v>942</v>
      </c>
      <c r="B899" s="159">
        <v>45626.459722222222</v>
      </c>
      <c r="C899" s="1" t="s">
        <v>27</v>
      </c>
      <c r="D899" s="1" t="s">
        <v>25</v>
      </c>
      <c r="E899" t="s">
        <v>28</v>
      </c>
      <c r="F899" t="s">
        <v>45</v>
      </c>
      <c r="G899" s="114">
        <v>4191.6899999999996</v>
      </c>
      <c r="H899" s="1" t="s">
        <v>22</v>
      </c>
      <c r="J899">
        <v>2.9</v>
      </c>
      <c r="K899">
        <v>1</v>
      </c>
      <c r="L899" s="114">
        <v>121.56</v>
      </c>
      <c r="M899" s="114">
        <v>4070.13</v>
      </c>
      <c r="N899" s="114">
        <v>4191.6900000000005</v>
      </c>
      <c r="O899" t="s">
        <v>1140</v>
      </c>
    </row>
    <row r="900" spans="1:15" x14ac:dyDescent="0.25">
      <c r="A900" t="s">
        <v>943</v>
      </c>
      <c r="B900" s="159">
        <v>45626.463194444441</v>
      </c>
      <c r="C900" s="1" t="s">
        <v>27</v>
      </c>
      <c r="D900" s="1" t="s">
        <v>25</v>
      </c>
      <c r="E900" t="s">
        <v>33</v>
      </c>
      <c r="F900" t="s">
        <v>16</v>
      </c>
      <c r="G900" s="114">
        <v>2648.92</v>
      </c>
      <c r="H900" s="1" t="s">
        <v>22</v>
      </c>
      <c r="J900">
        <v>1.9</v>
      </c>
      <c r="K900">
        <v>1</v>
      </c>
      <c r="L900" s="114">
        <v>50.33</v>
      </c>
      <c r="M900" s="114">
        <v>2598.59</v>
      </c>
      <c r="N900" s="114">
        <v>2648.92</v>
      </c>
      <c r="O900" t="s">
        <v>1140</v>
      </c>
    </row>
    <row r="901" spans="1:15" x14ac:dyDescent="0.25">
      <c r="A901" t="s">
        <v>944</v>
      </c>
      <c r="B901" s="159">
        <v>45626.645833333336</v>
      </c>
      <c r="C901" s="1" t="s">
        <v>24</v>
      </c>
      <c r="D901" s="1" t="s">
        <v>25</v>
      </c>
      <c r="E901" t="s">
        <v>39</v>
      </c>
      <c r="F901" t="s">
        <v>21</v>
      </c>
      <c r="G901" s="114">
        <v>1434.22</v>
      </c>
      <c r="H901" s="1" t="s">
        <v>22</v>
      </c>
      <c r="J901">
        <v>3.2</v>
      </c>
      <c r="K901">
        <v>1</v>
      </c>
      <c r="L901" s="114">
        <v>45.9</v>
      </c>
      <c r="M901" s="114">
        <v>1388.32</v>
      </c>
      <c r="N901" s="114">
        <v>1434.22</v>
      </c>
      <c r="O901" t="s">
        <v>1140</v>
      </c>
    </row>
    <row r="902" spans="1:15" x14ac:dyDescent="0.25">
      <c r="A902" t="s">
        <v>945</v>
      </c>
      <c r="B902" s="159">
        <v>45627.09097222222</v>
      </c>
      <c r="C902" s="1" t="s">
        <v>43</v>
      </c>
      <c r="D902" s="1" t="s">
        <v>25</v>
      </c>
      <c r="E902" t="s">
        <v>15</v>
      </c>
      <c r="F902" t="s">
        <v>45</v>
      </c>
      <c r="G902" s="114">
        <v>3801.79</v>
      </c>
      <c r="H902" s="1" t="s">
        <v>34</v>
      </c>
      <c r="I902" t="s">
        <v>100</v>
      </c>
      <c r="J902">
        <v>2.5</v>
      </c>
      <c r="K902">
        <v>1</v>
      </c>
      <c r="L902" s="114">
        <v>0</v>
      </c>
      <c r="M902" s="114">
        <v>0</v>
      </c>
      <c r="N902" s="114">
        <v>0</v>
      </c>
      <c r="O902" t="s">
        <v>1141</v>
      </c>
    </row>
    <row r="903" spans="1:15" x14ac:dyDescent="0.25">
      <c r="A903" t="s">
        <v>946</v>
      </c>
      <c r="B903" s="159">
        <v>45627.093055555553</v>
      </c>
      <c r="C903" s="1" t="s">
        <v>37</v>
      </c>
      <c r="D903" s="1" t="s">
        <v>38</v>
      </c>
      <c r="E903" t="s">
        <v>44</v>
      </c>
      <c r="F903" t="s">
        <v>21</v>
      </c>
      <c r="G903" s="114">
        <v>2108.16</v>
      </c>
      <c r="H903" s="1" t="s">
        <v>22</v>
      </c>
      <c r="J903">
        <v>2.1</v>
      </c>
      <c r="K903">
        <v>0.23269999999999999</v>
      </c>
      <c r="L903" s="114">
        <v>10.301629</v>
      </c>
      <c r="M903" s="114">
        <v>480.26720299999994</v>
      </c>
      <c r="N903" s="114">
        <v>490.56883199999993</v>
      </c>
      <c r="O903" t="s">
        <v>1141</v>
      </c>
    </row>
    <row r="904" spans="1:15" x14ac:dyDescent="0.25">
      <c r="A904" t="s">
        <v>947</v>
      </c>
      <c r="B904" s="159">
        <v>45627.161805555559</v>
      </c>
      <c r="C904" s="1" t="s">
        <v>43</v>
      </c>
      <c r="D904" s="1" t="s">
        <v>25</v>
      </c>
      <c r="E904" t="s">
        <v>33</v>
      </c>
      <c r="F904" t="s">
        <v>16</v>
      </c>
      <c r="G904" s="114">
        <v>4695.87</v>
      </c>
      <c r="H904" s="1" t="s">
        <v>22</v>
      </c>
      <c r="J904">
        <v>1.9</v>
      </c>
      <c r="K904">
        <v>1</v>
      </c>
      <c r="L904" s="114">
        <v>89.22</v>
      </c>
      <c r="M904" s="114">
        <v>4606.6499999999996</v>
      </c>
      <c r="N904" s="114">
        <v>4695.87</v>
      </c>
      <c r="O904" t="s">
        <v>1141</v>
      </c>
    </row>
    <row r="905" spans="1:15" x14ac:dyDescent="0.25">
      <c r="A905" t="s">
        <v>948</v>
      </c>
      <c r="B905" s="159">
        <v>45627.469444444447</v>
      </c>
      <c r="C905" s="1" t="s">
        <v>31</v>
      </c>
      <c r="D905" s="1" t="s">
        <v>32</v>
      </c>
      <c r="E905" t="s">
        <v>39</v>
      </c>
      <c r="F905" t="s">
        <v>29</v>
      </c>
      <c r="G905" s="114">
        <v>268.42</v>
      </c>
      <c r="H905" s="1" t="s">
        <v>22</v>
      </c>
      <c r="J905">
        <v>3.2</v>
      </c>
      <c r="K905">
        <v>1.1801999999999999</v>
      </c>
      <c r="L905" s="114">
        <v>10.137917999999999</v>
      </c>
      <c r="M905" s="114">
        <v>306.65136599999994</v>
      </c>
      <c r="N905" s="114">
        <v>316.78928399999995</v>
      </c>
      <c r="O905" t="s">
        <v>1141</v>
      </c>
    </row>
    <row r="906" spans="1:15" x14ac:dyDescent="0.25">
      <c r="A906" t="s">
        <v>949</v>
      </c>
      <c r="B906" s="159">
        <v>45627.645138888889</v>
      </c>
      <c r="C906" s="1" t="s">
        <v>58</v>
      </c>
      <c r="D906" s="1" t="s">
        <v>25</v>
      </c>
      <c r="E906" t="s">
        <v>33</v>
      </c>
      <c r="F906" t="s">
        <v>16</v>
      </c>
      <c r="G906" s="114">
        <v>1520.97</v>
      </c>
      <c r="H906" s="1" t="s">
        <v>17</v>
      </c>
      <c r="J906">
        <v>1.9</v>
      </c>
      <c r="K906">
        <v>1</v>
      </c>
      <c r="L906" s="114">
        <v>0</v>
      </c>
      <c r="M906" s="114">
        <v>0</v>
      </c>
      <c r="N906" s="114">
        <v>0</v>
      </c>
      <c r="O906" t="s">
        <v>1141</v>
      </c>
    </row>
    <row r="907" spans="1:15" x14ac:dyDescent="0.25">
      <c r="A907" t="s">
        <v>950</v>
      </c>
      <c r="B907" s="159">
        <v>45627.65</v>
      </c>
      <c r="C907" s="1" t="s">
        <v>19</v>
      </c>
      <c r="D907" s="1" t="s">
        <v>20</v>
      </c>
      <c r="E907" t="s">
        <v>15</v>
      </c>
      <c r="F907" t="s">
        <v>41</v>
      </c>
      <c r="G907" s="114">
        <v>869.28</v>
      </c>
      <c r="H907" s="1" t="s">
        <v>34</v>
      </c>
      <c r="I907" t="s">
        <v>35</v>
      </c>
      <c r="J907">
        <v>2.5</v>
      </c>
      <c r="K907">
        <v>8.5999999999999993E-2</v>
      </c>
      <c r="L907" s="114">
        <v>0</v>
      </c>
      <c r="M907" s="114">
        <v>0</v>
      </c>
      <c r="N907" s="114">
        <v>0</v>
      </c>
      <c r="O907" t="s">
        <v>1141</v>
      </c>
    </row>
    <row r="908" spans="1:15" x14ac:dyDescent="0.25">
      <c r="A908" t="s">
        <v>951</v>
      </c>
      <c r="B908" s="159">
        <v>45627.767361111109</v>
      </c>
      <c r="C908" s="1" t="s">
        <v>43</v>
      </c>
      <c r="D908" s="1" t="s">
        <v>25</v>
      </c>
      <c r="E908" t="s">
        <v>44</v>
      </c>
      <c r="F908" t="s">
        <v>45</v>
      </c>
      <c r="G908" s="114">
        <v>3854.78</v>
      </c>
      <c r="H908" s="1" t="s">
        <v>17</v>
      </c>
      <c r="J908">
        <v>2.1</v>
      </c>
      <c r="K908">
        <v>1</v>
      </c>
      <c r="L908" s="114">
        <v>0</v>
      </c>
      <c r="M908" s="114">
        <v>0</v>
      </c>
      <c r="N908" s="114">
        <v>0</v>
      </c>
      <c r="O908" t="s">
        <v>1141</v>
      </c>
    </row>
    <row r="909" spans="1:15" x14ac:dyDescent="0.25">
      <c r="A909" t="s">
        <v>952</v>
      </c>
      <c r="B909" s="159">
        <v>45627.916666666664</v>
      </c>
      <c r="C909" s="1" t="s">
        <v>31</v>
      </c>
      <c r="D909" s="1" t="s">
        <v>32</v>
      </c>
      <c r="E909" t="s">
        <v>15</v>
      </c>
      <c r="F909" t="s">
        <v>29</v>
      </c>
      <c r="G909" s="114">
        <v>887.67</v>
      </c>
      <c r="H909" s="1" t="s">
        <v>17</v>
      </c>
      <c r="J909">
        <v>2.5</v>
      </c>
      <c r="K909">
        <v>1.1801999999999999</v>
      </c>
      <c r="L909" s="114">
        <v>0</v>
      </c>
      <c r="M909" s="114">
        <v>0</v>
      </c>
      <c r="N909" s="114">
        <v>0</v>
      </c>
      <c r="O909" t="s">
        <v>1141</v>
      </c>
    </row>
    <row r="910" spans="1:15" x14ac:dyDescent="0.25">
      <c r="A910" t="s">
        <v>953</v>
      </c>
      <c r="B910" s="159">
        <v>45628.489583333336</v>
      </c>
      <c r="C910" s="1" t="s">
        <v>43</v>
      </c>
      <c r="D910" s="1" t="s">
        <v>25</v>
      </c>
      <c r="E910" t="s">
        <v>28</v>
      </c>
      <c r="F910" t="s">
        <v>41</v>
      </c>
      <c r="G910" s="114">
        <v>3799.01</v>
      </c>
      <c r="H910" s="1" t="s">
        <v>22</v>
      </c>
      <c r="J910">
        <v>2.9</v>
      </c>
      <c r="K910">
        <v>1</v>
      </c>
      <c r="L910" s="114">
        <v>110.17</v>
      </c>
      <c r="M910" s="114">
        <v>3688.84</v>
      </c>
      <c r="N910" s="114">
        <v>3799.01</v>
      </c>
      <c r="O910" t="s">
        <v>1141</v>
      </c>
    </row>
    <row r="911" spans="1:15" x14ac:dyDescent="0.25">
      <c r="A911" t="s">
        <v>954</v>
      </c>
      <c r="B911" s="159">
        <v>45629.157638888886</v>
      </c>
      <c r="C911" s="1" t="s">
        <v>24</v>
      </c>
      <c r="D911" s="1" t="s">
        <v>25</v>
      </c>
      <c r="E911" t="s">
        <v>15</v>
      </c>
      <c r="F911" t="s">
        <v>29</v>
      </c>
      <c r="G911" s="114">
        <v>510.39</v>
      </c>
      <c r="H911" s="1" t="s">
        <v>17</v>
      </c>
      <c r="J911">
        <v>2.5</v>
      </c>
      <c r="K911">
        <v>1</v>
      </c>
      <c r="L911" s="114">
        <v>0</v>
      </c>
      <c r="M911" s="114">
        <v>0</v>
      </c>
      <c r="N911" s="114">
        <v>0</v>
      </c>
      <c r="O911" t="s">
        <v>1141</v>
      </c>
    </row>
    <row r="912" spans="1:15" x14ac:dyDescent="0.25">
      <c r="A912" t="s">
        <v>955</v>
      </c>
      <c r="B912" s="159">
        <v>45629.511805555558</v>
      </c>
      <c r="C912" s="1" t="s">
        <v>60</v>
      </c>
      <c r="D912" s="1" t="s">
        <v>25</v>
      </c>
      <c r="E912" t="s">
        <v>33</v>
      </c>
      <c r="F912" t="s">
        <v>41</v>
      </c>
      <c r="G912" s="114">
        <v>4553.9799999999996</v>
      </c>
      <c r="H912" s="1" t="s">
        <v>34</v>
      </c>
      <c r="I912" t="s">
        <v>62</v>
      </c>
      <c r="J912">
        <v>1.9</v>
      </c>
      <c r="K912">
        <v>1</v>
      </c>
      <c r="L912" s="114">
        <v>0</v>
      </c>
      <c r="M912" s="114">
        <v>0</v>
      </c>
      <c r="N912" s="114">
        <v>0</v>
      </c>
      <c r="O912" t="s">
        <v>1141</v>
      </c>
    </row>
    <row r="913" spans="1:15" x14ac:dyDescent="0.25">
      <c r="A913" t="s">
        <v>956</v>
      </c>
      <c r="B913" s="159">
        <v>45629.625694444447</v>
      </c>
      <c r="C913" s="1" t="s">
        <v>60</v>
      </c>
      <c r="D913" s="1" t="s">
        <v>25</v>
      </c>
      <c r="E913" t="s">
        <v>33</v>
      </c>
      <c r="F913" t="s">
        <v>45</v>
      </c>
      <c r="G913" s="114">
        <v>2062.58</v>
      </c>
      <c r="H913" s="1" t="s">
        <v>22</v>
      </c>
      <c r="J913">
        <v>1.9</v>
      </c>
      <c r="K913">
        <v>1</v>
      </c>
      <c r="L913" s="114">
        <v>39.19</v>
      </c>
      <c r="M913" s="114">
        <v>2023.39</v>
      </c>
      <c r="N913" s="114">
        <v>2062.58</v>
      </c>
      <c r="O913" t="s">
        <v>1141</v>
      </c>
    </row>
    <row r="914" spans="1:15" x14ac:dyDescent="0.25">
      <c r="A914" t="s">
        <v>957</v>
      </c>
      <c r="B914" s="159">
        <v>45629.679861111108</v>
      </c>
      <c r="C914" s="1" t="s">
        <v>43</v>
      </c>
      <c r="D914" s="1" t="s">
        <v>25</v>
      </c>
      <c r="E914" t="s">
        <v>28</v>
      </c>
      <c r="F914" t="s">
        <v>41</v>
      </c>
      <c r="G914" s="114">
        <v>4992.95</v>
      </c>
      <c r="H914" s="1" t="s">
        <v>34</v>
      </c>
      <c r="I914" t="s">
        <v>55</v>
      </c>
      <c r="J914">
        <v>2.9</v>
      </c>
      <c r="K914">
        <v>1</v>
      </c>
      <c r="L914" s="114">
        <v>0</v>
      </c>
      <c r="M914" s="114">
        <v>0</v>
      </c>
      <c r="N914" s="114">
        <v>0</v>
      </c>
      <c r="O914" t="s">
        <v>1141</v>
      </c>
    </row>
    <row r="915" spans="1:15" x14ac:dyDescent="0.25">
      <c r="A915" t="s">
        <v>958</v>
      </c>
      <c r="B915" s="159">
        <v>45630.005555555559</v>
      </c>
      <c r="C915" s="1" t="s">
        <v>60</v>
      </c>
      <c r="D915" s="1" t="s">
        <v>25</v>
      </c>
      <c r="E915" t="s">
        <v>39</v>
      </c>
      <c r="F915" t="s">
        <v>29</v>
      </c>
      <c r="G915" s="114">
        <v>2948.38</v>
      </c>
      <c r="H915" s="1" t="s">
        <v>22</v>
      </c>
      <c r="J915">
        <v>3.2</v>
      </c>
      <c r="K915">
        <v>1</v>
      </c>
      <c r="L915" s="114">
        <v>94.35</v>
      </c>
      <c r="M915" s="114">
        <v>2854.03</v>
      </c>
      <c r="N915" s="114">
        <v>2948.38</v>
      </c>
      <c r="O915" t="s">
        <v>1141</v>
      </c>
    </row>
    <row r="916" spans="1:15" x14ac:dyDescent="0.25">
      <c r="A916" t="s">
        <v>959</v>
      </c>
      <c r="B916" s="159">
        <v>45630.263194444444</v>
      </c>
      <c r="C916" s="1" t="s">
        <v>58</v>
      </c>
      <c r="D916" s="1" t="s">
        <v>25</v>
      </c>
      <c r="E916" t="s">
        <v>28</v>
      </c>
      <c r="F916" t="s">
        <v>21</v>
      </c>
      <c r="G916" s="114">
        <v>2437.65</v>
      </c>
      <c r="H916" s="1" t="s">
        <v>34</v>
      </c>
      <c r="I916" t="s">
        <v>35</v>
      </c>
      <c r="J916">
        <v>2.9</v>
      </c>
      <c r="K916">
        <v>1</v>
      </c>
      <c r="L916" s="114">
        <v>0</v>
      </c>
      <c r="M916" s="114">
        <v>0</v>
      </c>
      <c r="N916" s="114">
        <v>0</v>
      </c>
      <c r="O916" t="s">
        <v>1141</v>
      </c>
    </row>
    <row r="917" spans="1:15" x14ac:dyDescent="0.25">
      <c r="A917" t="s">
        <v>960</v>
      </c>
      <c r="B917" s="159">
        <v>45630.336805555555</v>
      </c>
      <c r="C917" s="1" t="s">
        <v>13</v>
      </c>
      <c r="D917" s="1" t="s">
        <v>14</v>
      </c>
      <c r="E917" t="s">
        <v>15</v>
      </c>
      <c r="F917" t="s">
        <v>29</v>
      </c>
      <c r="G917" s="114">
        <v>1861.39</v>
      </c>
      <c r="H917" s="1" t="s">
        <v>34</v>
      </c>
      <c r="I917" t="s">
        <v>62</v>
      </c>
      <c r="J917">
        <v>2.5</v>
      </c>
      <c r="K917">
        <v>8.7400000000000005E-2</v>
      </c>
      <c r="L917" s="114">
        <v>0</v>
      </c>
      <c r="M917" s="114">
        <v>0</v>
      </c>
      <c r="N917" s="114">
        <v>0</v>
      </c>
      <c r="O917" t="s">
        <v>1141</v>
      </c>
    </row>
    <row r="918" spans="1:15" x14ac:dyDescent="0.25">
      <c r="A918" t="s">
        <v>961</v>
      </c>
      <c r="B918" s="159">
        <v>45630.388194444444</v>
      </c>
      <c r="C918" s="1" t="s">
        <v>43</v>
      </c>
      <c r="D918" s="1" t="s">
        <v>25</v>
      </c>
      <c r="E918" t="s">
        <v>33</v>
      </c>
      <c r="F918" t="s">
        <v>16</v>
      </c>
      <c r="G918" s="114">
        <v>841.56</v>
      </c>
      <c r="H918" s="1" t="s">
        <v>34</v>
      </c>
      <c r="I918" t="s">
        <v>62</v>
      </c>
      <c r="J918">
        <v>1.9</v>
      </c>
      <c r="K918">
        <v>1</v>
      </c>
      <c r="L918" s="114">
        <v>0</v>
      </c>
      <c r="M918" s="114">
        <v>0</v>
      </c>
      <c r="N918" s="114">
        <v>0</v>
      </c>
      <c r="O918" t="s">
        <v>1141</v>
      </c>
    </row>
    <row r="919" spans="1:15" x14ac:dyDescent="0.25">
      <c r="A919" t="s">
        <v>962</v>
      </c>
      <c r="B919" s="159">
        <v>45630.455555555556</v>
      </c>
      <c r="C919" s="1" t="s">
        <v>19</v>
      </c>
      <c r="D919" s="1" t="s">
        <v>20</v>
      </c>
      <c r="E919" t="s">
        <v>44</v>
      </c>
      <c r="F919" t="s">
        <v>45</v>
      </c>
      <c r="G919" s="114">
        <v>1889.83</v>
      </c>
      <c r="H919" s="1" t="s">
        <v>22</v>
      </c>
      <c r="J919">
        <v>2.1</v>
      </c>
      <c r="K919">
        <v>8.5999999999999993E-2</v>
      </c>
      <c r="L919" s="114">
        <v>3.4133399999999994</v>
      </c>
      <c r="M919" s="114">
        <v>159.11204000000001</v>
      </c>
      <c r="N919" s="114">
        <v>162.52538000000001</v>
      </c>
      <c r="O919" t="s">
        <v>1141</v>
      </c>
    </row>
    <row r="920" spans="1:15" x14ac:dyDescent="0.25">
      <c r="A920" t="s">
        <v>963</v>
      </c>
      <c r="B920" s="159">
        <v>45630.461111111108</v>
      </c>
      <c r="C920" s="1" t="s">
        <v>13</v>
      </c>
      <c r="D920" s="1" t="s">
        <v>14</v>
      </c>
      <c r="E920" t="s">
        <v>39</v>
      </c>
      <c r="F920" t="s">
        <v>41</v>
      </c>
      <c r="G920" s="114">
        <v>4249.38</v>
      </c>
      <c r="H920" s="1" t="s">
        <v>34</v>
      </c>
      <c r="I920" t="s">
        <v>78</v>
      </c>
      <c r="J920">
        <v>3.2</v>
      </c>
      <c r="K920">
        <v>8.7400000000000005E-2</v>
      </c>
      <c r="L920" s="114">
        <v>0</v>
      </c>
      <c r="M920" s="114">
        <v>0</v>
      </c>
      <c r="N920" s="114">
        <v>0</v>
      </c>
      <c r="O920" t="s">
        <v>1141</v>
      </c>
    </row>
    <row r="921" spans="1:15" x14ac:dyDescent="0.25">
      <c r="A921" t="s">
        <v>964</v>
      </c>
      <c r="B921" s="159">
        <v>45630.646527777775</v>
      </c>
      <c r="C921" s="1" t="s">
        <v>13</v>
      </c>
      <c r="D921" s="1" t="s">
        <v>14</v>
      </c>
      <c r="E921" t="s">
        <v>39</v>
      </c>
      <c r="F921" t="s">
        <v>45</v>
      </c>
      <c r="G921" s="114">
        <v>1724.64</v>
      </c>
      <c r="H921" s="1" t="s">
        <v>17</v>
      </c>
      <c r="J921">
        <v>3.2</v>
      </c>
      <c r="K921">
        <v>8.7400000000000005E-2</v>
      </c>
      <c r="L921" s="114">
        <v>0</v>
      </c>
      <c r="M921" s="114">
        <v>0</v>
      </c>
      <c r="N921" s="114">
        <v>0</v>
      </c>
      <c r="O921" t="s">
        <v>1141</v>
      </c>
    </row>
    <row r="922" spans="1:15" x14ac:dyDescent="0.25">
      <c r="A922" t="s">
        <v>965</v>
      </c>
      <c r="B922" s="159">
        <v>45631.072222222225</v>
      </c>
      <c r="C922" s="1" t="s">
        <v>24</v>
      </c>
      <c r="D922" s="1" t="s">
        <v>25</v>
      </c>
      <c r="E922" t="s">
        <v>39</v>
      </c>
      <c r="F922" t="s">
        <v>45</v>
      </c>
      <c r="G922" s="114">
        <v>1929.6</v>
      </c>
      <c r="H922" s="1" t="s">
        <v>22</v>
      </c>
      <c r="J922">
        <v>3.2</v>
      </c>
      <c r="K922">
        <v>1</v>
      </c>
      <c r="L922" s="114">
        <v>61.75</v>
      </c>
      <c r="M922" s="114">
        <v>1867.85</v>
      </c>
      <c r="N922" s="114">
        <v>1929.6</v>
      </c>
      <c r="O922" t="s">
        <v>1141</v>
      </c>
    </row>
    <row r="923" spans="1:15" x14ac:dyDescent="0.25">
      <c r="A923" t="s">
        <v>966</v>
      </c>
      <c r="B923" s="159">
        <v>45631.156944444447</v>
      </c>
      <c r="C923" s="1" t="s">
        <v>47</v>
      </c>
      <c r="D923" s="1" t="s">
        <v>25</v>
      </c>
      <c r="E923" t="s">
        <v>33</v>
      </c>
      <c r="F923" t="s">
        <v>21</v>
      </c>
      <c r="G923" s="114">
        <v>3337.8</v>
      </c>
      <c r="H923" s="1" t="s">
        <v>22</v>
      </c>
      <c r="J923">
        <v>1.9</v>
      </c>
      <c r="K923">
        <v>1</v>
      </c>
      <c r="L923" s="114">
        <v>63.42</v>
      </c>
      <c r="M923" s="114">
        <v>3274.38</v>
      </c>
      <c r="N923" s="114">
        <v>3337.8</v>
      </c>
      <c r="O923" t="s">
        <v>1141</v>
      </c>
    </row>
    <row r="924" spans="1:15" x14ac:dyDescent="0.25">
      <c r="A924" t="s">
        <v>967</v>
      </c>
      <c r="B924" s="159">
        <v>45631.163888888892</v>
      </c>
      <c r="C924" s="1" t="s">
        <v>27</v>
      </c>
      <c r="D924" s="1" t="s">
        <v>25</v>
      </c>
      <c r="E924" t="s">
        <v>39</v>
      </c>
      <c r="F924" t="s">
        <v>41</v>
      </c>
      <c r="G924" s="114">
        <v>4449.67</v>
      </c>
      <c r="H924" s="1" t="s">
        <v>17</v>
      </c>
      <c r="J924">
        <v>3.2</v>
      </c>
      <c r="K924">
        <v>1</v>
      </c>
      <c r="L924" s="114">
        <v>0</v>
      </c>
      <c r="M924" s="114">
        <v>0</v>
      </c>
      <c r="N924" s="114">
        <v>0</v>
      </c>
      <c r="O924" t="s">
        <v>1141</v>
      </c>
    </row>
    <row r="925" spans="1:15" x14ac:dyDescent="0.25">
      <c r="A925" t="s">
        <v>968</v>
      </c>
      <c r="B925" s="159">
        <v>45632.431944444441</v>
      </c>
      <c r="C925" s="1" t="s">
        <v>27</v>
      </c>
      <c r="D925" s="1" t="s">
        <v>25</v>
      </c>
      <c r="E925" t="s">
        <v>39</v>
      </c>
      <c r="F925" t="s">
        <v>16</v>
      </c>
      <c r="G925" s="114">
        <v>2703.93</v>
      </c>
      <c r="H925" s="1" t="s">
        <v>22</v>
      </c>
      <c r="J925">
        <v>3.2</v>
      </c>
      <c r="K925">
        <v>1</v>
      </c>
      <c r="L925" s="114">
        <v>86.53</v>
      </c>
      <c r="M925" s="114">
        <v>2617.4</v>
      </c>
      <c r="N925" s="114">
        <v>2703.9300000000003</v>
      </c>
      <c r="O925" t="s">
        <v>1141</v>
      </c>
    </row>
    <row r="926" spans="1:15" x14ac:dyDescent="0.25">
      <c r="A926" t="s">
        <v>969</v>
      </c>
      <c r="B926" s="159">
        <v>45632.878472222219</v>
      </c>
      <c r="C926" s="1" t="s">
        <v>13</v>
      </c>
      <c r="D926" s="1" t="s">
        <v>14</v>
      </c>
      <c r="E926" t="s">
        <v>39</v>
      </c>
      <c r="F926" t="s">
        <v>41</v>
      </c>
      <c r="G926" s="114">
        <v>4767.4799999999996</v>
      </c>
      <c r="H926" s="1" t="s">
        <v>17</v>
      </c>
      <c r="J926">
        <v>3.2</v>
      </c>
      <c r="K926">
        <v>8.7400000000000005E-2</v>
      </c>
      <c r="L926" s="114">
        <v>0</v>
      </c>
      <c r="M926" s="114">
        <v>0</v>
      </c>
      <c r="N926" s="114">
        <v>0</v>
      </c>
      <c r="O926" t="s">
        <v>1141</v>
      </c>
    </row>
    <row r="927" spans="1:15" x14ac:dyDescent="0.25">
      <c r="A927" t="s">
        <v>970</v>
      </c>
      <c r="B927" s="159">
        <v>45633.630555555559</v>
      </c>
      <c r="C927" s="1" t="s">
        <v>27</v>
      </c>
      <c r="D927" s="1" t="s">
        <v>25</v>
      </c>
      <c r="E927" t="s">
        <v>44</v>
      </c>
      <c r="F927" t="s">
        <v>29</v>
      </c>
      <c r="G927" s="114">
        <v>3032.69</v>
      </c>
      <c r="H927" s="1" t="s">
        <v>22</v>
      </c>
      <c r="J927">
        <v>2.1</v>
      </c>
      <c r="K927">
        <v>1</v>
      </c>
      <c r="L927" s="114">
        <v>63.69</v>
      </c>
      <c r="M927" s="114">
        <v>2969</v>
      </c>
      <c r="N927" s="114">
        <v>3032.69</v>
      </c>
      <c r="O927" t="s">
        <v>1141</v>
      </c>
    </row>
    <row r="928" spans="1:15" x14ac:dyDescent="0.25">
      <c r="A928" t="s">
        <v>971</v>
      </c>
      <c r="B928" s="159">
        <v>45634.272916666669</v>
      </c>
      <c r="C928" s="1" t="s">
        <v>37</v>
      </c>
      <c r="D928" s="1" t="s">
        <v>38</v>
      </c>
      <c r="E928" t="s">
        <v>15</v>
      </c>
      <c r="F928" t="s">
        <v>16</v>
      </c>
      <c r="G928" s="114">
        <v>4590.33</v>
      </c>
      <c r="H928" s="1" t="s">
        <v>22</v>
      </c>
      <c r="J928">
        <v>2.5</v>
      </c>
      <c r="K928">
        <v>0.23269999999999999</v>
      </c>
      <c r="L928" s="114">
        <v>26.704651999999999</v>
      </c>
      <c r="M928" s="114">
        <v>1041.4651389999999</v>
      </c>
      <c r="N928" s="114">
        <v>1068.1697909999998</v>
      </c>
      <c r="O928" t="s">
        <v>1141</v>
      </c>
    </row>
    <row r="929" spans="1:15" x14ac:dyDescent="0.25">
      <c r="A929" t="s">
        <v>972</v>
      </c>
      <c r="B929" s="159">
        <v>45634.439583333333</v>
      </c>
      <c r="C929" s="1" t="s">
        <v>13</v>
      </c>
      <c r="D929" s="1" t="s">
        <v>14</v>
      </c>
      <c r="E929" t="s">
        <v>33</v>
      </c>
      <c r="F929" t="s">
        <v>41</v>
      </c>
      <c r="G929" s="114">
        <v>2169.91</v>
      </c>
      <c r="H929" s="1" t="s">
        <v>22</v>
      </c>
      <c r="J929">
        <v>1.9</v>
      </c>
      <c r="K929">
        <v>8.7400000000000005E-2</v>
      </c>
      <c r="L929" s="114">
        <v>3.6035019999999998</v>
      </c>
      <c r="M929" s="114">
        <v>186.04663199999999</v>
      </c>
      <c r="N929" s="114">
        <v>189.65013399999998</v>
      </c>
      <c r="O929" t="s">
        <v>1141</v>
      </c>
    </row>
    <row r="930" spans="1:15" x14ac:dyDescent="0.25">
      <c r="A930" t="s">
        <v>973</v>
      </c>
      <c r="B930" s="159">
        <v>45635.162499999999</v>
      </c>
      <c r="C930" s="1" t="s">
        <v>27</v>
      </c>
      <c r="D930" s="1" t="s">
        <v>25</v>
      </c>
      <c r="E930" t="s">
        <v>39</v>
      </c>
      <c r="F930" t="s">
        <v>16</v>
      </c>
      <c r="G930" s="114">
        <v>3471.43</v>
      </c>
      <c r="H930" s="1" t="s">
        <v>22</v>
      </c>
      <c r="J930">
        <v>3.2</v>
      </c>
      <c r="K930">
        <v>1</v>
      </c>
      <c r="L930" s="114">
        <v>111.09</v>
      </c>
      <c r="M930" s="114">
        <v>3360.34</v>
      </c>
      <c r="N930" s="114">
        <v>3471.4300000000003</v>
      </c>
      <c r="O930" t="s">
        <v>1141</v>
      </c>
    </row>
    <row r="931" spans="1:15" x14ac:dyDescent="0.25">
      <c r="A931" t="s">
        <v>974</v>
      </c>
      <c r="B931" s="159">
        <v>45635.850694444445</v>
      </c>
      <c r="C931" s="1" t="s">
        <v>37</v>
      </c>
      <c r="D931" s="1" t="s">
        <v>38</v>
      </c>
      <c r="E931" t="s">
        <v>33</v>
      </c>
      <c r="F931" t="s">
        <v>29</v>
      </c>
      <c r="G931" s="114">
        <v>4764.42</v>
      </c>
      <c r="H931" s="1" t="s">
        <v>22</v>
      </c>
      <c r="J931">
        <v>1.9</v>
      </c>
      <c r="K931">
        <v>0.23269999999999999</v>
      </c>
      <c r="L931" s="114">
        <v>21.064003999999997</v>
      </c>
      <c r="M931" s="114">
        <v>1087.6165299999998</v>
      </c>
      <c r="N931" s="114">
        <v>1108.6805339999999</v>
      </c>
      <c r="O931" t="s">
        <v>1141</v>
      </c>
    </row>
    <row r="932" spans="1:15" x14ac:dyDescent="0.25">
      <c r="A932" t="s">
        <v>975</v>
      </c>
      <c r="B932" s="159">
        <v>45635.913888888892</v>
      </c>
      <c r="C932" s="1" t="s">
        <v>31</v>
      </c>
      <c r="D932" s="1" t="s">
        <v>32</v>
      </c>
      <c r="E932" t="s">
        <v>15</v>
      </c>
      <c r="F932" t="s">
        <v>29</v>
      </c>
      <c r="G932" s="114">
        <v>1187.8499999999999</v>
      </c>
      <c r="H932" s="1" t="s">
        <v>17</v>
      </c>
      <c r="J932">
        <v>2.5</v>
      </c>
      <c r="K932">
        <v>1.1801999999999999</v>
      </c>
      <c r="L932" s="114">
        <v>0</v>
      </c>
      <c r="M932" s="114">
        <v>0</v>
      </c>
      <c r="N932" s="114">
        <v>0</v>
      </c>
      <c r="O932" t="s">
        <v>1141</v>
      </c>
    </row>
    <row r="933" spans="1:15" x14ac:dyDescent="0.25">
      <c r="A933" t="s">
        <v>976</v>
      </c>
      <c r="B933" s="159">
        <v>45635.953472222223</v>
      </c>
      <c r="C933" s="1" t="s">
        <v>13</v>
      </c>
      <c r="D933" s="1" t="s">
        <v>14</v>
      </c>
      <c r="E933" t="s">
        <v>28</v>
      </c>
      <c r="F933" t="s">
        <v>16</v>
      </c>
      <c r="G933" s="114">
        <v>2547.36</v>
      </c>
      <c r="H933" s="1" t="s">
        <v>22</v>
      </c>
      <c r="J933">
        <v>2.9</v>
      </c>
      <c r="K933">
        <v>8.7400000000000005E-2</v>
      </c>
      <c r="L933" s="114">
        <v>6.4562380000000008</v>
      </c>
      <c r="M933" s="114">
        <v>216.18302599999998</v>
      </c>
      <c r="N933" s="114">
        <v>222.639264</v>
      </c>
      <c r="O933" t="s">
        <v>1141</v>
      </c>
    </row>
    <row r="934" spans="1:15" x14ac:dyDescent="0.25">
      <c r="A934" t="s">
        <v>977</v>
      </c>
      <c r="B934" s="159">
        <v>45635.988888888889</v>
      </c>
      <c r="C934" s="1" t="s">
        <v>13</v>
      </c>
      <c r="D934" s="1" t="s">
        <v>14</v>
      </c>
      <c r="E934" t="s">
        <v>15</v>
      </c>
      <c r="F934" t="s">
        <v>45</v>
      </c>
      <c r="G934" s="114">
        <v>3713.92</v>
      </c>
      <c r="H934" s="1" t="s">
        <v>22</v>
      </c>
      <c r="J934">
        <v>2.5</v>
      </c>
      <c r="K934">
        <v>8.7400000000000005E-2</v>
      </c>
      <c r="L934" s="114">
        <v>8.1150900000000004</v>
      </c>
      <c r="M934" s="114">
        <v>316.48151800000005</v>
      </c>
      <c r="N934" s="114">
        <v>324.59660800000006</v>
      </c>
      <c r="O934" t="s">
        <v>1141</v>
      </c>
    </row>
    <row r="935" spans="1:15" x14ac:dyDescent="0.25">
      <c r="A935" t="s">
        <v>978</v>
      </c>
      <c r="B935" s="159">
        <v>45636.143750000003</v>
      </c>
      <c r="C935" s="1" t="s">
        <v>13</v>
      </c>
      <c r="D935" s="1" t="s">
        <v>14</v>
      </c>
      <c r="E935" t="s">
        <v>28</v>
      </c>
      <c r="F935" t="s">
        <v>41</v>
      </c>
      <c r="G935" s="114">
        <v>1980.72</v>
      </c>
      <c r="H935" s="1" t="s">
        <v>22</v>
      </c>
      <c r="J935">
        <v>2.9</v>
      </c>
      <c r="K935">
        <v>8.7400000000000005E-2</v>
      </c>
      <c r="L935" s="114">
        <v>5.0202559999999998</v>
      </c>
      <c r="M935" s="114">
        <v>168.094672</v>
      </c>
      <c r="N935" s="114">
        <v>173.11492799999999</v>
      </c>
      <c r="O935" t="s">
        <v>1141</v>
      </c>
    </row>
    <row r="936" spans="1:15" x14ac:dyDescent="0.25">
      <c r="A936" t="s">
        <v>979</v>
      </c>
      <c r="B936" s="159">
        <v>45636.197916666664</v>
      </c>
      <c r="C936" s="1" t="s">
        <v>27</v>
      </c>
      <c r="D936" s="1" t="s">
        <v>25</v>
      </c>
      <c r="E936" t="s">
        <v>33</v>
      </c>
      <c r="F936" t="s">
        <v>45</v>
      </c>
      <c r="G936" s="114">
        <v>3474.62</v>
      </c>
      <c r="H936" s="1" t="s">
        <v>22</v>
      </c>
      <c r="J936">
        <v>1.9</v>
      </c>
      <c r="K936">
        <v>1</v>
      </c>
      <c r="L936" s="114">
        <v>66.02</v>
      </c>
      <c r="M936" s="114">
        <v>3408.6</v>
      </c>
      <c r="N936" s="114">
        <v>3474.62</v>
      </c>
      <c r="O936" t="s">
        <v>1141</v>
      </c>
    </row>
    <row r="937" spans="1:15" x14ac:dyDescent="0.25">
      <c r="A937" t="s">
        <v>980</v>
      </c>
      <c r="B937" s="159">
        <v>45636.865972222222</v>
      </c>
      <c r="C937" s="1" t="s">
        <v>37</v>
      </c>
      <c r="D937" s="1" t="s">
        <v>38</v>
      </c>
      <c r="E937" t="s">
        <v>15</v>
      </c>
      <c r="F937" t="s">
        <v>29</v>
      </c>
      <c r="G937" s="114">
        <v>3112.99</v>
      </c>
      <c r="H937" s="1" t="s">
        <v>22</v>
      </c>
      <c r="J937">
        <v>2.5</v>
      </c>
      <c r="K937">
        <v>0.23269999999999999</v>
      </c>
      <c r="L937" s="114">
        <v>18.108713999999999</v>
      </c>
      <c r="M937" s="114">
        <v>706.28405899999996</v>
      </c>
      <c r="N937" s="114">
        <v>724.39277299999992</v>
      </c>
      <c r="O937" t="s">
        <v>1141</v>
      </c>
    </row>
    <row r="938" spans="1:15" x14ac:dyDescent="0.25">
      <c r="A938" t="s">
        <v>981</v>
      </c>
      <c r="B938" s="159">
        <v>45636.975694444445</v>
      </c>
      <c r="C938" s="1" t="s">
        <v>43</v>
      </c>
      <c r="D938" s="1" t="s">
        <v>25</v>
      </c>
      <c r="E938" t="s">
        <v>33</v>
      </c>
      <c r="F938" t="s">
        <v>45</v>
      </c>
      <c r="G938" s="114">
        <v>2528.6</v>
      </c>
      <c r="H938" s="1" t="s">
        <v>22</v>
      </c>
      <c r="J938">
        <v>1.9</v>
      </c>
      <c r="K938">
        <v>1</v>
      </c>
      <c r="L938" s="114">
        <v>48.04</v>
      </c>
      <c r="M938" s="114">
        <v>2480.56</v>
      </c>
      <c r="N938" s="114">
        <v>2528.6</v>
      </c>
      <c r="O938" t="s">
        <v>1141</v>
      </c>
    </row>
    <row r="939" spans="1:15" x14ac:dyDescent="0.25">
      <c r="A939" t="s">
        <v>982</v>
      </c>
      <c r="B939" s="159">
        <v>45636.988194444442</v>
      </c>
      <c r="C939" s="1" t="s">
        <v>47</v>
      </c>
      <c r="D939" s="1" t="s">
        <v>25</v>
      </c>
      <c r="E939" t="s">
        <v>33</v>
      </c>
      <c r="F939" t="s">
        <v>16</v>
      </c>
      <c r="G939" s="114">
        <v>4113.8599999999997</v>
      </c>
      <c r="H939" s="1" t="s">
        <v>22</v>
      </c>
      <c r="J939">
        <v>1.9</v>
      </c>
      <c r="K939">
        <v>1</v>
      </c>
      <c r="L939" s="114">
        <v>78.16</v>
      </c>
      <c r="M939" s="114">
        <v>4035.7</v>
      </c>
      <c r="N939" s="114">
        <v>4113.8599999999997</v>
      </c>
      <c r="O939" t="s">
        <v>1141</v>
      </c>
    </row>
    <row r="940" spans="1:15" x14ac:dyDescent="0.25">
      <c r="A940" t="s">
        <v>983</v>
      </c>
      <c r="B940" s="159">
        <v>45637.057638888888</v>
      </c>
      <c r="C940" s="1" t="s">
        <v>24</v>
      </c>
      <c r="D940" s="1" t="s">
        <v>25</v>
      </c>
      <c r="E940" t="s">
        <v>28</v>
      </c>
      <c r="F940" t="s">
        <v>29</v>
      </c>
      <c r="G940" s="114">
        <v>443.35</v>
      </c>
      <c r="H940" s="1" t="s">
        <v>22</v>
      </c>
      <c r="J940">
        <v>2.9</v>
      </c>
      <c r="K940">
        <v>1</v>
      </c>
      <c r="L940" s="114">
        <v>12.86</v>
      </c>
      <c r="M940" s="114">
        <v>430.49</v>
      </c>
      <c r="N940" s="114">
        <v>443.35</v>
      </c>
      <c r="O940" t="s">
        <v>1141</v>
      </c>
    </row>
    <row r="941" spans="1:15" x14ac:dyDescent="0.25">
      <c r="A941" t="s">
        <v>984</v>
      </c>
      <c r="B941" s="159">
        <v>45637.3125</v>
      </c>
      <c r="C941" s="1" t="s">
        <v>60</v>
      </c>
      <c r="D941" s="1" t="s">
        <v>25</v>
      </c>
      <c r="E941" t="s">
        <v>33</v>
      </c>
      <c r="F941" t="s">
        <v>45</v>
      </c>
      <c r="G941" s="114">
        <v>1646.75</v>
      </c>
      <c r="H941" s="1" t="s">
        <v>17</v>
      </c>
      <c r="J941">
        <v>1.9</v>
      </c>
      <c r="K941">
        <v>1</v>
      </c>
      <c r="L941" s="114">
        <v>0</v>
      </c>
      <c r="M941" s="114">
        <v>0</v>
      </c>
      <c r="N941" s="114">
        <v>0</v>
      </c>
      <c r="O941" t="s">
        <v>1141</v>
      </c>
    </row>
    <row r="942" spans="1:15" x14ac:dyDescent="0.25">
      <c r="A942" t="s">
        <v>985</v>
      </c>
      <c r="B942" s="159">
        <v>45637.645833333336</v>
      </c>
      <c r="C942" s="1" t="s">
        <v>24</v>
      </c>
      <c r="D942" s="1" t="s">
        <v>25</v>
      </c>
      <c r="E942" t="s">
        <v>33</v>
      </c>
      <c r="F942" t="s">
        <v>29</v>
      </c>
      <c r="G942" s="114">
        <v>3239.82</v>
      </c>
      <c r="H942" s="1" t="s">
        <v>34</v>
      </c>
      <c r="I942" t="s">
        <v>78</v>
      </c>
      <c r="J942">
        <v>1.9</v>
      </c>
      <c r="K942">
        <v>1</v>
      </c>
      <c r="L942" s="114">
        <v>0</v>
      </c>
      <c r="M942" s="114">
        <v>0</v>
      </c>
      <c r="N942" s="114">
        <v>0</v>
      </c>
      <c r="O942" t="s">
        <v>1141</v>
      </c>
    </row>
    <row r="943" spans="1:15" x14ac:dyDescent="0.25">
      <c r="A943" t="s">
        <v>986</v>
      </c>
      <c r="B943" s="159">
        <v>45638.521527777775</v>
      </c>
      <c r="C943" s="1" t="s">
        <v>27</v>
      </c>
      <c r="D943" s="1" t="s">
        <v>25</v>
      </c>
      <c r="E943" t="s">
        <v>33</v>
      </c>
      <c r="F943" t="s">
        <v>21</v>
      </c>
      <c r="G943" s="114">
        <v>3142.79</v>
      </c>
      <c r="H943" s="1" t="s">
        <v>34</v>
      </c>
      <c r="I943" t="s">
        <v>55</v>
      </c>
      <c r="J943">
        <v>1.9</v>
      </c>
      <c r="K943">
        <v>1</v>
      </c>
      <c r="L943" s="114">
        <v>0</v>
      </c>
      <c r="M943" s="114">
        <v>0</v>
      </c>
      <c r="N943" s="114">
        <v>0</v>
      </c>
      <c r="O943" t="s">
        <v>1141</v>
      </c>
    </row>
    <row r="944" spans="1:15" x14ac:dyDescent="0.25">
      <c r="A944" t="s">
        <v>987</v>
      </c>
      <c r="B944" s="159">
        <v>45638.684027777781</v>
      </c>
      <c r="C944" s="1" t="s">
        <v>19</v>
      </c>
      <c r="D944" s="1" t="s">
        <v>20</v>
      </c>
      <c r="E944" t="s">
        <v>33</v>
      </c>
      <c r="F944" t="s">
        <v>45</v>
      </c>
      <c r="G944" s="114">
        <v>3896.34</v>
      </c>
      <c r="H944" s="1" t="s">
        <v>22</v>
      </c>
      <c r="J944">
        <v>1.9</v>
      </c>
      <c r="K944">
        <v>8.5999999999999993E-2</v>
      </c>
      <c r="L944" s="114">
        <v>6.3665799999999999</v>
      </c>
      <c r="M944" s="114">
        <v>328.71865999999994</v>
      </c>
      <c r="N944" s="114">
        <v>335.08523999999994</v>
      </c>
      <c r="O944" t="s">
        <v>1141</v>
      </c>
    </row>
    <row r="945" spans="1:15" x14ac:dyDescent="0.25">
      <c r="A945" t="s">
        <v>988</v>
      </c>
      <c r="B945" s="159">
        <v>45638.722916666666</v>
      </c>
      <c r="C945" s="1" t="s">
        <v>58</v>
      </c>
      <c r="D945" s="1" t="s">
        <v>25</v>
      </c>
      <c r="E945" t="s">
        <v>44</v>
      </c>
      <c r="F945" t="s">
        <v>41</v>
      </c>
      <c r="G945" s="114">
        <v>2508.96</v>
      </c>
      <c r="H945" s="1" t="s">
        <v>22</v>
      </c>
      <c r="J945">
        <v>2.1</v>
      </c>
      <c r="K945">
        <v>1</v>
      </c>
      <c r="L945" s="114">
        <v>52.69</v>
      </c>
      <c r="M945" s="114">
        <v>2456.27</v>
      </c>
      <c r="N945" s="114">
        <v>2508.96</v>
      </c>
      <c r="O945" t="s">
        <v>1141</v>
      </c>
    </row>
    <row r="946" spans="1:15" x14ac:dyDescent="0.25">
      <c r="A946" t="s">
        <v>989</v>
      </c>
      <c r="B946" s="159">
        <v>45638.896527777775</v>
      </c>
      <c r="C946" s="1" t="s">
        <v>19</v>
      </c>
      <c r="D946" s="1" t="s">
        <v>20</v>
      </c>
      <c r="E946" t="s">
        <v>28</v>
      </c>
      <c r="F946" t="s">
        <v>45</v>
      </c>
      <c r="G946" s="114">
        <v>4790.3900000000003</v>
      </c>
      <c r="H946" s="1" t="s">
        <v>34</v>
      </c>
      <c r="I946" t="s">
        <v>62</v>
      </c>
      <c r="J946">
        <v>2.9</v>
      </c>
      <c r="K946">
        <v>8.5999999999999993E-2</v>
      </c>
      <c r="L946" s="114">
        <v>0</v>
      </c>
      <c r="M946" s="114">
        <v>0</v>
      </c>
      <c r="N946" s="114">
        <v>0</v>
      </c>
      <c r="O946" t="s">
        <v>1141</v>
      </c>
    </row>
    <row r="947" spans="1:15" x14ac:dyDescent="0.25">
      <c r="A947" t="s">
        <v>990</v>
      </c>
      <c r="B947" s="159">
        <v>45638.924305555556</v>
      </c>
      <c r="C947" s="1" t="s">
        <v>37</v>
      </c>
      <c r="D947" s="1" t="s">
        <v>38</v>
      </c>
      <c r="E947" t="s">
        <v>33</v>
      </c>
      <c r="F947" t="s">
        <v>41</v>
      </c>
      <c r="G947" s="114">
        <v>3367.28</v>
      </c>
      <c r="H947" s="1" t="s">
        <v>22</v>
      </c>
      <c r="J947">
        <v>1.9</v>
      </c>
      <c r="K947">
        <v>0.23269999999999999</v>
      </c>
      <c r="L947" s="114">
        <v>14.888145999999999</v>
      </c>
      <c r="M947" s="114">
        <v>768.67791</v>
      </c>
      <c r="N947" s="114">
        <v>783.566056</v>
      </c>
      <c r="O947" t="s">
        <v>1141</v>
      </c>
    </row>
    <row r="948" spans="1:15" x14ac:dyDescent="0.25">
      <c r="A948" t="s">
        <v>991</v>
      </c>
      <c r="B948" s="159">
        <v>45639.713194444441</v>
      </c>
      <c r="C948" s="1" t="s">
        <v>47</v>
      </c>
      <c r="D948" s="1" t="s">
        <v>25</v>
      </c>
      <c r="E948" t="s">
        <v>28</v>
      </c>
      <c r="F948" t="s">
        <v>16</v>
      </c>
      <c r="G948" s="114">
        <v>3091.43</v>
      </c>
      <c r="H948" s="1" t="s">
        <v>22</v>
      </c>
      <c r="J948">
        <v>2.9</v>
      </c>
      <c r="K948">
        <v>1</v>
      </c>
      <c r="L948" s="114">
        <v>89.65</v>
      </c>
      <c r="M948" s="114">
        <v>3001.78</v>
      </c>
      <c r="N948" s="114">
        <v>3091.4300000000003</v>
      </c>
      <c r="O948" t="s">
        <v>1141</v>
      </c>
    </row>
    <row r="949" spans="1:15" x14ac:dyDescent="0.25">
      <c r="A949" t="s">
        <v>992</v>
      </c>
      <c r="B949" s="159">
        <v>45639.900694444441</v>
      </c>
      <c r="C949" s="1" t="s">
        <v>43</v>
      </c>
      <c r="D949" s="1" t="s">
        <v>25</v>
      </c>
      <c r="E949" t="s">
        <v>33</v>
      </c>
      <c r="F949" t="s">
        <v>21</v>
      </c>
      <c r="G949" s="114">
        <v>236.63</v>
      </c>
      <c r="H949" s="1" t="s">
        <v>34</v>
      </c>
      <c r="I949" t="s">
        <v>100</v>
      </c>
      <c r="J949">
        <v>1.9</v>
      </c>
      <c r="K949">
        <v>1</v>
      </c>
      <c r="L949" s="114">
        <v>0</v>
      </c>
      <c r="M949" s="114">
        <v>0</v>
      </c>
      <c r="N949" s="114">
        <v>0</v>
      </c>
      <c r="O949" t="s">
        <v>1141</v>
      </c>
    </row>
    <row r="950" spans="1:15" x14ac:dyDescent="0.25">
      <c r="A950" t="s">
        <v>993</v>
      </c>
      <c r="B950" s="159">
        <v>45640.293055555558</v>
      </c>
      <c r="C950" s="1" t="s">
        <v>19</v>
      </c>
      <c r="D950" s="1" t="s">
        <v>20</v>
      </c>
      <c r="E950" t="s">
        <v>28</v>
      </c>
      <c r="F950" t="s">
        <v>29</v>
      </c>
      <c r="G950" s="114">
        <v>104.5</v>
      </c>
      <c r="H950" s="1" t="s">
        <v>22</v>
      </c>
      <c r="J950">
        <v>2.9</v>
      </c>
      <c r="K950">
        <v>8.5999999999999993E-2</v>
      </c>
      <c r="L950" s="114">
        <v>0.26057999999999998</v>
      </c>
      <c r="M950" s="114">
        <v>8.7264199999999992</v>
      </c>
      <c r="N950" s="114">
        <v>8.9869999999999983</v>
      </c>
      <c r="O950" t="s">
        <v>1141</v>
      </c>
    </row>
    <row r="951" spans="1:15" x14ac:dyDescent="0.25">
      <c r="A951" t="s">
        <v>994</v>
      </c>
      <c r="B951" s="159">
        <v>45640.533333333333</v>
      </c>
      <c r="C951" s="1" t="s">
        <v>24</v>
      </c>
      <c r="D951" s="1" t="s">
        <v>25</v>
      </c>
      <c r="E951" t="s">
        <v>15</v>
      </c>
      <c r="F951" t="s">
        <v>45</v>
      </c>
      <c r="G951" s="114">
        <v>3921.1</v>
      </c>
      <c r="H951" s="1" t="s">
        <v>34</v>
      </c>
      <c r="I951" t="s">
        <v>35</v>
      </c>
      <c r="J951">
        <v>2.5</v>
      </c>
      <c r="K951">
        <v>1</v>
      </c>
      <c r="L951" s="114">
        <v>0</v>
      </c>
      <c r="M951" s="114">
        <v>0</v>
      </c>
      <c r="N951" s="114">
        <v>0</v>
      </c>
      <c r="O951" t="s">
        <v>1141</v>
      </c>
    </row>
    <row r="952" spans="1:15" x14ac:dyDescent="0.25">
      <c r="A952" t="s">
        <v>995</v>
      </c>
      <c r="B952" s="159">
        <v>45640.963194444441</v>
      </c>
      <c r="C952" s="1" t="s">
        <v>13</v>
      </c>
      <c r="D952" s="1" t="s">
        <v>14</v>
      </c>
      <c r="E952" t="s">
        <v>39</v>
      </c>
      <c r="F952" t="s">
        <v>21</v>
      </c>
      <c r="G952" s="114">
        <v>566.65</v>
      </c>
      <c r="H952" s="1" t="s">
        <v>34</v>
      </c>
      <c r="I952" t="s">
        <v>35</v>
      </c>
      <c r="J952">
        <v>3.2</v>
      </c>
      <c r="K952">
        <v>8.7400000000000005E-2</v>
      </c>
      <c r="L952" s="114">
        <v>0</v>
      </c>
      <c r="M952" s="114">
        <v>0</v>
      </c>
      <c r="N952" s="114">
        <v>0</v>
      </c>
      <c r="O952" t="s">
        <v>1141</v>
      </c>
    </row>
    <row r="953" spans="1:15" x14ac:dyDescent="0.25">
      <c r="A953" t="s">
        <v>996</v>
      </c>
      <c r="B953" s="159">
        <v>45641.271527777775</v>
      </c>
      <c r="C953" s="1" t="s">
        <v>24</v>
      </c>
      <c r="D953" s="1" t="s">
        <v>25</v>
      </c>
      <c r="E953" t="s">
        <v>44</v>
      </c>
      <c r="F953" t="s">
        <v>29</v>
      </c>
      <c r="G953" s="114">
        <v>4364.99</v>
      </c>
      <c r="H953" s="1" t="s">
        <v>22</v>
      </c>
      <c r="J953">
        <v>2.1</v>
      </c>
      <c r="K953">
        <v>1</v>
      </c>
      <c r="L953" s="114">
        <v>91.66</v>
      </c>
      <c r="M953" s="114">
        <v>4273.33</v>
      </c>
      <c r="N953" s="114">
        <v>4364.99</v>
      </c>
      <c r="O953" t="s">
        <v>1141</v>
      </c>
    </row>
    <row r="954" spans="1:15" x14ac:dyDescent="0.25">
      <c r="A954" t="s">
        <v>997</v>
      </c>
      <c r="B954" s="159">
        <v>45641.313194444447</v>
      </c>
      <c r="C954" s="1" t="s">
        <v>19</v>
      </c>
      <c r="D954" s="1" t="s">
        <v>20</v>
      </c>
      <c r="E954" t="s">
        <v>44</v>
      </c>
      <c r="F954" t="s">
        <v>29</v>
      </c>
      <c r="G954" s="114">
        <v>2311.14</v>
      </c>
      <c r="H954" s="1" t="s">
        <v>22</v>
      </c>
      <c r="J954">
        <v>2.1</v>
      </c>
      <c r="K954">
        <v>8.5999999999999993E-2</v>
      </c>
      <c r="L954" s="114">
        <v>4.1735799999999994</v>
      </c>
      <c r="M954" s="114">
        <v>194.58446000000001</v>
      </c>
      <c r="N954" s="114">
        <v>198.75803999999999</v>
      </c>
      <c r="O954" t="s">
        <v>1141</v>
      </c>
    </row>
    <row r="955" spans="1:15" x14ac:dyDescent="0.25">
      <c r="A955" t="s">
        <v>998</v>
      </c>
      <c r="B955" s="159">
        <v>45641.55</v>
      </c>
      <c r="C955" s="1" t="s">
        <v>27</v>
      </c>
      <c r="D955" s="1" t="s">
        <v>25</v>
      </c>
      <c r="E955" t="s">
        <v>33</v>
      </c>
      <c r="F955" t="s">
        <v>21</v>
      </c>
      <c r="G955" s="114">
        <v>1605.55</v>
      </c>
      <c r="H955" s="1" t="s">
        <v>22</v>
      </c>
      <c r="J955">
        <v>1.9</v>
      </c>
      <c r="K955">
        <v>1</v>
      </c>
      <c r="L955" s="114">
        <v>30.51</v>
      </c>
      <c r="M955" s="114">
        <v>1575.04</v>
      </c>
      <c r="N955" s="114">
        <v>1605.55</v>
      </c>
      <c r="O955" t="s">
        <v>1141</v>
      </c>
    </row>
    <row r="956" spans="1:15" x14ac:dyDescent="0.25">
      <c r="A956" t="s">
        <v>999</v>
      </c>
      <c r="B956" s="159">
        <v>45642.11041666667</v>
      </c>
      <c r="C956" s="1" t="s">
        <v>37</v>
      </c>
      <c r="D956" s="1" t="s">
        <v>38</v>
      </c>
      <c r="E956" t="s">
        <v>28</v>
      </c>
      <c r="F956" t="s">
        <v>45</v>
      </c>
      <c r="G956" s="114">
        <v>4727.16</v>
      </c>
      <c r="H956" s="1" t="s">
        <v>22</v>
      </c>
      <c r="J956">
        <v>2.9</v>
      </c>
      <c r="K956">
        <v>0.23269999999999999</v>
      </c>
      <c r="L956" s="114">
        <v>31.900842999999998</v>
      </c>
      <c r="M956" s="114">
        <v>1068.109289</v>
      </c>
      <c r="N956" s="114">
        <v>1100.0101319999999</v>
      </c>
      <c r="O956" t="s">
        <v>1141</v>
      </c>
    </row>
    <row r="957" spans="1:15" x14ac:dyDescent="0.25">
      <c r="A957" t="s">
        <v>1000</v>
      </c>
      <c r="B957" s="159">
        <v>45642.464583333334</v>
      </c>
      <c r="C957" s="1" t="s">
        <v>31</v>
      </c>
      <c r="D957" s="1" t="s">
        <v>32</v>
      </c>
      <c r="E957" t="s">
        <v>28</v>
      </c>
      <c r="F957" t="s">
        <v>41</v>
      </c>
      <c r="G957" s="114">
        <v>1222.81</v>
      </c>
      <c r="H957" s="1" t="s">
        <v>17</v>
      </c>
      <c r="J957">
        <v>2.9</v>
      </c>
      <c r="K957">
        <v>1.1801999999999999</v>
      </c>
      <c r="L957" s="114">
        <v>0</v>
      </c>
      <c r="M957" s="114">
        <v>0</v>
      </c>
      <c r="N957" s="114">
        <v>0</v>
      </c>
      <c r="O957" t="s">
        <v>1141</v>
      </c>
    </row>
    <row r="958" spans="1:15" x14ac:dyDescent="0.25">
      <c r="A958" t="s">
        <v>1001</v>
      </c>
      <c r="B958" s="159">
        <v>45642.646527777775</v>
      </c>
      <c r="C958" s="1" t="s">
        <v>27</v>
      </c>
      <c r="D958" s="1" t="s">
        <v>25</v>
      </c>
      <c r="E958" t="s">
        <v>44</v>
      </c>
      <c r="F958" t="s">
        <v>41</v>
      </c>
      <c r="G958" s="114">
        <v>279.60000000000002</v>
      </c>
      <c r="H958" s="1" t="s">
        <v>22</v>
      </c>
      <c r="J958">
        <v>2.1</v>
      </c>
      <c r="K958">
        <v>1</v>
      </c>
      <c r="L958" s="114">
        <v>5.87</v>
      </c>
      <c r="M958" s="114">
        <v>273.73</v>
      </c>
      <c r="N958" s="114">
        <v>279.60000000000002</v>
      </c>
      <c r="O958" t="s">
        <v>1141</v>
      </c>
    </row>
    <row r="959" spans="1:15" x14ac:dyDescent="0.25">
      <c r="A959" t="s">
        <v>1002</v>
      </c>
      <c r="B959" s="159">
        <v>45642.73333333333</v>
      </c>
      <c r="C959" s="1" t="s">
        <v>43</v>
      </c>
      <c r="D959" s="1" t="s">
        <v>25</v>
      </c>
      <c r="E959" t="s">
        <v>15</v>
      </c>
      <c r="F959" t="s">
        <v>45</v>
      </c>
      <c r="G959" s="114">
        <v>4273.21</v>
      </c>
      <c r="H959" s="1" t="s">
        <v>17</v>
      </c>
      <c r="J959">
        <v>2.5</v>
      </c>
      <c r="K959">
        <v>1</v>
      </c>
      <c r="L959" s="114">
        <v>0</v>
      </c>
      <c r="M959" s="114">
        <v>0</v>
      </c>
      <c r="N959" s="114">
        <v>0</v>
      </c>
      <c r="O959" t="s">
        <v>1141</v>
      </c>
    </row>
    <row r="960" spans="1:15" x14ac:dyDescent="0.25">
      <c r="A960" t="s">
        <v>1003</v>
      </c>
      <c r="B960" s="159">
        <v>45642.997916666667</v>
      </c>
      <c r="C960" s="1" t="s">
        <v>27</v>
      </c>
      <c r="D960" s="1" t="s">
        <v>25</v>
      </c>
      <c r="E960" t="s">
        <v>15</v>
      </c>
      <c r="F960" t="s">
        <v>16</v>
      </c>
      <c r="G960" s="114">
        <v>573.55999999999995</v>
      </c>
      <c r="H960" s="1" t="s">
        <v>34</v>
      </c>
      <c r="I960" t="s">
        <v>55</v>
      </c>
      <c r="J960">
        <v>2.5</v>
      </c>
      <c r="K960">
        <v>1</v>
      </c>
      <c r="L960" s="114">
        <v>0</v>
      </c>
      <c r="M960" s="114">
        <v>0</v>
      </c>
      <c r="N960" s="114">
        <v>0</v>
      </c>
      <c r="O960" t="s">
        <v>1141</v>
      </c>
    </row>
    <row r="961" spans="1:15" x14ac:dyDescent="0.25">
      <c r="A961" t="s">
        <v>1004</v>
      </c>
      <c r="B961" s="159">
        <v>45643.146527777775</v>
      </c>
      <c r="C961" s="1" t="s">
        <v>43</v>
      </c>
      <c r="D961" s="1" t="s">
        <v>25</v>
      </c>
      <c r="E961" t="s">
        <v>28</v>
      </c>
      <c r="F961" t="s">
        <v>41</v>
      </c>
      <c r="G961" s="114">
        <v>1617.34</v>
      </c>
      <c r="H961" s="1" t="s">
        <v>22</v>
      </c>
      <c r="J961">
        <v>2.9</v>
      </c>
      <c r="K961">
        <v>1</v>
      </c>
      <c r="L961" s="114">
        <v>46.9</v>
      </c>
      <c r="M961" s="114">
        <v>1570.44</v>
      </c>
      <c r="N961" s="114">
        <v>1617.3400000000001</v>
      </c>
      <c r="O961" t="s">
        <v>1141</v>
      </c>
    </row>
    <row r="962" spans="1:15" x14ac:dyDescent="0.25">
      <c r="A962" t="s">
        <v>1005</v>
      </c>
      <c r="B962" s="159">
        <v>45643.167361111111</v>
      </c>
      <c r="C962" s="1" t="s">
        <v>43</v>
      </c>
      <c r="D962" s="1" t="s">
        <v>25</v>
      </c>
      <c r="E962" t="s">
        <v>39</v>
      </c>
      <c r="F962" t="s">
        <v>41</v>
      </c>
      <c r="G962" s="114">
        <v>446.73</v>
      </c>
      <c r="H962" s="1" t="s">
        <v>22</v>
      </c>
      <c r="J962">
        <v>3.2</v>
      </c>
      <c r="K962">
        <v>1</v>
      </c>
      <c r="L962" s="114">
        <v>14.3</v>
      </c>
      <c r="M962" s="114">
        <v>432.43</v>
      </c>
      <c r="N962" s="114">
        <v>446.73</v>
      </c>
      <c r="O962" t="s">
        <v>1141</v>
      </c>
    </row>
    <row r="963" spans="1:15" x14ac:dyDescent="0.25">
      <c r="A963" t="s">
        <v>1006</v>
      </c>
      <c r="B963" s="159">
        <v>45643.28125</v>
      </c>
      <c r="C963" s="1" t="s">
        <v>58</v>
      </c>
      <c r="D963" s="1" t="s">
        <v>25</v>
      </c>
      <c r="E963" t="s">
        <v>15</v>
      </c>
      <c r="F963" t="s">
        <v>45</v>
      </c>
      <c r="G963" s="114">
        <v>1288.57</v>
      </c>
      <c r="H963" s="1" t="s">
        <v>22</v>
      </c>
      <c r="J963">
        <v>2.5</v>
      </c>
      <c r="K963">
        <v>1</v>
      </c>
      <c r="L963" s="114">
        <v>32.21</v>
      </c>
      <c r="M963" s="114">
        <v>1256.3599999999999</v>
      </c>
      <c r="N963" s="114">
        <v>1288.57</v>
      </c>
      <c r="O963" t="s">
        <v>1141</v>
      </c>
    </row>
    <row r="964" spans="1:15" x14ac:dyDescent="0.25">
      <c r="A964" t="s">
        <v>1007</v>
      </c>
      <c r="B964" s="159">
        <v>45643.736111111109</v>
      </c>
      <c r="C964" s="1" t="s">
        <v>43</v>
      </c>
      <c r="D964" s="1" t="s">
        <v>25</v>
      </c>
      <c r="E964" t="s">
        <v>39</v>
      </c>
      <c r="F964" t="s">
        <v>45</v>
      </c>
      <c r="G964" s="114">
        <v>1507.97</v>
      </c>
      <c r="H964" s="1" t="s">
        <v>22</v>
      </c>
      <c r="J964">
        <v>3.2</v>
      </c>
      <c r="K964">
        <v>1</v>
      </c>
      <c r="L964" s="114">
        <v>48.26</v>
      </c>
      <c r="M964" s="114">
        <v>1459.71</v>
      </c>
      <c r="N964" s="114">
        <v>1507.97</v>
      </c>
      <c r="O964" t="s">
        <v>1141</v>
      </c>
    </row>
    <row r="965" spans="1:15" x14ac:dyDescent="0.25">
      <c r="A965" t="s">
        <v>1008</v>
      </c>
      <c r="B965" s="159">
        <v>45643.829861111109</v>
      </c>
      <c r="C965" s="1" t="s">
        <v>31</v>
      </c>
      <c r="D965" s="1" t="s">
        <v>32</v>
      </c>
      <c r="E965" t="s">
        <v>39</v>
      </c>
      <c r="F965" t="s">
        <v>16</v>
      </c>
      <c r="G965" s="114">
        <v>4447.04</v>
      </c>
      <c r="H965" s="1" t="s">
        <v>22</v>
      </c>
      <c r="J965">
        <v>3.2</v>
      </c>
      <c r="K965">
        <v>1.1801999999999999</v>
      </c>
      <c r="L965" s="114">
        <v>167.954262</v>
      </c>
      <c r="M965" s="114">
        <v>5080.4423459999989</v>
      </c>
      <c r="N965" s="114">
        <v>5248.3966079999991</v>
      </c>
      <c r="O965" t="s">
        <v>1141</v>
      </c>
    </row>
    <row r="966" spans="1:15" x14ac:dyDescent="0.25">
      <c r="A966" t="s">
        <v>1009</v>
      </c>
      <c r="B966" s="159">
        <v>45645.037499999999</v>
      </c>
      <c r="C966" s="1" t="s">
        <v>47</v>
      </c>
      <c r="D966" s="1" t="s">
        <v>25</v>
      </c>
      <c r="E966" t="s">
        <v>44</v>
      </c>
      <c r="F966" t="s">
        <v>45</v>
      </c>
      <c r="G966" s="114">
        <v>3038.57</v>
      </c>
      <c r="H966" s="1" t="s">
        <v>22</v>
      </c>
      <c r="J966">
        <v>2.1</v>
      </c>
      <c r="K966">
        <v>1</v>
      </c>
      <c r="L966" s="114">
        <v>63.81</v>
      </c>
      <c r="M966" s="114">
        <v>2974.76</v>
      </c>
      <c r="N966" s="114">
        <v>3038.57</v>
      </c>
      <c r="O966" t="s">
        <v>1141</v>
      </c>
    </row>
    <row r="967" spans="1:15" x14ac:dyDescent="0.25">
      <c r="A967" t="s">
        <v>1010</v>
      </c>
      <c r="B967" s="159">
        <v>45645.439583333333</v>
      </c>
      <c r="C967" s="1" t="s">
        <v>60</v>
      </c>
      <c r="D967" s="1" t="s">
        <v>25</v>
      </c>
      <c r="E967" t="s">
        <v>39</v>
      </c>
      <c r="F967" t="s">
        <v>16</v>
      </c>
      <c r="G967" s="114">
        <v>3766.91</v>
      </c>
      <c r="H967" s="1" t="s">
        <v>17</v>
      </c>
      <c r="J967">
        <v>3.2</v>
      </c>
      <c r="K967">
        <v>1</v>
      </c>
      <c r="L967" s="114">
        <v>0</v>
      </c>
      <c r="M967" s="114">
        <v>0</v>
      </c>
      <c r="N967" s="114">
        <v>0</v>
      </c>
      <c r="O967" t="s">
        <v>1141</v>
      </c>
    </row>
    <row r="968" spans="1:15" x14ac:dyDescent="0.25">
      <c r="A968" t="s">
        <v>1011</v>
      </c>
      <c r="B968" s="159">
        <v>45645.467361111114</v>
      </c>
      <c r="C968" s="1" t="s">
        <v>43</v>
      </c>
      <c r="D968" s="1" t="s">
        <v>25</v>
      </c>
      <c r="E968" t="s">
        <v>15</v>
      </c>
      <c r="F968" t="s">
        <v>29</v>
      </c>
      <c r="G968" s="114">
        <v>4278.7</v>
      </c>
      <c r="H968" s="1" t="s">
        <v>22</v>
      </c>
      <c r="J968">
        <v>2.5</v>
      </c>
      <c r="K968">
        <v>1</v>
      </c>
      <c r="L968" s="114">
        <v>106.97</v>
      </c>
      <c r="M968" s="114">
        <v>4171.7299999999996</v>
      </c>
      <c r="N968" s="114">
        <v>4278.7</v>
      </c>
      <c r="O968" t="s">
        <v>1141</v>
      </c>
    </row>
    <row r="969" spans="1:15" x14ac:dyDescent="0.25">
      <c r="A969" t="s">
        <v>1012</v>
      </c>
      <c r="B969" s="159">
        <v>45645.706250000003</v>
      </c>
      <c r="C969" s="1" t="s">
        <v>27</v>
      </c>
      <c r="D969" s="1" t="s">
        <v>25</v>
      </c>
      <c r="E969" t="s">
        <v>15</v>
      </c>
      <c r="F969" t="s">
        <v>16</v>
      </c>
      <c r="G969" s="114">
        <v>461.3</v>
      </c>
      <c r="H969" s="1" t="s">
        <v>17</v>
      </c>
      <c r="J969">
        <v>2.5</v>
      </c>
      <c r="K969">
        <v>1</v>
      </c>
      <c r="L969" s="114">
        <v>0</v>
      </c>
      <c r="M969" s="114">
        <v>0</v>
      </c>
      <c r="N969" s="114">
        <v>0</v>
      </c>
      <c r="O969" t="s">
        <v>1141</v>
      </c>
    </row>
    <row r="970" spans="1:15" x14ac:dyDescent="0.25">
      <c r="A970" t="s">
        <v>1013</v>
      </c>
      <c r="B970" s="159">
        <v>45645.905555555553</v>
      </c>
      <c r="C970" s="1" t="s">
        <v>58</v>
      </c>
      <c r="D970" s="1" t="s">
        <v>25</v>
      </c>
      <c r="E970" t="s">
        <v>39</v>
      </c>
      <c r="F970" t="s">
        <v>41</v>
      </c>
      <c r="G970" s="114">
        <v>634.20000000000005</v>
      </c>
      <c r="H970" s="1" t="s">
        <v>22</v>
      </c>
      <c r="J970">
        <v>3.2</v>
      </c>
      <c r="K970">
        <v>1</v>
      </c>
      <c r="L970" s="114">
        <v>20.29</v>
      </c>
      <c r="M970" s="114">
        <v>613.91</v>
      </c>
      <c r="N970" s="114">
        <v>634.19999999999993</v>
      </c>
      <c r="O970" t="s">
        <v>1141</v>
      </c>
    </row>
    <row r="971" spans="1:15" x14ac:dyDescent="0.25">
      <c r="A971" t="s">
        <v>1014</v>
      </c>
      <c r="B971" s="159">
        <v>45646.82708333333</v>
      </c>
      <c r="C971" s="1" t="s">
        <v>27</v>
      </c>
      <c r="D971" s="1" t="s">
        <v>25</v>
      </c>
      <c r="E971" t="s">
        <v>15</v>
      </c>
      <c r="F971" t="s">
        <v>41</v>
      </c>
      <c r="G971" s="114">
        <v>2060.1799999999998</v>
      </c>
      <c r="H971" s="1" t="s">
        <v>22</v>
      </c>
      <c r="J971">
        <v>2.5</v>
      </c>
      <c r="K971">
        <v>1</v>
      </c>
      <c r="L971" s="114">
        <v>51.5</v>
      </c>
      <c r="M971" s="114">
        <v>2008.68</v>
      </c>
      <c r="N971" s="114">
        <v>2060.1800000000003</v>
      </c>
      <c r="O971" t="s">
        <v>1141</v>
      </c>
    </row>
    <row r="972" spans="1:15" x14ac:dyDescent="0.25">
      <c r="A972" t="s">
        <v>1015</v>
      </c>
      <c r="B972" s="159">
        <v>45647.347916666666</v>
      </c>
      <c r="C972" s="1" t="s">
        <v>13</v>
      </c>
      <c r="D972" s="1" t="s">
        <v>14</v>
      </c>
      <c r="E972" t="s">
        <v>15</v>
      </c>
      <c r="F972" t="s">
        <v>45</v>
      </c>
      <c r="G972" s="114">
        <v>1057.1300000000001</v>
      </c>
      <c r="H972" s="1" t="s">
        <v>22</v>
      </c>
      <c r="J972">
        <v>2.5</v>
      </c>
      <c r="K972">
        <v>8.7400000000000005E-2</v>
      </c>
      <c r="L972" s="114">
        <v>2.3099820000000002</v>
      </c>
      <c r="M972" s="114">
        <v>90.083180000000013</v>
      </c>
      <c r="N972" s="114">
        <v>92.393162000000018</v>
      </c>
      <c r="O972" t="s">
        <v>1141</v>
      </c>
    </row>
    <row r="973" spans="1:15" x14ac:dyDescent="0.25">
      <c r="A973" t="s">
        <v>1016</v>
      </c>
      <c r="B973" s="159">
        <v>45647.756249999999</v>
      </c>
      <c r="C973" s="1" t="s">
        <v>19</v>
      </c>
      <c r="D973" s="1" t="s">
        <v>20</v>
      </c>
      <c r="E973" t="s">
        <v>33</v>
      </c>
      <c r="F973" t="s">
        <v>21</v>
      </c>
      <c r="G973" s="114">
        <v>4040.42</v>
      </c>
      <c r="H973" s="1" t="s">
        <v>34</v>
      </c>
      <c r="I973" t="s">
        <v>35</v>
      </c>
      <c r="J973">
        <v>1.9</v>
      </c>
      <c r="K973">
        <v>8.5999999999999993E-2</v>
      </c>
      <c r="L973" s="114">
        <v>0</v>
      </c>
      <c r="M973" s="114">
        <v>0</v>
      </c>
      <c r="N973" s="114">
        <v>0</v>
      </c>
      <c r="O973" t="s">
        <v>1141</v>
      </c>
    </row>
    <row r="974" spans="1:15" x14ac:dyDescent="0.25">
      <c r="A974" t="s">
        <v>1017</v>
      </c>
      <c r="B974" s="159">
        <v>45647.945833333331</v>
      </c>
      <c r="C974" s="1" t="s">
        <v>60</v>
      </c>
      <c r="D974" s="1" t="s">
        <v>25</v>
      </c>
      <c r="E974" t="s">
        <v>15</v>
      </c>
      <c r="F974" t="s">
        <v>45</v>
      </c>
      <c r="G974" s="114">
        <v>4531.1400000000003</v>
      </c>
      <c r="H974" s="1" t="s">
        <v>17</v>
      </c>
      <c r="J974">
        <v>2.5</v>
      </c>
      <c r="K974">
        <v>1</v>
      </c>
      <c r="L974" s="114">
        <v>0</v>
      </c>
      <c r="M974" s="114">
        <v>0</v>
      </c>
      <c r="N974" s="114">
        <v>0</v>
      </c>
      <c r="O974" t="s">
        <v>1141</v>
      </c>
    </row>
    <row r="975" spans="1:15" x14ac:dyDescent="0.25">
      <c r="A975" t="s">
        <v>1018</v>
      </c>
      <c r="B975" s="159">
        <v>45648.2</v>
      </c>
      <c r="C975" s="1" t="s">
        <v>43</v>
      </c>
      <c r="D975" s="1" t="s">
        <v>25</v>
      </c>
      <c r="E975" t="s">
        <v>15</v>
      </c>
      <c r="F975" t="s">
        <v>45</v>
      </c>
      <c r="G975" s="114">
        <v>36.200000000000003</v>
      </c>
      <c r="H975" s="1" t="s">
        <v>22</v>
      </c>
      <c r="J975">
        <v>2.5</v>
      </c>
      <c r="K975">
        <v>1</v>
      </c>
      <c r="L975" s="114">
        <v>0.91</v>
      </c>
      <c r="M975" s="114">
        <v>35.29</v>
      </c>
      <c r="N975" s="114">
        <v>36.199999999999996</v>
      </c>
      <c r="O975" t="s">
        <v>1141</v>
      </c>
    </row>
    <row r="976" spans="1:15" x14ac:dyDescent="0.25">
      <c r="A976" t="s">
        <v>1019</v>
      </c>
      <c r="B976" s="159">
        <v>45648.399305555555</v>
      </c>
      <c r="C976" s="1" t="s">
        <v>27</v>
      </c>
      <c r="D976" s="1" t="s">
        <v>25</v>
      </c>
      <c r="E976" t="s">
        <v>44</v>
      </c>
      <c r="F976" t="s">
        <v>16</v>
      </c>
      <c r="G976" s="114">
        <v>3328</v>
      </c>
      <c r="H976" s="1" t="s">
        <v>34</v>
      </c>
      <c r="I976" t="s">
        <v>35</v>
      </c>
      <c r="J976">
        <v>2.1</v>
      </c>
      <c r="K976">
        <v>1</v>
      </c>
      <c r="L976" s="114">
        <v>0</v>
      </c>
      <c r="M976" s="114">
        <v>0</v>
      </c>
      <c r="N976" s="114">
        <v>0</v>
      </c>
      <c r="O976" t="s">
        <v>1141</v>
      </c>
    </row>
    <row r="977" spans="1:15" x14ac:dyDescent="0.25">
      <c r="A977" t="s">
        <v>1020</v>
      </c>
      <c r="B977" s="159">
        <v>45648.412499999999</v>
      </c>
      <c r="C977" s="1" t="s">
        <v>19</v>
      </c>
      <c r="D977" s="1" t="s">
        <v>20</v>
      </c>
      <c r="E977" t="s">
        <v>28</v>
      </c>
      <c r="F977" t="s">
        <v>45</v>
      </c>
      <c r="G977" s="114">
        <v>3915.35</v>
      </c>
      <c r="H977" s="1" t="s">
        <v>22</v>
      </c>
      <c r="J977">
        <v>2.9</v>
      </c>
      <c r="K977">
        <v>8.5999999999999993E-2</v>
      </c>
      <c r="L977" s="114">
        <v>9.7652999999999981</v>
      </c>
      <c r="M977" s="114">
        <v>326.95479999999998</v>
      </c>
      <c r="N977" s="114">
        <v>336.7201</v>
      </c>
      <c r="O977" t="s">
        <v>1141</v>
      </c>
    </row>
    <row r="978" spans="1:15" x14ac:dyDescent="0.25">
      <c r="A978" t="s">
        <v>1021</v>
      </c>
      <c r="B978" s="159">
        <v>45648.832638888889</v>
      </c>
      <c r="C978" s="1" t="s">
        <v>58</v>
      </c>
      <c r="D978" s="1" t="s">
        <v>25</v>
      </c>
      <c r="E978" t="s">
        <v>33</v>
      </c>
      <c r="F978" t="s">
        <v>29</v>
      </c>
      <c r="G978" s="114">
        <v>2277.4299999999998</v>
      </c>
      <c r="H978" s="1" t="s">
        <v>34</v>
      </c>
      <c r="I978" t="s">
        <v>100</v>
      </c>
      <c r="J978">
        <v>1.9</v>
      </c>
      <c r="K978">
        <v>1</v>
      </c>
      <c r="L978" s="114">
        <v>0</v>
      </c>
      <c r="M978" s="114">
        <v>0</v>
      </c>
      <c r="N978" s="114">
        <v>0</v>
      </c>
      <c r="O978" t="s">
        <v>1141</v>
      </c>
    </row>
    <row r="979" spans="1:15" x14ac:dyDescent="0.25">
      <c r="A979" t="s">
        <v>1022</v>
      </c>
      <c r="B979" s="159">
        <v>45649.194444444445</v>
      </c>
      <c r="C979" s="1" t="s">
        <v>43</v>
      </c>
      <c r="D979" s="1" t="s">
        <v>25</v>
      </c>
      <c r="E979" t="s">
        <v>28</v>
      </c>
      <c r="F979" t="s">
        <v>41</v>
      </c>
      <c r="G979" s="114">
        <v>2874.58</v>
      </c>
      <c r="H979" s="1" t="s">
        <v>34</v>
      </c>
      <c r="I979" t="s">
        <v>55</v>
      </c>
      <c r="J979">
        <v>2.9</v>
      </c>
      <c r="K979">
        <v>1</v>
      </c>
      <c r="L979" s="114">
        <v>0</v>
      </c>
      <c r="M979" s="114">
        <v>0</v>
      </c>
      <c r="N979" s="114">
        <v>0</v>
      </c>
      <c r="O979" t="s">
        <v>1141</v>
      </c>
    </row>
    <row r="980" spans="1:15" x14ac:dyDescent="0.25">
      <c r="A980" t="s">
        <v>1023</v>
      </c>
      <c r="B980" s="159">
        <v>45649.49722222222</v>
      </c>
      <c r="C980" s="1" t="s">
        <v>58</v>
      </c>
      <c r="D980" s="1" t="s">
        <v>25</v>
      </c>
      <c r="E980" t="s">
        <v>44</v>
      </c>
      <c r="F980" t="s">
        <v>21</v>
      </c>
      <c r="G980" s="114">
        <v>430.56</v>
      </c>
      <c r="H980" s="1" t="s">
        <v>17</v>
      </c>
      <c r="J980">
        <v>2.1</v>
      </c>
      <c r="K980">
        <v>1</v>
      </c>
      <c r="L980" s="114">
        <v>0</v>
      </c>
      <c r="M980" s="114">
        <v>0</v>
      </c>
      <c r="N980" s="114">
        <v>0</v>
      </c>
      <c r="O980" t="s">
        <v>1141</v>
      </c>
    </row>
    <row r="981" spans="1:15" x14ac:dyDescent="0.25">
      <c r="A981" t="s">
        <v>1024</v>
      </c>
      <c r="B981" s="159">
        <v>45649.757638888892</v>
      </c>
      <c r="C981" s="1" t="s">
        <v>43</v>
      </c>
      <c r="D981" s="1" t="s">
        <v>25</v>
      </c>
      <c r="E981" t="s">
        <v>28</v>
      </c>
      <c r="F981" t="s">
        <v>29</v>
      </c>
      <c r="G981" s="114">
        <v>4175.3599999999997</v>
      </c>
      <c r="H981" s="1" t="s">
        <v>34</v>
      </c>
      <c r="I981" t="s">
        <v>55</v>
      </c>
      <c r="J981">
        <v>2.9</v>
      </c>
      <c r="K981">
        <v>1</v>
      </c>
      <c r="L981" s="114">
        <v>0</v>
      </c>
      <c r="M981" s="114">
        <v>0</v>
      </c>
      <c r="N981" s="114">
        <v>0</v>
      </c>
      <c r="O981" t="s">
        <v>1141</v>
      </c>
    </row>
    <row r="982" spans="1:15" x14ac:dyDescent="0.25">
      <c r="A982" t="s">
        <v>1025</v>
      </c>
      <c r="B982" s="159">
        <v>45650.34375</v>
      </c>
      <c r="C982" s="1" t="s">
        <v>47</v>
      </c>
      <c r="D982" s="1" t="s">
        <v>25</v>
      </c>
      <c r="E982" t="s">
        <v>28</v>
      </c>
      <c r="F982" t="s">
        <v>16</v>
      </c>
      <c r="G982" s="114">
        <v>3371.75</v>
      </c>
      <c r="H982" s="1" t="s">
        <v>22</v>
      </c>
      <c r="J982">
        <v>2.9</v>
      </c>
      <c r="K982">
        <v>1</v>
      </c>
      <c r="L982" s="114">
        <v>97.78</v>
      </c>
      <c r="M982" s="114">
        <v>3273.97</v>
      </c>
      <c r="N982" s="114">
        <v>3371.75</v>
      </c>
      <c r="O982" t="s">
        <v>1141</v>
      </c>
    </row>
    <row r="983" spans="1:15" x14ac:dyDescent="0.25">
      <c r="A983" t="s">
        <v>1026</v>
      </c>
      <c r="B983" s="159">
        <v>45651.90347222222</v>
      </c>
      <c r="C983" s="1" t="s">
        <v>31</v>
      </c>
      <c r="D983" s="1" t="s">
        <v>32</v>
      </c>
      <c r="E983" t="s">
        <v>33</v>
      </c>
      <c r="F983" t="s">
        <v>29</v>
      </c>
      <c r="G983" s="114">
        <v>2675.36</v>
      </c>
      <c r="H983" s="1" t="s">
        <v>22</v>
      </c>
      <c r="J983">
        <v>1.9</v>
      </c>
      <c r="K983">
        <v>1.1801999999999999</v>
      </c>
      <c r="L983" s="114">
        <v>59.989565999999996</v>
      </c>
      <c r="M983" s="114">
        <v>3097.4703060000002</v>
      </c>
      <c r="N983" s="114">
        <v>3157.4598720000004</v>
      </c>
      <c r="O983" t="s">
        <v>1141</v>
      </c>
    </row>
    <row r="984" spans="1:15" x14ac:dyDescent="0.25">
      <c r="A984" t="s">
        <v>1027</v>
      </c>
      <c r="B984" s="159">
        <v>45652.280555555553</v>
      </c>
      <c r="C984" s="1" t="s">
        <v>43</v>
      </c>
      <c r="D984" s="1" t="s">
        <v>25</v>
      </c>
      <c r="E984" t="s">
        <v>39</v>
      </c>
      <c r="F984" t="s">
        <v>16</v>
      </c>
      <c r="G984" s="114">
        <v>1750.53</v>
      </c>
      <c r="H984" s="1" t="s">
        <v>22</v>
      </c>
      <c r="J984">
        <v>3.2</v>
      </c>
      <c r="K984">
        <v>1</v>
      </c>
      <c r="L984" s="114">
        <v>56.02</v>
      </c>
      <c r="M984" s="114">
        <v>1694.51</v>
      </c>
      <c r="N984" s="114">
        <v>1750.53</v>
      </c>
      <c r="O984" t="s">
        <v>1141</v>
      </c>
    </row>
    <row r="985" spans="1:15" x14ac:dyDescent="0.25">
      <c r="A985" t="s">
        <v>1028</v>
      </c>
      <c r="B985" s="159">
        <v>45652.387499999997</v>
      </c>
      <c r="C985" s="1" t="s">
        <v>19</v>
      </c>
      <c r="D985" s="1" t="s">
        <v>20</v>
      </c>
      <c r="E985" t="s">
        <v>39</v>
      </c>
      <c r="F985" t="s">
        <v>45</v>
      </c>
      <c r="G985" s="114">
        <v>4927.59</v>
      </c>
      <c r="H985" s="1" t="s">
        <v>22</v>
      </c>
      <c r="J985">
        <v>3.2</v>
      </c>
      <c r="K985">
        <v>8.5999999999999993E-2</v>
      </c>
      <c r="L985" s="114">
        <v>13.56048</v>
      </c>
      <c r="M985" s="114">
        <v>410.21225999999996</v>
      </c>
      <c r="N985" s="114">
        <v>423.77273999999994</v>
      </c>
      <c r="O985" t="s">
        <v>1141</v>
      </c>
    </row>
    <row r="986" spans="1:15" x14ac:dyDescent="0.25">
      <c r="A986" t="s">
        <v>1029</v>
      </c>
      <c r="B986" s="159">
        <v>45652.507638888892</v>
      </c>
      <c r="C986" s="1" t="s">
        <v>37</v>
      </c>
      <c r="D986" s="1" t="s">
        <v>38</v>
      </c>
      <c r="E986" t="s">
        <v>15</v>
      </c>
      <c r="F986" t="s">
        <v>41</v>
      </c>
      <c r="G986" s="114">
        <v>4303.3100000000004</v>
      </c>
      <c r="H986" s="1" t="s">
        <v>22</v>
      </c>
      <c r="J986">
        <v>2.5</v>
      </c>
      <c r="K986">
        <v>0.23269999999999999</v>
      </c>
      <c r="L986" s="114">
        <v>25.033866</v>
      </c>
      <c r="M986" s="114">
        <v>976.34637099999986</v>
      </c>
      <c r="N986" s="114">
        <v>1001.3802369999999</v>
      </c>
      <c r="O986" t="s">
        <v>1141</v>
      </c>
    </row>
    <row r="987" spans="1:15" x14ac:dyDescent="0.25">
      <c r="A987" t="s">
        <v>1030</v>
      </c>
      <c r="B987" s="159">
        <v>45652.620833333334</v>
      </c>
      <c r="C987" s="1" t="s">
        <v>19</v>
      </c>
      <c r="D987" s="1" t="s">
        <v>20</v>
      </c>
      <c r="E987" t="s">
        <v>33</v>
      </c>
      <c r="F987" t="s">
        <v>41</v>
      </c>
      <c r="G987" s="114">
        <v>4882.34</v>
      </c>
      <c r="H987" s="1" t="s">
        <v>34</v>
      </c>
      <c r="I987" t="s">
        <v>35</v>
      </c>
      <c r="J987">
        <v>1.9</v>
      </c>
      <c r="K987">
        <v>8.5999999999999993E-2</v>
      </c>
      <c r="L987" s="114">
        <v>0</v>
      </c>
      <c r="M987" s="114">
        <v>0</v>
      </c>
      <c r="N987" s="114">
        <v>0</v>
      </c>
      <c r="O987" t="s">
        <v>1141</v>
      </c>
    </row>
    <row r="988" spans="1:15" x14ac:dyDescent="0.25">
      <c r="A988" t="s">
        <v>1031</v>
      </c>
      <c r="B988" s="159">
        <v>45653.189583333333</v>
      </c>
      <c r="C988" s="1" t="s">
        <v>24</v>
      </c>
      <c r="D988" s="1" t="s">
        <v>25</v>
      </c>
      <c r="E988" t="s">
        <v>33</v>
      </c>
      <c r="F988" t="s">
        <v>21</v>
      </c>
      <c r="G988" s="114">
        <v>4990.63</v>
      </c>
      <c r="H988" s="1" t="s">
        <v>34</v>
      </c>
      <c r="I988" t="s">
        <v>100</v>
      </c>
      <c r="J988">
        <v>1.9</v>
      </c>
      <c r="K988">
        <v>1</v>
      </c>
      <c r="L988" s="114">
        <v>0</v>
      </c>
      <c r="M988" s="114">
        <v>0</v>
      </c>
      <c r="N988" s="114">
        <v>0</v>
      </c>
      <c r="O988" t="s">
        <v>1141</v>
      </c>
    </row>
    <row r="989" spans="1:15" x14ac:dyDescent="0.25">
      <c r="A989" t="s">
        <v>1032</v>
      </c>
      <c r="B989" s="159">
        <v>45653.405555555553</v>
      </c>
      <c r="C989" s="1" t="s">
        <v>43</v>
      </c>
      <c r="D989" s="1" t="s">
        <v>25</v>
      </c>
      <c r="E989" t="s">
        <v>28</v>
      </c>
      <c r="F989" t="s">
        <v>29</v>
      </c>
      <c r="G989" s="114">
        <v>4620.32</v>
      </c>
      <c r="H989" s="1" t="s">
        <v>17</v>
      </c>
      <c r="J989">
        <v>2.9</v>
      </c>
      <c r="K989">
        <v>1</v>
      </c>
      <c r="L989" s="114">
        <v>0</v>
      </c>
      <c r="M989" s="114">
        <v>0</v>
      </c>
      <c r="N989" s="114">
        <v>0</v>
      </c>
      <c r="O989" t="s">
        <v>1141</v>
      </c>
    </row>
    <row r="990" spans="1:15" x14ac:dyDescent="0.25">
      <c r="A990" t="s">
        <v>1033</v>
      </c>
      <c r="B990" s="159">
        <v>45653.602083333331</v>
      </c>
      <c r="C990" s="1" t="s">
        <v>31</v>
      </c>
      <c r="D990" s="1" t="s">
        <v>32</v>
      </c>
      <c r="E990" t="s">
        <v>15</v>
      </c>
      <c r="F990" t="s">
        <v>41</v>
      </c>
      <c r="G990" s="114">
        <v>2213.1799999999998</v>
      </c>
      <c r="H990" s="1" t="s">
        <v>17</v>
      </c>
      <c r="J990">
        <v>2.5</v>
      </c>
      <c r="K990">
        <v>1.1801999999999999</v>
      </c>
      <c r="L990" s="114">
        <v>0</v>
      </c>
      <c r="M990" s="114">
        <v>0</v>
      </c>
      <c r="N990" s="114">
        <v>0</v>
      </c>
      <c r="O990" t="s">
        <v>1141</v>
      </c>
    </row>
    <row r="991" spans="1:15" x14ac:dyDescent="0.25">
      <c r="A991" t="s">
        <v>1034</v>
      </c>
      <c r="B991" s="159">
        <v>45654.128472222219</v>
      </c>
      <c r="C991" s="1" t="s">
        <v>19</v>
      </c>
      <c r="D991" s="1" t="s">
        <v>20</v>
      </c>
      <c r="E991" t="s">
        <v>44</v>
      </c>
      <c r="F991" t="s">
        <v>16</v>
      </c>
      <c r="G991" s="114">
        <v>3285.41</v>
      </c>
      <c r="H991" s="1" t="s">
        <v>17</v>
      </c>
      <c r="J991">
        <v>2.1</v>
      </c>
      <c r="K991">
        <v>8.5999999999999993E-2</v>
      </c>
      <c r="L991" s="114">
        <v>0</v>
      </c>
      <c r="M991" s="114">
        <v>0</v>
      </c>
      <c r="N991" s="114">
        <v>0</v>
      </c>
      <c r="O991" t="s">
        <v>1141</v>
      </c>
    </row>
    <row r="992" spans="1:15" x14ac:dyDescent="0.25">
      <c r="A992" t="s">
        <v>1035</v>
      </c>
      <c r="B992" s="159">
        <v>45654.166666666664</v>
      </c>
      <c r="C992" s="1" t="s">
        <v>24</v>
      </c>
      <c r="D992" s="1" t="s">
        <v>25</v>
      </c>
      <c r="E992" t="s">
        <v>33</v>
      </c>
      <c r="F992" t="s">
        <v>16</v>
      </c>
      <c r="G992" s="114">
        <v>1872.27</v>
      </c>
      <c r="H992" s="1" t="s">
        <v>17</v>
      </c>
      <c r="J992">
        <v>1.9</v>
      </c>
      <c r="K992">
        <v>1</v>
      </c>
      <c r="L992" s="114">
        <v>0</v>
      </c>
      <c r="M992" s="114">
        <v>0</v>
      </c>
      <c r="N992" s="114">
        <v>0</v>
      </c>
      <c r="O992" t="s">
        <v>1141</v>
      </c>
    </row>
    <row r="993" spans="1:15" x14ac:dyDescent="0.25">
      <c r="A993" t="s">
        <v>1036</v>
      </c>
      <c r="B993" s="159">
        <v>45654.383333333331</v>
      </c>
      <c r="C993" s="1" t="s">
        <v>60</v>
      </c>
      <c r="D993" s="1" t="s">
        <v>25</v>
      </c>
      <c r="E993" t="s">
        <v>28</v>
      </c>
      <c r="F993" t="s">
        <v>41</v>
      </c>
      <c r="G993" s="114">
        <v>2329.7800000000002</v>
      </c>
      <c r="H993" s="1" t="s">
        <v>22</v>
      </c>
      <c r="J993">
        <v>2.9</v>
      </c>
      <c r="K993">
        <v>1</v>
      </c>
      <c r="L993" s="114">
        <v>67.56</v>
      </c>
      <c r="M993" s="114">
        <v>2262.2199999999998</v>
      </c>
      <c r="N993" s="114">
        <v>2329.7799999999997</v>
      </c>
      <c r="O993" t="s">
        <v>1141</v>
      </c>
    </row>
    <row r="994" spans="1:15" x14ac:dyDescent="0.25">
      <c r="A994" t="s">
        <v>1037</v>
      </c>
      <c r="B994" s="159">
        <v>45654.763194444444</v>
      </c>
      <c r="C994" s="1" t="s">
        <v>43</v>
      </c>
      <c r="D994" s="1" t="s">
        <v>25</v>
      </c>
      <c r="E994" t="s">
        <v>28</v>
      </c>
      <c r="F994" t="s">
        <v>21</v>
      </c>
      <c r="G994" s="114">
        <v>1662.89</v>
      </c>
      <c r="H994" s="1" t="s">
        <v>22</v>
      </c>
      <c r="J994">
        <v>2.9</v>
      </c>
      <c r="K994">
        <v>1</v>
      </c>
      <c r="L994" s="114">
        <v>48.22</v>
      </c>
      <c r="M994" s="114">
        <v>1614.67</v>
      </c>
      <c r="N994" s="114">
        <v>1662.89</v>
      </c>
      <c r="O994" t="s">
        <v>1141</v>
      </c>
    </row>
    <row r="995" spans="1:15" x14ac:dyDescent="0.25">
      <c r="A995" t="s">
        <v>1038</v>
      </c>
      <c r="B995" s="159">
        <v>45654.902777777781</v>
      </c>
      <c r="C995" s="1" t="s">
        <v>37</v>
      </c>
      <c r="D995" s="1" t="s">
        <v>38</v>
      </c>
      <c r="E995" t="s">
        <v>15</v>
      </c>
      <c r="F995" t="s">
        <v>41</v>
      </c>
      <c r="G995" s="114">
        <v>1333.41</v>
      </c>
      <c r="H995" s="1" t="s">
        <v>22</v>
      </c>
      <c r="J995">
        <v>2.5</v>
      </c>
      <c r="K995">
        <v>0.23269999999999999</v>
      </c>
      <c r="L995" s="114">
        <v>7.7582180000000003</v>
      </c>
      <c r="M995" s="114">
        <v>302.52628899999996</v>
      </c>
      <c r="N995" s="114">
        <v>310.28450699999996</v>
      </c>
      <c r="O995" t="s">
        <v>1141</v>
      </c>
    </row>
    <row r="996" spans="1:15" x14ac:dyDescent="0.25">
      <c r="A996" t="s">
        <v>1039</v>
      </c>
      <c r="B996" s="159">
        <v>45655.053472222222</v>
      </c>
      <c r="C996" s="1" t="s">
        <v>58</v>
      </c>
      <c r="D996" s="1" t="s">
        <v>25</v>
      </c>
      <c r="E996" t="s">
        <v>28</v>
      </c>
      <c r="F996" t="s">
        <v>16</v>
      </c>
      <c r="G996" s="114">
        <v>4386.47</v>
      </c>
      <c r="H996" s="1" t="s">
        <v>22</v>
      </c>
      <c r="J996">
        <v>2.9</v>
      </c>
      <c r="K996">
        <v>1</v>
      </c>
      <c r="L996" s="114">
        <v>127.21</v>
      </c>
      <c r="M996" s="114">
        <v>4259.26</v>
      </c>
      <c r="N996" s="114">
        <v>4386.47</v>
      </c>
      <c r="O996" t="s">
        <v>1141</v>
      </c>
    </row>
    <row r="997" spans="1:15" x14ac:dyDescent="0.25">
      <c r="A997" t="s">
        <v>1040</v>
      </c>
      <c r="B997" s="159">
        <v>45655.375694444447</v>
      </c>
      <c r="C997" s="1" t="s">
        <v>31</v>
      </c>
      <c r="D997" s="1" t="s">
        <v>32</v>
      </c>
      <c r="E997" t="s">
        <v>44</v>
      </c>
      <c r="F997" t="s">
        <v>29</v>
      </c>
      <c r="G997" s="114">
        <v>4285.51</v>
      </c>
      <c r="H997" s="1" t="s">
        <v>22</v>
      </c>
      <c r="J997">
        <v>2.1</v>
      </c>
      <c r="K997">
        <v>1.1801999999999999</v>
      </c>
      <c r="L997" s="114">
        <v>106.21799999999999</v>
      </c>
      <c r="M997" s="114">
        <v>4951.5409019999997</v>
      </c>
      <c r="N997" s="114">
        <v>5057.7589019999996</v>
      </c>
      <c r="O997" t="s">
        <v>1141</v>
      </c>
    </row>
    <row r="998" spans="1:15" x14ac:dyDescent="0.25">
      <c r="A998" t="s">
        <v>1041</v>
      </c>
      <c r="B998" s="159">
        <v>45656.540972222225</v>
      </c>
      <c r="C998" s="1" t="s">
        <v>31</v>
      </c>
      <c r="D998" s="1" t="s">
        <v>32</v>
      </c>
      <c r="E998" t="s">
        <v>39</v>
      </c>
      <c r="F998" t="s">
        <v>29</v>
      </c>
      <c r="G998" s="114">
        <v>2824.15</v>
      </c>
      <c r="H998" s="1" t="s">
        <v>17</v>
      </c>
      <c r="J998">
        <v>3.2</v>
      </c>
      <c r="K998">
        <v>1.1801999999999999</v>
      </c>
      <c r="L998" s="114">
        <v>0</v>
      </c>
      <c r="M998" s="114">
        <v>0</v>
      </c>
      <c r="N998" s="114">
        <v>0</v>
      </c>
      <c r="O998" t="s">
        <v>1141</v>
      </c>
    </row>
    <row r="999" spans="1:15" x14ac:dyDescent="0.25">
      <c r="A999" t="s">
        <v>1042</v>
      </c>
      <c r="B999" s="159">
        <v>45656.588888888888</v>
      </c>
      <c r="C999" s="1" t="s">
        <v>13</v>
      </c>
      <c r="D999" s="1" t="s">
        <v>14</v>
      </c>
      <c r="E999" t="s">
        <v>33</v>
      </c>
      <c r="F999" t="s">
        <v>41</v>
      </c>
      <c r="G999" s="114">
        <v>3475.41</v>
      </c>
      <c r="H999" s="1" t="s">
        <v>34</v>
      </c>
      <c r="I999" t="s">
        <v>55</v>
      </c>
      <c r="J999">
        <v>1.9</v>
      </c>
      <c r="K999">
        <v>8.7400000000000005E-2</v>
      </c>
      <c r="L999" s="114">
        <v>0</v>
      </c>
      <c r="M999" s="114">
        <v>0</v>
      </c>
      <c r="N999" s="114">
        <v>0</v>
      </c>
      <c r="O999" t="s">
        <v>1141</v>
      </c>
    </row>
    <row r="1000" spans="1:15" x14ac:dyDescent="0.25">
      <c r="A1000" t="s">
        <v>1043</v>
      </c>
      <c r="B1000" s="159">
        <v>45656.720833333333</v>
      </c>
      <c r="C1000" s="1" t="s">
        <v>27</v>
      </c>
      <c r="D1000" s="1" t="s">
        <v>25</v>
      </c>
      <c r="E1000" t="s">
        <v>44</v>
      </c>
      <c r="F1000" t="s">
        <v>29</v>
      </c>
      <c r="G1000" s="114">
        <v>814.66</v>
      </c>
      <c r="H1000" s="1" t="s">
        <v>22</v>
      </c>
      <c r="J1000">
        <v>2.1</v>
      </c>
      <c r="K1000">
        <v>1</v>
      </c>
      <c r="L1000" s="114">
        <v>17.11</v>
      </c>
      <c r="M1000" s="114">
        <v>797.55</v>
      </c>
      <c r="N1000" s="114">
        <v>814.66</v>
      </c>
      <c r="O1000" t="s">
        <v>1141</v>
      </c>
    </row>
    <row r="1001" spans="1:15" x14ac:dyDescent="0.25">
      <c r="A1001" t="s">
        <v>1044</v>
      </c>
      <c r="B1001" s="159">
        <v>45656.999305555553</v>
      </c>
      <c r="C1001" s="1" t="s">
        <v>13</v>
      </c>
      <c r="D1001" s="1" t="s">
        <v>14</v>
      </c>
      <c r="E1001" t="s">
        <v>44</v>
      </c>
      <c r="F1001" t="s">
        <v>29</v>
      </c>
      <c r="G1001" s="114">
        <v>1056.47</v>
      </c>
      <c r="H1001" s="1" t="s">
        <v>22</v>
      </c>
      <c r="J1001">
        <v>2.1</v>
      </c>
      <c r="K1001">
        <v>8.7400000000000005E-2</v>
      </c>
      <c r="L1001" s="114">
        <v>1.9394060000000002</v>
      </c>
      <c r="M1001" s="114">
        <v>90.396072000000004</v>
      </c>
      <c r="N1001" s="114">
        <v>92.335478000000009</v>
      </c>
      <c r="O1001" t="s">
        <v>1141</v>
      </c>
    </row>
  </sheetData>
  <phoneticPr fontId="5" type="noConversion"/>
  <pageMargins left="0.7" right="0.7" top="0.75" bottom="0.75" header="0.3" footer="0.3"/>
  <pageSetup paperSize="9" scale="37"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B2:H103"/>
  <sheetViews>
    <sheetView showGridLines="0" view="pageBreakPreview" zoomScale="115" zoomScaleNormal="100" zoomScaleSheetLayoutView="115" workbookViewId="0">
      <selection activeCell="G73" sqref="G73"/>
    </sheetView>
  </sheetViews>
  <sheetFormatPr defaultRowHeight="15" x14ac:dyDescent="0.25"/>
  <cols>
    <col min="1" max="2" width="9.140625" style="3"/>
    <col min="3" max="3" width="17" style="3" bestFit="1" customWidth="1"/>
    <col min="4" max="4" width="22.42578125" style="3" bestFit="1" customWidth="1"/>
    <col min="5" max="5" width="19" style="3" customWidth="1"/>
    <col min="6" max="6" width="37.140625" style="3" bestFit="1" customWidth="1"/>
    <col min="7" max="7" width="53.42578125" style="3" bestFit="1" customWidth="1"/>
    <col min="8" max="8" width="15.7109375" style="3" bestFit="1" customWidth="1"/>
    <col min="9" max="16384" width="9.140625" style="3"/>
  </cols>
  <sheetData>
    <row r="2" spans="2:6" x14ac:dyDescent="0.25">
      <c r="B2" s="2" t="s">
        <v>1048</v>
      </c>
      <c r="C2" s="2"/>
      <c r="D2" s="2"/>
    </row>
    <row r="3" spans="2:6" x14ac:dyDescent="0.25">
      <c r="B3" s="2"/>
      <c r="C3" s="2"/>
      <c r="D3" s="2"/>
    </row>
    <row r="4" spans="2:6" x14ac:dyDescent="0.25">
      <c r="B4" s="8" t="s">
        <v>1045</v>
      </c>
      <c r="C4" s="9" t="s">
        <v>4</v>
      </c>
      <c r="D4" s="8" t="s">
        <v>1046</v>
      </c>
      <c r="E4" s="8" t="s">
        <v>1047</v>
      </c>
      <c r="F4" s="8" t="s">
        <v>1051</v>
      </c>
    </row>
    <row r="5" spans="2:6" x14ac:dyDescent="0.25">
      <c r="B5" s="6">
        <v>1</v>
      </c>
      <c r="C5" s="7" t="str" cm="1">
        <f t="array" ref="C5:C9">_xlfn.UNIQUE('Raw_Data_Combined'!$E$2:$E$1001)</f>
        <v>Worldpay</v>
      </c>
      <c r="D5" s="6">
        <f>COUNTIFS(Raw_Data_Combined[PSP Provider],$C5,Raw_Data_Combined[Status],"Success")</f>
        <v>105</v>
      </c>
      <c r="E5" s="6">
        <f>COUNTIF(Raw_Data_Combined[PSP Provider],Tasks!$C5)</f>
        <v>194</v>
      </c>
      <c r="F5" s="79">
        <f>D5/E5</f>
        <v>0.54123711340206182</v>
      </c>
    </row>
    <row r="6" spans="2:6" x14ac:dyDescent="0.25">
      <c r="B6" s="6">
        <v>2</v>
      </c>
      <c r="C6" s="7" t="str">
        <v>Stripe</v>
      </c>
      <c r="D6" s="6">
        <f>COUNTIFS(Raw_Data_Combined[PSP Provider],$C6,Raw_Data_Combined[Status],"Success")</f>
        <v>101</v>
      </c>
      <c r="E6" s="6">
        <f>COUNTIF(Raw_Data_Combined[PSP Provider],Tasks!$C6)</f>
        <v>186</v>
      </c>
      <c r="F6" s="79">
        <f>D6/E6</f>
        <v>0.543010752688172</v>
      </c>
    </row>
    <row r="7" spans="2:6" x14ac:dyDescent="0.25">
      <c r="B7" s="6">
        <v>3</v>
      </c>
      <c r="C7" s="7" t="str">
        <v>Checkout.com</v>
      </c>
      <c r="D7" s="6">
        <f>COUNTIFS(Raw_Data_Combined[PSP Provider],$C7,Raw_Data_Combined[Status],"Success")</f>
        <v>130</v>
      </c>
      <c r="E7" s="6">
        <f>COUNTIF(Raw_Data_Combined[PSP Provider],Tasks!$C7)</f>
        <v>221</v>
      </c>
      <c r="F7" s="79">
        <f>D7/E7</f>
        <v>0.58823529411764708</v>
      </c>
    </row>
    <row r="8" spans="2:6" x14ac:dyDescent="0.25">
      <c r="B8" s="6">
        <v>4</v>
      </c>
      <c r="C8" s="7" t="str">
        <v>PaySafe</v>
      </c>
      <c r="D8" s="6">
        <f>COUNTIFS(Raw_Data_Combined[PSP Provider],$C8,Raw_Data_Combined[Status],"Success")</f>
        <v>120</v>
      </c>
      <c r="E8" s="6">
        <f>COUNTIF(Raw_Data_Combined[PSP Provider],Tasks!$C8)</f>
        <v>210</v>
      </c>
      <c r="F8" s="79">
        <f>D8/E8</f>
        <v>0.5714285714285714</v>
      </c>
    </row>
    <row r="9" spans="2:6" x14ac:dyDescent="0.25">
      <c r="B9" s="6">
        <v>5</v>
      </c>
      <c r="C9" s="7" t="str">
        <v>Adyen</v>
      </c>
      <c r="D9" s="6">
        <f>COUNTIFS(Raw_Data_Combined[PSP Provider],$C9,Raw_Data_Combined[Status],"Success")</f>
        <v>98</v>
      </c>
      <c r="E9" s="6">
        <f>COUNTIF(Raw_Data_Combined[PSP Provider],Tasks!$C9)</f>
        <v>189</v>
      </c>
      <c r="F9" s="79">
        <f>D9/E9</f>
        <v>0.51851851851851849</v>
      </c>
    </row>
    <row r="13" spans="2:6" x14ac:dyDescent="0.25">
      <c r="B13" s="2" t="s">
        <v>1049</v>
      </c>
    </row>
    <row r="15" spans="2:6" x14ac:dyDescent="0.25">
      <c r="B15" s="10" t="s">
        <v>1045</v>
      </c>
      <c r="C15" s="11" t="s">
        <v>4</v>
      </c>
      <c r="D15" s="10" t="s">
        <v>1108</v>
      </c>
      <c r="E15" s="176" t="s">
        <v>1109</v>
      </c>
      <c r="F15" s="10" t="s">
        <v>1047</v>
      </c>
    </row>
    <row r="16" spans="2:6" x14ac:dyDescent="0.25">
      <c r="B16" s="6">
        <v>1</v>
      </c>
      <c r="C16" s="7" t="str" cm="1">
        <f t="array" ref="C16:C20">_xlfn.UNIQUE('Raw_Data_Combined'!$E$2:$E$1001)</f>
        <v>Worldpay</v>
      </c>
      <c r="D16" s="147">
        <f>SUMIFS(Raw_Data_Combined[Net Amount EUR],Raw_Data_Combined[PSP Provider],$C16)</f>
        <v>173586.53503600002</v>
      </c>
      <c r="E16" s="147">
        <f>SUMIFS(Raw_Data_Combined[Fee Amount EUR],Raw_Data_Combined[PSP Provider],$C16)</f>
        <v>4450.9076060000007</v>
      </c>
      <c r="F16" s="6">
        <f>_xlfn.XLOOKUP($C16,$C$5:$C$9,$E$5:$E$9)</f>
        <v>194</v>
      </c>
    </row>
    <row r="17" spans="2:8" x14ac:dyDescent="0.25">
      <c r="B17" s="6">
        <v>2</v>
      </c>
      <c r="C17" s="7" t="str">
        <v>Stripe</v>
      </c>
      <c r="D17" s="147">
        <f>SUMIFS(Raw_Data_Combined[Net Amount EUR],Raw_Data_Combined[PSP Provider],$C17)</f>
        <v>192606.4881450001</v>
      </c>
      <c r="E17" s="147">
        <f>SUMIFS(Raw_Data_Combined[Fee Amount EUR],Raw_Data_Combined[PSP Provider],$C17)</f>
        <v>5752.3726080000024</v>
      </c>
      <c r="F17" s="6">
        <f>_xlfn.XLOOKUP($C17,$C$5:$C$9,$E$5:$E$9)</f>
        <v>186</v>
      </c>
    </row>
    <row r="18" spans="2:8" x14ac:dyDescent="0.25">
      <c r="B18" s="6">
        <v>3</v>
      </c>
      <c r="C18" s="7" t="str">
        <v>Checkout.com</v>
      </c>
      <c r="D18" s="147">
        <f>SUMIFS(Raw_Data_Combined[Net Amount EUR],Raw_Data_Combined[PSP Provider],$C18)</f>
        <v>249324.19283599997</v>
      </c>
      <c r="E18" s="147">
        <f>SUMIFS(Raw_Data_Combined[Fee Amount EUR],Raw_Data_Combined[PSP Provider],$C18)</f>
        <v>4828.8748220000016</v>
      </c>
      <c r="F18" s="6">
        <f>_xlfn.XLOOKUP($C18,$C$5:$C$9,$E$5:$E$9)</f>
        <v>221</v>
      </c>
    </row>
    <row r="19" spans="2:8" x14ac:dyDescent="0.25">
      <c r="B19" s="6">
        <v>4</v>
      </c>
      <c r="C19" s="7" t="str">
        <v>PaySafe</v>
      </c>
      <c r="D19" s="147">
        <f>SUMIFS(Raw_Data_Combined[Net Amount EUR],Raw_Data_Combined[PSP Provider],$C19)</f>
        <v>215751.89722800002</v>
      </c>
      <c r="E19" s="147">
        <f>SUMIFS(Raw_Data_Combined[Fee Amount EUR],Raw_Data_Combined[PSP Provider],$C19)</f>
        <v>7132.3015459999997</v>
      </c>
      <c r="F19" s="6">
        <f>_xlfn.XLOOKUP($C19,$C$5:$C$9,$E$5:$E$9)</f>
        <v>210</v>
      </c>
    </row>
    <row r="20" spans="2:8" x14ac:dyDescent="0.25">
      <c r="B20" s="6">
        <v>5</v>
      </c>
      <c r="C20" s="7" t="str">
        <v>Adyen</v>
      </c>
      <c r="D20" s="147">
        <f>SUMIFS(Raw_Data_Combined[Net Amount EUR],Raw_Data_Combined[PSP Provider],$C20)</f>
        <v>193122.17669200004</v>
      </c>
      <c r="E20" s="147">
        <f>SUMIFS(Raw_Data_Combined[Fee Amount EUR],Raw_Data_Combined[PSP Provider],$C20)</f>
        <v>4142.5883539999995</v>
      </c>
      <c r="F20" s="6">
        <f>_xlfn.XLOOKUP($C20,$C$5:$C$9,$E$5:$E$9)</f>
        <v>189</v>
      </c>
    </row>
    <row r="24" spans="2:8" x14ac:dyDescent="0.25">
      <c r="B24" s="2" t="s">
        <v>1050</v>
      </c>
    </row>
    <row r="26" spans="2:8" x14ac:dyDescent="0.25">
      <c r="B26" s="12" t="s">
        <v>1045</v>
      </c>
      <c r="C26" s="13" t="s">
        <v>2</v>
      </c>
      <c r="D26" s="12" t="s">
        <v>1047</v>
      </c>
      <c r="E26" s="12" t="s">
        <v>1051</v>
      </c>
      <c r="F26" s="180" t="s">
        <v>1149</v>
      </c>
      <c r="G26" s="160" t="s">
        <v>1110</v>
      </c>
      <c r="H26" s="162" t="s">
        <v>1119</v>
      </c>
    </row>
    <row r="27" spans="2:8" x14ac:dyDescent="0.25">
      <c r="B27" s="6">
        <v>1</v>
      </c>
      <c r="C27" s="7" t="str" cm="1">
        <f t="array" ref="C27:C36">_xlfn.UNIQUE('Raw_Data_Combined'!$C$2:$C$1001)</f>
        <v>SE</v>
      </c>
      <c r="D27" s="6">
        <f>COUNTIF(Raw_Data_Combined[GEO],$C27)</f>
        <v>100</v>
      </c>
      <c r="E27" s="79">
        <f>COUNTIFS(Raw_Data_Combined[GEO],$C27,Raw_Data_Combined[Status],"Success")/$D27</f>
        <v>0.49</v>
      </c>
      <c r="F27" s="147">
        <f>AVERAGEIF(Raw_Data_Combined[GEO],Tasks!C27,Raw_Data_Combined[Gross Amount EUR])</f>
        <v>94.825766200000018</v>
      </c>
      <c r="G27" s="161">
        <f>AVERAGEIFS(Raw_Data_Combined[Gross Amount EUR],Raw_Data_Combined[GEO],Tasks!$C27,Raw_Data_Combined[Status],"Success")</f>
        <v>193.52197183673474</v>
      </c>
      <c r="H27" s="178">
        <f>SUMIFS(Raw_Data_Combined[Net Amount EUR],Raw_Data_Combined[GEO],$C27)</f>
        <v>9240.629821999999</v>
      </c>
    </row>
    <row r="28" spans="2:8" x14ac:dyDescent="0.25">
      <c r="B28" s="6">
        <v>2</v>
      </c>
      <c r="C28" s="7" t="str">
        <v>NO</v>
      </c>
      <c r="D28" s="6">
        <f>COUNTIF(Raw_Data_Combined[GEO],$C28)</f>
        <v>98</v>
      </c>
      <c r="E28" s="79">
        <f>COUNTIFS(Raw_Data_Combined[GEO],$C28,Raw_Data_Combined[Status],"Success")/$D28</f>
        <v>0.58163265306122447</v>
      </c>
      <c r="F28" s="147">
        <f>AVERAGEIF(Raw_Data_Combined[GEO],Tasks!C28,Raw_Data_Combined[Gross Amount EUR])</f>
        <v>116.35896530612246</v>
      </c>
      <c r="G28" s="161">
        <f>AVERAGEIFS(Raw_Data_Combined[Gross Amount EUR],Raw_Data_Combined[GEO],Tasks!$C28,Raw_Data_Combined[Status],"Success")</f>
        <v>200.05576491228072</v>
      </c>
      <c r="H28" s="178">
        <f>SUMIFS(Raw_Data_Combined[Net Amount EUR],Raw_Data_Combined[GEO],$C28)</f>
        <v>11128.355280000002</v>
      </c>
    </row>
    <row r="29" spans="2:8" x14ac:dyDescent="0.25">
      <c r="B29" s="6">
        <v>3</v>
      </c>
      <c r="C29" s="7" t="str">
        <v>ES</v>
      </c>
      <c r="D29" s="6">
        <f>COUNTIF(Raw_Data_Combined[GEO],$C29)</f>
        <v>80</v>
      </c>
      <c r="E29" s="79">
        <f>COUNTIFS(Raw_Data_Combined[GEO],$C29,Raw_Data_Combined[Status],"Success")/$D29</f>
        <v>0.51249999999999996</v>
      </c>
      <c r="F29" s="147">
        <f>AVERAGEIF(Raw_Data_Combined[GEO],Tasks!C29,Raw_Data_Combined[Gross Amount EUR])</f>
        <v>1418.3262500000001</v>
      </c>
      <c r="G29" s="161">
        <f>AVERAGEIFS(Raw_Data_Combined[Gross Amount EUR],Raw_Data_Combined[GEO],Tasks!$C29,Raw_Data_Combined[Status],"Success")</f>
        <v>2767.4658536585366</v>
      </c>
      <c r="H29" s="178">
        <f>SUMIFS(Raw_Data_Combined[Net Amount EUR],Raw_Data_Combined[GEO],$C29)</f>
        <v>110471.49000000003</v>
      </c>
    </row>
    <row r="30" spans="2:8" x14ac:dyDescent="0.25">
      <c r="B30" s="6">
        <v>4</v>
      </c>
      <c r="C30" s="7" t="str">
        <v>FR</v>
      </c>
      <c r="D30" s="6">
        <f>COUNTIF(Raw_Data_Combined[GEO],$C30)</f>
        <v>101</v>
      </c>
      <c r="E30" s="79">
        <f>COUNTIFS(Raw_Data_Combined[GEO],$C30,Raw_Data_Combined[Status],"Success")/$D30</f>
        <v>0.63366336633663367</v>
      </c>
      <c r="F30" s="147">
        <f>AVERAGEIF(Raw_Data_Combined[GEO],Tasks!C30,Raw_Data_Combined[Gross Amount EUR])</f>
        <v>1773.3711881188117</v>
      </c>
      <c r="G30" s="161">
        <f>AVERAGEIFS(Raw_Data_Combined[Gross Amount EUR],Raw_Data_Combined[GEO],Tasks!$C30,Raw_Data_Combined[Status],"Success")</f>
        <v>2798.6014062499999</v>
      </c>
      <c r="H30" s="178">
        <f>SUMIFS(Raw_Data_Combined[Net Amount EUR],Raw_Data_Combined[GEO],$C30)</f>
        <v>174641.67</v>
      </c>
    </row>
    <row r="31" spans="2:8" x14ac:dyDescent="0.25">
      <c r="B31" s="6">
        <v>5</v>
      </c>
      <c r="C31" s="7" t="str">
        <v>GB</v>
      </c>
      <c r="D31" s="6">
        <f>COUNTIF(Raw_Data_Combined[GEO],$C31)</f>
        <v>113</v>
      </c>
      <c r="E31" s="79">
        <f>COUNTIFS(Raw_Data_Combined[GEO],$C31,Raw_Data_Combined[Status],"Success")/$D31</f>
        <v>0.51327433628318586</v>
      </c>
      <c r="F31" s="147">
        <f>AVERAGEIF(Raw_Data_Combined[GEO],Tasks!C31,Raw_Data_Combined[Gross Amount EUR])</f>
        <v>1467.281456707964</v>
      </c>
      <c r="G31" s="161">
        <f>AVERAGEIFS(Raw_Data_Combined[Gross Amount EUR],Raw_Data_Combined[GEO],Tasks!$C31,Raw_Data_Combined[Status],"Success")</f>
        <v>2858.6690449655162</v>
      </c>
      <c r="H31" s="178">
        <f>SUMIFS(Raw_Data_Combined[Net Amount EUR],Raw_Data_Combined[GEO],$C31)</f>
        <v>161735.55215999999</v>
      </c>
    </row>
    <row r="32" spans="2:8" x14ac:dyDescent="0.25">
      <c r="B32" s="6">
        <v>6</v>
      </c>
      <c r="C32" s="7" t="str">
        <v>PL</v>
      </c>
      <c r="D32" s="6">
        <f>COUNTIF(Raw_Data_Combined[GEO],$C32)</f>
        <v>97</v>
      </c>
      <c r="E32" s="79">
        <f>COUNTIFS(Raw_Data_Combined[GEO],$C32,Raw_Data_Combined[Status],"Success")/$D32</f>
        <v>0.57731958762886593</v>
      </c>
      <c r="F32" s="147">
        <f>AVERAGEIF(Raw_Data_Combined[GEO],Tasks!C32,Raw_Data_Combined[Gross Amount EUR])</f>
        <v>373.9233509793815</v>
      </c>
      <c r="G32" s="161">
        <f>AVERAGEIFS(Raw_Data_Combined[Gross Amount EUR],Raw_Data_Combined[GEO],Tasks!$C32,Raw_Data_Combined[Status],"Success")</f>
        <v>647.68866151785721</v>
      </c>
      <c r="H32" s="178">
        <f>SUMIFS(Raw_Data_Combined[Net Amount EUR],Raw_Data_Combined[GEO],$C32)</f>
        <v>35308.792675000004</v>
      </c>
    </row>
    <row r="33" spans="2:8" x14ac:dyDescent="0.25">
      <c r="B33" s="6">
        <v>7</v>
      </c>
      <c r="C33" s="7" t="str">
        <v>NL</v>
      </c>
      <c r="D33" s="6">
        <f>COUNTIF(Raw_Data_Combined[GEO],$C33)</f>
        <v>125</v>
      </c>
      <c r="E33" s="79">
        <f>COUNTIFS(Raw_Data_Combined[GEO],$C33,Raw_Data_Combined[Status],"Success")/$D33</f>
        <v>0.56000000000000005</v>
      </c>
      <c r="F33" s="147">
        <f>AVERAGEIF(Raw_Data_Combined[GEO],Tasks!C33,Raw_Data_Combined[Gross Amount EUR])</f>
        <v>1287.8440800000003</v>
      </c>
      <c r="G33" s="161">
        <f>AVERAGEIFS(Raw_Data_Combined[Gross Amount EUR],Raw_Data_Combined[GEO],Tasks!$C33,Raw_Data_Combined[Status],"Success")</f>
        <v>2299.7215714285721</v>
      </c>
      <c r="H33" s="178">
        <f>SUMIFS(Raw_Data_Combined[Net Amount EUR],Raw_Data_Combined[GEO],$C33)</f>
        <v>157032.23000000004</v>
      </c>
    </row>
    <row r="34" spans="2:8" x14ac:dyDescent="0.25">
      <c r="B34" s="6">
        <v>8</v>
      </c>
      <c r="C34" s="7" t="str">
        <v>IT</v>
      </c>
      <c r="D34" s="6">
        <f>COUNTIF(Raw_Data_Combined[GEO],$C34)</f>
        <v>91</v>
      </c>
      <c r="E34" s="79">
        <f>COUNTIFS(Raw_Data_Combined[GEO],$C34,Raw_Data_Combined[Status],"Success")/$D34</f>
        <v>0.60439560439560436</v>
      </c>
      <c r="F34" s="147">
        <f>AVERAGEIF(Raw_Data_Combined[GEO],Tasks!C34,Raw_Data_Combined[Gross Amount EUR])</f>
        <v>1358.908461538462</v>
      </c>
      <c r="G34" s="161">
        <f>AVERAGEIFS(Raw_Data_Combined[Gross Amount EUR],Raw_Data_Combined[GEO],Tasks!$C34,Raw_Data_Combined[Status],"Success")</f>
        <v>2248.3758181818189</v>
      </c>
      <c r="H34" s="178">
        <f>SUMIFS(Raw_Data_Combined[Net Amount EUR],Raw_Data_Combined[GEO],$C34)</f>
        <v>120668.87000000002</v>
      </c>
    </row>
    <row r="35" spans="2:8" x14ac:dyDescent="0.25">
      <c r="B35" s="6">
        <v>9</v>
      </c>
      <c r="C35" s="7" t="str">
        <v>CY</v>
      </c>
      <c r="D35" s="6">
        <f>COUNTIF(Raw_Data_Combined[GEO],$C35)</f>
        <v>108</v>
      </c>
      <c r="E35" s="79">
        <f>COUNTIFS(Raw_Data_Combined[GEO],$C35,Raw_Data_Combined[Status],"Success")/$D35</f>
        <v>0.56481481481481477</v>
      </c>
      <c r="F35" s="147">
        <f>AVERAGEIF(Raw_Data_Combined[GEO],Tasks!C35,Raw_Data_Combined[Gross Amount EUR])</f>
        <v>1416.9216666666669</v>
      </c>
      <c r="G35" s="161">
        <f>AVERAGEIFS(Raw_Data_Combined[Gross Amount EUR],Raw_Data_Combined[GEO],Tasks!$C35,Raw_Data_Combined[Status],"Success")</f>
        <v>2508.6481967213117</v>
      </c>
      <c r="H35" s="178">
        <f>SUMIFS(Raw_Data_Combined[Net Amount EUR],Raw_Data_Combined[GEO],$C35)</f>
        <v>149085.69999999992</v>
      </c>
    </row>
    <row r="36" spans="2:8" x14ac:dyDescent="0.25">
      <c r="B36" s="6">
        <v>10</v>
      </c>
      <c r="C36" s="7" t="str">
        <v>DE</v>
      </c>
      <c r="D36" s="6">
        <f>COUNTIF(Raw_Data_Combined[GEO],$C36)</f>
        <v>87</v>
      </c>
      <c r="E36" s="79">
        <f>COUNTIFS(Raw_Data_Combined[GEO],$C36,Raw_Data_Combined[Status],"Success")/$D36</f>
        <v>0.4942528735632184</v>
      </c>
      <c r="F36" s="147">
        <f>AVERAGEIF(Raw_Data_Combined[GEO],Tasks!C36,Raw_Data_Combined[Gross Amount EUR])</f>
        <v>1120.6195402298854</v>
      </c>
      <c r="G36" s="161">
        <f>AVERAGEIFS(Raw_Data_Combined[Gross Amount EUR],Raw_Data_Combined[GEO],Tasks!$C36,Raw_Data_Combined[Status],"Success")</f>
        <v>2267.3000000000011</v>
      </c>
      <c r="H36" s="179">
        <f>SUMIFS(Raw_Data_Combined[Net Amount EUR],Raw_Data_Combined[GEO],$C36)</f>
        <v>95077.999999999985</v>
      </c>
    </row>
    <row r="37" spans="2:8" x14ac:dyDescent="0.25">
      <c r="F37" s="81"/>
      <c r="G37" s="81"/>
    </row>
    <row r="40" spans="2:8" x14ac:dyDescent="0.25">
      <c r="B40" s="2" t="s">
        <v>1052</v>
      </c>
    </row>
    <row r="42" spans="2:8" x14ac:dyDescent="0.25">
      <c r="B42" s="14" t="s">
        <v>1045</v>
      </c>
      <c r="C42" s="15" t="s">
        <v>8</v>
      </c>
      <c r="D42" s="16" t="s">
        <v>1053</v>
      </c>
      <c r="E42" s="17" t="s">
        <v>1054</v>
      </c>
    </row>
    <row r="43" spans="2:8" x14ac:dyDescent="0.25">
      <c r="B43" s="6">
        <v>1</v>
      </c>
      <c r="C43" s="7" t="str" cm="1">
        <f t="array" ref="C43:C47">_xlfn.UNIQUE(_xlfn._xlws.FILTER(Raw_Data_Combined[Decline Reason], Raw_Data_Combined[Decline Reason]&lt;&gt;""))</f>
        <v>Card Declined</v>
      </c>
      <c r="D43" s="6">
        <f>COUNTIF(Raw_Data_Combined[Decline Reason],$C43)</f>
        <v>49</v>
      </c>
      <c r="E43" s="79">
        <f>$D43/SUM($D$43:$D$47)</f>
        <v>0.22477064220183487</v>
      </c>
    </row>
    <row r="44" spans="2:8" x14ac:dyDescent="0.25">
      <c r="B44" s="6">
        <v>2</v>
      </c>
      <c r="C44" s="7" t="str">
        <v>Technical Error</v>
      </c>
      <c r="D44" s="6">
        <f>COUNTIF(Raw_Data_Combined[Decline Reason],$C44)</f>
        <v>44</v>
      </c>
      <c r="E44" s="79">
        <f>$D44/SUM($D$43:$D$47)</f>
        <v>0.20183486238532111</v>
      </c>
    </row>
    <row r="45" spans="2:8" x14ac:dyDescent="0.25">
      <c r="B45" s="6">
        <v>3</v>
      </c>
      <c r="C45" s="7" t="str">
        <v>Fraud Suspected</v>
      </c>
      <c r="D45" s="6">
        <f>COUNTIF(Raw_Data_Combined[Decline Reason],$C45)</f>
        <v>51</v>
      </c>
      <c r="E45" s="79">
        <f>$D45/SUM($D$43:$D$47)</f>
        <v>0.23394495412844038</v>
      </c>
    </row>
    <row r="46" spans="2:8" x14ac:dyDescent="0.25">
      <c r="B46" s="6">
        <v>4</v>
      </c>
      <c r="C46" s="7" t="str">
        <v>Insufficient Funds</v>
      </c>
      <c r="D46" s="6">
        <f>COUNTIF(Raw_Data_Combined[Decline Reason],$C46)</f>
        <v>33</v>
      </c>
      <c r="E46" s="79">
        <f>$D46/SUM($D$43:$D$47)</f>
        <v>0.15137614678899083</v>
      </c>
    </row>
    <row r="47" spans="2:8" x14ac:dyDescent="0.25">
      <c r="B47" s="6">
        <v>5</v>
      </c>
      <c r="C47" s="7" t="str">
        <v>Expired Card</v>
      </c>
      <c r="D47" s="6">
        <f>COUNTIF(Raw_Data_Combined[Decline Reason],$C47)</f>
        <v>41</v>
      </c>
      <c r="E47" s="79">
        <f>$D47/SUM($D$43:$D$47)</f>
        <v>0.18807339449541285</v>
      </c>
    </row>
    <row r="51" spans="2:6" x14ac:dyDescent="0.25">
      <c r="B51" s="2" t="s">
        <v>1148</v>
      </c>
    </row>
    <row r="52" spans="2:6" x14ac:dyDescent="0.25">
      <c r="B52" s="2"/>
    </row>
    <row r="53" spans="2:6" x14ac:dyDescent="0.25">
      <c r="B53" s="2" t="s">
        <v>1055</v>
      </c>
    </row>
    <row r="54" spans="2:6" x14ac:dyDescent="0.25">
      <c r="B54" s="18" t="s">
        <v>1045</v>
      </c>
      <c r="C54" s="19" t="s">
        <v>1055</v>
      </c>
      <c r="D54" s="4"/>
    </row>
    <row r="55" spans="2:6" x14ac:dyDescent="0.25">
      <c r="B55" s="6">
        <v>1</v>
      </c>
      <c r="C55" s="7" t="str" cm="1">
        <f t="array" ref="C55:C57">_xlfn.TAKE(_xlfn._xlws.SORT(C27:D36,2,-1),3,1)</f>
        <v>NL</v>
      </c>
    </row>
    <row r="56" spans="2:6" x14ac:dyDescent="0.25">
      <c r="B56" s="6">
        <v>2</v>
      </c>
      <c r="C56" s="7" t="str">
        <v>GB</v>
      </c>
    </row>
    <row r="57" spans="2:6" x14ac:dyDescent="0.25">
      <c r="B57" s="6">
        <v>3</v>
      </c>
      <c r="C57" s="7" t="str">
        <v>CY</v>
      </c>
    </row>
    <row r="59" spans="2:6" x14ac:dyDescent="0.25">
      <c r="B59" s="2" t="s">
        <v>1104</v>
      </c>
    </row>
    <row r="60" spans="2:6" x14ac:dyDescent="0.25">
      <c r="B60" s="20" t="s">
        <v>1045</v>
      </c>
      <c r="C60" s="21" t="s">
        <v>4</v>
      </c>
      <c r="D60" s="20" t="str">
        <f>C55</f>
        <v>NL</v>
      </c>
      <c r="E60" s="20" t="str">
        <f>C56</f>
        <v>GB</v>
      </c>
      <c r="F60" s="20" t="str">
        <f>C57</f>
        <v>CY</v>
      </c>
    </row>
    <row r="61" spans="2:6" x14ac:dyDescent="0.25">
      <c r="B61" s="6">
        <v>1</v>
      </c>
      <c r="C61" s="7" t="str" cm="1">
        <f t="array" ref="C61:C65">_xlfn.UNIQUE('Raw_Data_Combined'!$E$2:$E$1001)</f>
        <v>Worldpay</v>
      </c>
      <c r="D61" s="79">
        <f>COUNTIFS(Raw_Data_Combined[GEO],D$60,Raw_Data_Combined[Status],"Success",Raw_Data_Combined[PSP Provider],Tasks!$C16)/COUNTIFS(Raw_Data_Combined[GEO],D$60,Raw_Data_Combined[PSP Provider],Tasks!$C16)</f>
        <v>0.44444444444444442</v>
      </c>
      <c r="E61" s="79">
        <f>COUNTIFS(Raw_Data_Combined[GEO],E$60,Raw_Data_Combined[Status],"Success",Raw_Data_Combined[PSP Provider],Tasks!$C16)/COUNTIFS(Raw_Data_Combined[GEO],E$60,Raw_Data_Combined[PSP Provider],Tasks!$C16)</f>
        <v>0.5</v>
      </c>
      <c r="F61" s="79">
        <f>COUNTIFS(Raw_Data_Combined[GEO],F$60,Raw_Data_Combined[Status],"Success",Raw_Data_Combined[PSP Provider],Tasks!$C16)/COUNTIFS(Raw_Data_Combined[GEO],F$60,Raw_Data_Combined[PSP Provider],Tasks!$C16)</f>
        <v>0.47058823529411764</v>
      </c>
    </row>
    <row r="62" spans="2:6" x14ac:dyDescent="0.25">
      <c r="B62" s="6">
        <v>2</v>
      </c>
      <c r="C62" s="7" t="str">
        <v>Stripe</v>
      </c>
      <c r="D62" s="79">
        <f>COUNTIFS(Raw_Data_Combined[GEO],D$60,Raw_Data_Combined[Status],"Success",Raw_Data_Combined[PSP Provider],Tasks!$C17)/COUNTIFS(Raw_Data_Combined[GEO],D$60,Raw_Data_Combined[PSP Provider],Tasks!$C17)</f>
        <v>0.5357142857142857</v>
      </c>
      <c r="E62" s="79">
        <f>COUNTIFS(Raw_Data_Combined[GEO],E$60,Raw_Data_Combined[Status],"Success",Raw_Data_Combined[PSP Provider],Tasks!$C17)/COUNTIFS(Raw_Data_Combined[GEO],E$60,Raw_Data_Combined[PSP Provider],Tasks!$C17)</f>
        <v>0.47368421052631576</v>
      </c>
      <c r="F62" s="79">
        <f>COUNTIFS(Raw_Data_Combined[GEO],F$60,Raw_Data_Combined[Status],"Success",Raw_Data_Combined[PSP Provider],Tasks!$C17)/COUNTIFS(Raw_Data_Combined[GEO],F$60,Raw_Data_Combined[PSP Provider],Tasks!$C17)</f>
        <v>0.57692307692307687</v>
      </c>
    </row>
    <row r="63" spans="2:6" x14ac:dyDescent="0.25">
      <c r="B63" s="6">
        <v>3</v>
      </c>
      <c r="C63" s="7" t="str">
        <v>Checkout.com</v>
      </c>
      <c r="D63" s="79">
        <f>COUNTIFS(Raw_Data_Combined[GEO],D$60,Raw_Data_Combined[Status],"Success",Raw_Data_Combined[PSP Provider],Tasks!$C18)/COUNTIFS(Raw_Data_Combined[GEO],D$60,Raw_Data_Combined[PSP Provider],Tasks!$C18)</f>
        <v>0.54545454545454541</v>
      </c>
      <c r="E63" s="79">
        <f>COUNTIFS(Raw_Data_Combined[GEO],E$60,Raw_Data_Combined[Status],"Success",Raw_Data_Combined[PSP Provider],Tasks!$C18)/COUNTIFS(Raw_Data_Combined[GEO],E$60,Raw_Data_Combined[PSP Provider],Tasks!$C18)</f>
        <v>0.65384615384615385</v>
      </c>
      <c r="F63" s="79">
        <f>COUNTIFS(Raw_Data_Combined[GEO],F$60,Raw_Data_Combined[Status],"Success",Raw_Data_Combined[PSP Provider],Tasks!$C18)/COUNTIFS(Raw_Data_Combined[GEO],F$60,Raw_Data_Combined[PSP Provider],Tasks!$C18)</f>
        <v>0.5714285714285714</v>
      </c>
    </row>
    <row r="64" spans="2:6" x14ac:dyDescent="0.25">
      <c r="B64" s="6">
        <v>4</v>
      </c>
      <c r="C64" s="7" t="str">
        <v>PaySafe</v>
      </c>
      <c r="D64" s="79">
        <f>COUNTIFS(Raw_Data_Combined[GEO],D$60,Raw_Data_Combined[Status],"Success",Raw_Data_Combined[PSP Provider],Tasks!$C19)/COUNTIFS(Raw_Data_Combined[GEO],D$60,Raw_Data_Combined[PSP Provider],Tasks!$C19)</f>
        <v>0.62962962962962965</v>
      </c>
      <c r="E64" s="79">
        <f>COUNTIFS(Raw_Data_Combined[GEO],E$60,Raw_Data_Combined[Status],"Success",Raw_Data_Combined[PSP Provider],Tasks!$C19)/COUNTIFS(Raw_Data_Combined[GEO],E$60,Raw_Data_Combined[PSP Provider],Tasks!$C19)</f>
        <v>0.43478260869565216</v>
      </c>
      <c r="F64" s="79">
        <f>COUNTIFS(Raw_Data_Combined[GEO],F$60,Raw_Data_Combined[Status],"Success",Raw_Data_Combined[PSP Provider],Tasks!$C19)/COUNTIFS(Raw_Data_Combined[GEO],F$60,Raw_Data_Combined[PSP Provider],Tasks!$C19)</f>
        <v>0.7</v>
      </c>
    </row>
    <row r="65" spans="2:6" x14ac:dyDescent="0.25">
      <c r="B65" s="6">
        <v>5</v>
      </c>
      <c r="C65" s="7" t="str">
        <v>Adyen</v>
      </c>
      <c r="D65" s="79">
        <f>COUNTIFS(Raw_Data_Combined[GEO],D$60,Raw_Data_Combined[Status],"Success",Raw_Data_Combined[PSP Provider],Tasks!$C20)/COUNTIFS(Raw_Data_Combined[GEO],D$60,Raw_Data_Combined[PSP Provider],Tasks!$C20)</f>
        <v>0.63157894736842102</v>
      </c>
      <c r="E65" s="79">
        <f>COUNTIFS(Raw_Data_Combined[GEO],E$60,Raw_Data_Combined[Status],"Success",Raw_Data_Combined[PSP Provider],Tasks!$C20)/COUNTIFS(Raw_Data_Combined[GEO],E$60,Raw_Data_Combined[PSP Provider],Tasks!$C20)</f>
        <v>0.47368421052631576</v>
      </c>
      <c r="F65" s="79">
        <f>COUNTIFS(Raw_Data_Combined[GEO],F$60,Raw_Data_Combined[Status],"Success",Raw_Data_Combined[PSP Provider],Tasks!$C20)/COUNTIFS(Raw_Data_Combined[GEO],F$60,Raw_Data_Combined[PSP Provider],Tasks!$C20)</f>
        <v>0.5</v>
      </c>
    </row>
    <row r="66" spans="2:6" x14ac:dyDescent="0.25">
      <c r="E66" s="5"/>
      <c r="F66" s="5"/>
    </row>
    <row r="67" spans="2:6" x14ac:dyDescent="0.25">
      <c r="B67" s="2" t="s">
        <v>1057</v>
      </c>
    </row>
    <row r="68" spans="2:6" x14ac:dyDescent="0.25">
      <c r="B68" s="18" t="s">
        <v>1045</v>
      </c>
      <c r="C68" s="19" t="s">
        <v>1055</v>
      </c>
      <c r="D68" s="20" t="s">
        <v>1056</v>
      </c>
    </row>
    <row r="69" spans="2:6" x14ac:dyDescent="0.25">
      <c r="B69" s="6">
        <v>1</v>
      </c>
      <c r="C69" s="7" t="str" cm="1">
        <f t="array" ref="C69:C71">_xlfn.TAKE(_xlfn._xlws.SORT(C27:D36,2,-1),3,1)</f>
        <v>NL</v>
      </c>
      <c r="D69" s="6" t="str">
        <f>INDEX($C$61:$C$65, MATCH(MAX($D$61:$D$65), $D$61:$D$65, 0))</f>
        <v>Adyen</v>
      </c>
    </row>
    <row r="70" spans="2:6" x14ac:dyDescent="0.25">
      <c r="B70" s="6">
        <v>2</v>
      </c>
      <c r="C70" s="7" t="str">
        <v>GB</v>
      </c>
      <c r="D70" s="6" t="str">
        <f>INDEX($C$61:$C$65, MATCH(MAX($E$61:$E$65), $E$61:$E$65, 0))</f>
        <v>Checkout.com</v>
      </c>
    </row>
    <row r="71" spans="2:6" x14ac:dyDescent="0.25">
      <c r="B71" s="6">
        <v>3</v>
      </c>
      <c r="C71" s="7" t="str">
        <v>CY</v>
      </c>
      <c r="D71" s="6" t="str">
        <f>INDEX($C$61:$C$65, MATCH(MAX($F$61:$F$65), $F$61:$F$65, 0))</f>
        <v>PaySafe</v>
      </c>
    </row>
    <row r="74" spans="2:6" x14ac:dyDescent="0.25">
      <c r="B74" s="2" t="s">
        <v>1238</v>
      </c>
    </row>
    <row r="76" spans="2:6" x14ac:dyDescent="0.25">
      <c r="B76" s="164" t="s">
        <v>1045</v>
      </c>
      <c r="C76" s="163" t="s">
        <v>4</v>
      </c>
      <c r="D76" s="164" t="s">
        <v>1239</v>
      </c>
      <c r="E76" s="164" t="s">
        <v>1240</v>
      </c>
      <c r="F76" s="169" t="s">
        <v>1241</v>
      </c>
    </row>
    <row r="77" spans="2:6" x14ac:dyDescent="0.25">
      <c r="B77" s="168">
        <v>1</v>
      </c>
      <c r="C77" s="166" t="str">
        <f>$C$5</f>
        <v>Worldpay</v>
      </c>
      <c r="D77" s="168">
        <f>COUNTIFS(Raw_Data_Combined[PSP Provider],C77,Raw_Data_Combined[Status],"Pending")</f>
        <v>48</v>
      </c>
      <c r="E77" s="168">
        <f>$E$5</f>
        <v>194</v>
      </c>
      <c r="F77" s="171">
        <f>D77/E77</f>
        <v>0.24742268041237114</v>
      </c>
    </row>
    <row r="78" spans="2:6" x14ac:dyDescent="0.25">
      <c r="B78" s="168">
        <v>2</v>
      </c>
      <c r="C78" s="166" t="str">
        <f>$C$6</f>
        <v>Stripe</v>
      </c>
      <c r="D78" s="168">
        <f>COUNTIFS(Raw_Data_Combined[PSP Provider],C78,Raw_Data_Combined[Status],"Pending")</f>
        <v>45</v>
      </c>
      <c r="E78" s="168">
        <f>$E$6</f>
        <v>186</v>
      </c>
      <c r="F78" s="171">
        <f>D78/E78</f>
        <v>0.24193548387096775</v>
      </c>
    </row>
    <row r="79" spans="2:6" x14ac:dyDescent="0.25">
      <c r="B79" s="168">
        <v>3</v>
      </c>
      <c r="C79" s="166" t="str">
        <f>$C$7</f>
        <v>Checkout.com</v>
      </c>
      <c r="D79" s="168">
        <f>COUNTIFS(Raw_Data_Combined[PSP Provider],C79,Raw_Data_Combined[Status],"Pending")</f>
        <v>46</v>
      </c>
      <c r="E79" s="168">
        <f>$E$7</f>
        <v>221</v>
      </c>
      <c r="F79" s="171">
        <f>D79/E79</f>
        <v>0.20814479638009051</v>
      </c>
    </row>
    <row r="80" spans="2:6" x14ac:dyDescent="0.25">
      <c r="B80" s="168">
        <v>4</v>
      </c>
      <c r="C80" s="166" t="str">
        <f>$C$8</f>
        <v>PaySafe</v>
      </c>
      <c r="D80" s="168">
        <f>COUNTIFS(Raw_Data_Combined[PSP Provider],C80,Raw_Data_Combined[Status],"Pending")</f>
        <v>47</v>
      </c>
      <c r="E80" s="168">
        <f>$E$8</f>
        <v>210</v>
      </c>
      <c r="F80" s="171">
        <f>D80/E80</f>
        <v>0.22380952380952382</v>
      </c>
    </row>
    <row r="81" spans="2:6" x14ac:dyDescent="0.25">
      <c r="B81" s="165">
        <v>5</v>
      </c>
      <c r="C81" s="167" t="str">
        <f>$C$9</f>
        <v>Adyen</v>
      </c>
      <c r="D81" s="165">
        <f>COUNTIFS(Raw_Data_Combined[PSP Provider],C81,Raw_Data_Combined[Status],"Pending")</f>
        <v>42</v>
      </c>
      <c r="E81" s="165">
        <f>$E$9</f>
        <v>189</v>
      </c>
      <c r="F81" s="170">
        <f>D81/E81</f>
        <v>0.22222222222222221</v>
      </c>
    </row>
    <row r="84" spans="2:6" x14ac:dyDescent="0.25">
      <c r="B84" s="2" t="s">
        <v>1242</v>
      </c>
    </row>
    <row r="85" spans="2:6" x14ac:dyDescent="0.25">
      <c r="B85" s="164" t="s">
        <v>1045</v>
      </c>
      <c r="C85" s="163" t="s">
        <v>2</v>
      </c>
      <c r="D85" s="164" t="s">
        <v>1239</v>
      </c>
      <c r="E85" s="164" t="s">
        <v>1240</v>
      </c>
      <c r="F85" s="169" t="s">
        <v>1241</v>
      </c>
    </row>
    <row r="86" spans="2:6" x14ac:dyDescent="0.25">
      <c r="B86" s="168">
        <v>1</v>
      </c>
      <c r="C86" s="166" t="str">
        <f>$C$27</f>
        <v>SE</v>
      </c>
      <c r="D86" s="168">
        <f>COUNTIFS(Raw_Data_Combined[GEO],C86,Raw_Data_Combined[Status],"Pending")</f>
        <v>20</v>
      </c>
      <c r="E86" s="168">
        <f>$D$27</f>
        <v>100</v>
      </c>
      <c r="F86" s="171">
        <f t="shared" ref="F86:F95" si="0">D86/E86</f>
        <v>0.2</v>
      </c>
    </row>
    <row r="87" spans="2:6" x14ac:dyDescent="0.25">
      <c r="B87" s="168">
        <v>2</v>
      </c>
      <c r="C87" s="166" t="str">
        <f>$C$28</f>
        <v>NO</v>
      </c>
      <c r="D87" s="168">
        <f>COUNTIFS(Raw_Data_Combined[GEO],C87,Raw_Data_Combined[Status],"Pending")</f>
        <v>22</v>
      </c>
      <c r="E87" s="168">
        <f>$D$28</f>
        <v>98</v>
      </c>
      <c r="F87" s="171">
        <f t="shared" si="0"/>
        <v>0.22448979591836735</v>
      </c>
    </row>
    <row r="88" spans="2:6" x14ac:dyDescent="0.25">
      <c r="B88" s="168">
        <v>3</v>
      </c>
      <c r="C88" s="166" t="str">
        <f>$C$29</f>
        <v>ES</v>
      </c>
      <c r="D88" s="168">
        <f>COUNTIFS(Raw_Data_Combined[GEO],C88,Raw_Data_Combined[Status],"Pending")</f>
        <v>19</v>
      </c>
      <c r="E88" s="168">
        <f>$D$29</f>
        <v>80</v>
      </c>
      <c r="F88" s="171">
        <f t="shared" si="0"/>
        <v>0.23749999999999999</v>
      </c>
    </row>
    <row r="89" spans="2:6" x14ac:dyDescent="0.25">
      <c r="B89" s="168">
        <v>4</v>
      </c>
      <c r="C89" s="166" t="str">
        <f>$C$30</f>
        <v>FR</v>
      </c>
      <c r="D89" s="168">
        <f>COUNTIFS(Raw_Data_Combined[GEO],C89,Raw_Data_Combined[Status],"Pending")</f>
        <v>22</v>
      </c>
      <c r="E89" s="168">
        <f>$D$30</f>
        <v>101</v>
      </c>
      <c r="F89" s="171">
        <f t="shared" si="0"/>
        <v>0.21782178217821782</v>
      </c>
    </row>
    <row r="90" spans="2:6" x14ac:dyDescent="0.25">
      <c r="B90" s="168">
        <v>5</v>
      </c>
      <c r="C90" s="166" t="str">
        <f>$C$31</f>
        <v>GB</v>
      </c>
      <c r="D90" s="168">
        <f>COUNTIFS(Raw_Data_Combined[GEO],C90,Raw_Data_Combined[Status],"Pending")</f>
        <v>28</v>
      </c>
      <c r="E90" s="168">
        <f>$D$31</f>
        <v>113</v>
      </c>
      <c r="F90" s="171">
        <f t="shared" si="0"/>
        <v>0.24778761061946902</v>
      </c>
    </row>
    <row r="91" spans="2:6" x14ac:dyDescent="0.25">
      <c r="B91" s="168">
        <v>6</v>
      </c>
      <c r="C91" s="166" t="str">
        <f>$C$32</f>
        <v>PL</v>
      </c>
      <c r="D91" s="168">
        <f>COUNTIFS(Raw_Data_Combined[GEO],C91,Raw_Data_Combined[Status],"Pending")</f>
        <v>23</v>
      </c>
      <c r="E91" s="168">
        <f>$D$32</f>
        <v>97</v>
      </c>
      <c r="F91" s="171">
        <f t="shared" si="0"/>
        <v>0.23711340206185566</v>
      </c>
    </row>
    <row r="92" spans="2:6" x14ac:dyDescent="0.25">
      <c r="B92" s="168">
        <v>7</v>
      </c>
      <c r="C92" s="166" t="str">
        <f>$C$33</f>
        <v>NL</v>
      </c>
      <c r="D92" s="168">
        <f>COUNTIFS(Raw_Data_Combined[GEO],C92,Raw_Data_Combined[Status],"Pending")</f>
        <v>26</v>
      </c>
      <c r="E92" s="168">
        <f>$D$33</f>
        <v>125</v>
      </c>
      <c r="F92" s="171">
        <f t="shared" si="0"/>
        <v>0.20799999999999999</v>
      </c>
    </row>
    <row r="93" spans="2:6" x14ac:dyDescent="0.25">
      <c r="B93" s="168">
        <v>8</v>
      </c>
      <c r="C93" s="166" t="str">
        <f>$C$34</f>
        <v>IT</v>
      </c>
      <c r="D93" s="168">
        <f>COUNTIFS(Raw_Data_Combined[GEO],C93,Raw_Data_Combined[Status],"Pending")</f>
        <v>22</v>
      </c>
      <c r="E93" s="168">
        <f>$D$34</f>
        <v>91</v>
      </c>
      <c r="F93" s="171">
        <f t="shared" si="0"/>
        <v>0.24175824175824176</v>
      </c>
    </row>
    <row r="94" spans="2:6" x14ac:dyDescent="0.25">
      <c r="B94" s="168">
        <v>9</v>
      </c>
      <c r="C94" s="166" t="str">
        <f>$C$35</f>
        <v>CY</v>
      </c>
      <c r="D94" s="168">
        <f>COUNTIFS(Raw_Data_Combined[GEO],C94,Raw_Data_Combined[Status],"Pending")</f>
        <v>25</v>
      </c>
      <c r="E94" s="168">
        <f>$D$35</f>
        <v>108</v>
      </c>
      <c r="F94" s="171">
        <f t="shared" si="0"/>
        <v>0.23148148148148148</v>
      </c>
    </row>
    <row r="95" spans="2:6" x14ac:dyDescent="0.25">
      <c r="B95" s="165">
        <v>10</v>
      </c>
      <c r="C95" s="167" t="str">
        <f>$C$36</f>
        <v>DE</v>
      </c>
      <c r="D95" s="165">
        <f>COUNTIFS(Raw_Data_Combined[GEO],C95,Raw_Data_Combined[Status],"Pending")</f>
        <v>21</v>
      </c>
      <c r="E95" s="165">
        <f>$D$36</f>
        <v>87</v>
      </c>
      <c r="F95" s="170">
        <f t="shared" si="0"/>
        <v>0.2413793103448276</v>
      </c>
    </row>
    <row r="97" spans="2:6" x14ac:dyDescent="0.25">
      <c r="B97" s="2" t="s">
        <v>1243</v>
      </c>
    </row>
    <row r="98" spans="2:6" x14ac:dyDescent="0.25">
      <c r="B98" s="164" t="s">
        <v>1045</v>
      </c>
      <c r="C98" s="163" t="s">
        <v>5</v>
      </c>
      <c r="D98" s="164" t="s">
        <v>1239</v>
      </c>
      <c r="E98" s="164" t="s">
        <v>1240</v>
      </c>
      <c r="F98" s="169" t="s">
        <v>1241</v>
      </c>
    </row>
    <row r="99" spans="2:6" x14ac:dyDescent="0.25">
      <c r="B99" s="168">
        <v>1</v>
      </c>
      <c r="C99" s="166" t="s">
        <v>16</v>
      </c>
      <c r="D99" s="168">
        <f>COUNTIFS(Raw_Data_Combined[Payment Method],C99,Raw_Data_Combined[Status],"Pending")</f>
        <v>51</v>
      </c>
      <c r="E99" s="168">
        <f>COUNTIF(Raw_Data_Combined[Payment Method],C99)</f>
        <v>200</v>
      </c>
      <c r="F99" s="171">
        <f>D99/E99</f>
        <v>0.255</v>
      </c>
    </row>
    <row r="100" spans="2:6" x14ac:dyDescent="0.25">
      <c r="B100" s="168">
        <v>2</v>
      </c>
      <c r="C100" s="166" t="s">
        <v>41</v>
      </c>
      <c r="D100" s="168">
        <f>COUNTIFS(Raw_Data_Combined[Payment Method],C100,Raw_Data_Combined[Status],"Pending")</f>
        <v>38</v>
      </c>
      <c r="E100" s="168">
        <f>COUNTIF(Raw_Data_Combined[Payment Method],C100)</f>
        <v>179</v>
      </c>
      <c r="F100" s="171">
        <f>D100/E100</f>
        <v>0.21229050279329609</v>
      </c>
    </row>
    <row r="101" spans="2:6" x14ac:dyDescent="0.25">
      <c r="B101" s="168">
        <v>3</v>
      </c>
      <c r="C101" s="166" t="s">
        <v>45</v>
      </c>
      <c r="D101" s="168">
        <f>COUNTIFS(Raw_Data_Combined[Payment Method],C101,Raw_Data_Combined[Status],"Pending")</f>
        <v>46</v>
      </c>
      <c r="E101" s="168">
        <f>COUNTIF(Raw_Data_Combined[Payment Method],C101)</f>
        <v>196</v>
      </c>
      <c r="F101" s="171">
        <f>D101/E101</f>
        <v>0.23469387755102042</v>
      </c>
    </row>
    <row r="102" spans="2:6" x14ac:dyDescent="0.25">
      <c r="B102" s="168">
        <v>4</v>
      </c>
      <c r="C102" s="166" t="s">
        <v>29</v>
      </c>
      <c r="D102" s="168">
        <f>COUNTIFS(Raw_Data_Combined[Payment Method],C102,Raw_Data_Combined[Status],"Pending")</f>
        <v>49</v>
      </c>
      <c r="E102" s="168">
        <f>COUNTIF(Raw_Data_Combined[Payment Method],C102)</f>
        <v>224</v>
      </c>
      <c r="F102" s="171">
        <f>D102/E102</f>
        <v>0.21875</v>
      </c>
    </row>
    <row r="103" spans="2:6" x14ac:dyDescent="0.25">
      <c r="B103" s="165">
        <v>5</v>
      </c>
      <c r="C103" s="167" t="s">
        <v>21</v>
      </c>
      <c r="D103" s="165">
        <f>COUNTIFS(Raw_Data_Combined[Payment Method],C103,Raw_Data_Combined[Status],"Pending")</f>
        <v>44</v>
      </c>
      <c r="E103" s="165">
        <f>COUNTIF(Raw_Data_Combined[Payment Method],C103)</f>
        <v>201</v>
      </c>
      <c r="F103" s="170">
        <f>D103/E103</f>
        <v>0.21890547263681592</v>
      </c>
    </row>
  </sheetData>
  <pageMargins left="0.7" right="0.7" top="0.75" bottom="0.75" header="0.3" footer="0.3"/>
  <pageSetup paperSize="9" scale="45"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40E2C-7217-470A-97B3-B026296335C1}">
  <sheetPr>
    <tabColor rgb="FF00B050"/>
  </sheetPr>
  <dimension ref="A1:AA59"/>
  <sheetViews>
    <sheetView view="pageBreakPreview" zoomScale="70" zoomScaleNormal="115" zoomScaleSheetLayoutView="70" workbookViewId="0">
      <selection activeCell="AF21" sqref="AF21"/>
    </sheetView>
  </sheetViews>
  <sheetFormatPr defaultRowHeight="15" x14ac:dyDescent="0.25"/>
  <cols>
    <col min="1" max="1" width="2.85546875" customWidth="1"/>
    <col min="2" max="2" width="16.7109375" customWidth="1"/>
    <col min="3" max="3" width="17.7109375" customWidth="1"/>
    <col min="4" max="4" width="17.42578125" customWidth="1"/>
    <col min="5" max="5" width="22.85546875" customWidth="1"/>
    <col min="6" max="6" width="22.7109375" customWidth="1"/>
    <col min="7" max="7" width="18.42578125" customWidth="1"/>
    <col min="8" max="8" width="25.42578125" customWidth="1"/>
    <col min="9" max="9" width="19.140625" customWidth="1"/>
    <col min="10" max="10" width="24.85546875" bestFit="1" customWidth="1"/>
    <col min="11" max="11" width="3" customWidth="1"/>
    <col min="12" max="12" width="18" customWidth="1"/>
    <col min="13" max="13" width="11.5703125" customWidth="1"/>
    <col min="14" max="14" width="10.85546875" customWidth="1"/>
    <col min="15" max="16" width="9.140625" customWidth="1"/>
    <col min="17" max="17" width="18.7109375" customWidth="1"/>
    <col min="18" max="18" width="24.140625" customWidth="1"/>
    <col min="19" max="19" width="21.28515625" customWidth="1"/>
  </cols>
  <sheetData>
    <row r="1" spans="1:27" ht="9.9499999999999993" customHeight="1" x14ac:dyDescent="0.25">
      <c r="A1" s="22"/>
      <c r="B1" s="22"/>
      <c r="C1" s="22"/>
      <c r="D1" s="22"/>
      <c r="E1" s="22"/>
      <c r="F1" s="22"/>
      <c r="G1" s="22"/>
      <c r="H1" s="22"/>
      <c r="I1" s="22"/>
      <c r="J1" s="22"/>
      <c r="K1" s="22"/>
      <c r="L1" s="22"/>
      <c r="M1" s="22"/>
      <c r="N1" s="22"/>
      <c r="O1" s="22"/>
      <c r="P1" s="22"/>
      <c r="Q1" s="22"/>
      <c r="R1" s="22"/>
      <c r="S1" s="22"/>
      <c r="T1" s="22"/>
      <c r="U1" s="22"/>
      <c r="V1" s="22"/>
      <c r="W1" s="22"/>
      <c r="X1" s="22"/>
      <c r="Y1" s="22"/>
      <c r="Z1" s="22"/>
      <c r="AA1" s="22"/>
    </row>
    <row r="2" spans="1:27" ht="45" customHeight="1" x14ac:dyDescent="0.4">
      <c r="A2" s="22"/>
      <c r="B2" s="23" t="s">
        <v>1063</v>
      </c>
      <c r="C2" s="24" t="s">
        <v>1064</v>
      </c>
      <c r="D2" s="22"/>
      <c r="E2" s="22"/>
      <c r="F2" s="22"/>
      <c r="G2" s="22"/>
      <c r="H2" s="22"/>
      <c r="I2" s="22"/>
      <c r="J2" s="22"/>
      <c r="K2" s="22"/>
      <c r="L2" s="22"/>
      <c r="M2" s="22"/>
      <c r="N2" s="22"/>
      <c r="O2" s="22"/>
      <c r="P2" s="22"/>
      <c r="Q2" s="22"/>
      <c r="R2" s="22"/>
      <c r="S2" s="22"/>
      <c r="T2" s="22"/>
      <c r="U2" s="22"/>
      <c r="V2" s="22"/>
      <c r="W2" s="22"/>
      <c r="X2" s="22"/>
      <c r="Y2" s="22"/>
      <c r="Z2" s="22"/>
      <c r="AA2" s="22"/>
    </row>
    <row r="3" spans="1:27" ht="9.9499999999999993" customHeight="1" thickBot="1" x14ac:dyDescent="0.3">
      <c r="A3" s="22"/>
      <c r="B3" s="22"/>
      <c r="C3" s="22"/>
      <c r="D3" s="22"/>
      <c r="E3" s="22"/>
      <c r="F3" s="22"/>
      <c r="G3" s="22"/>
      <c r="H3" s="22"/>
      <c r="I3" s="22"/>
      <c r="J3" s="22"/>
      <c r="K3" s="22"/>
      <c r="L3" s="22"/>
      <c r="M3" s="22"/>
      <c r="N3" s="22"/>
      <c r="O3" s="22"/>
      <c r="P3" s="22"/>
      <c r="Q3" s="22"/>
      <c r="R3" s="22"/>
      <c r="S3" s="22"/>
      <c r="T3" s="22"/>
      <c r="U3" s="22"/>
      <c r="V3" s="22"/>
      <c r="W3" s="22"/>
      <c r="X3" s="22"/>
      <c r="Y3" s="22"/>
      <c r="Z3" s="22"/>
      <c r="AA3" s="22"/>
    </row>
    <row r="4" spans="1:27" ht="18" customHeight="1" thickTop="1" x14ac:dyDescent="0.25">
      <c r="A4" s="25"/>
      <c r="B4" s="29" t="s">
        <v>1065</v>
      </c>
      <c r="C4" s="25"/>
      <c r="D4" s="30" t="s">
        <v>1066</v>
      </c>
      <c r="E4" s="25"/>
      <c r="F4" s="31" t="s">
        <v>1067</v>
      </c>
      <c r="G4" s="25"/>
      <c r="H4" s="32" t="s">
        <v>1252</v>
      </c>
      <c r="I4" s="25"/>
      <c r="J4" s="80" t="s">
        <v>1100</v>
      </c>
      <c r="K4" s="25"/>
      <c r="L4" s="25"/>
      <c r="M4" s="25"/>
      <c r="N4" s="25"/>
      <c r="O4" s="25"/>
      <c r="P4" s="25"/>
      <c r="Q4" s="25"/>
      <c r="R4" s="25"/>
      <c r="S4" s="25"/>
      <c r="T4" s="25"/>
      <c r="U4" s="25"/>
      <c r="V4" s="25"/>
      <c r="W4" s="25"/>
      <c r="X4" s="25"/>
      <c r="Y4" s="25"/>
      <c r="Z4" s="25"/>
      <c r="AA4" s="25"/>
    </row>
    <row r="5" spans="1:27" ht="35.1" customHeight="1" x14ac:dyDescent="0.45">
      <c r="A5" s="25"/>
      <c r="B5" s="26">
        <f>COUNTA(Raw_Data_Combined[Transaction ID])</f>
        <v>1000</v>
      </c>
      <c r="C5" s="25"/>
      <c r="D5" s="28">
        <f>COUNTIF(Raw_Data_Combined[Status],"Success")/B5</f>
        <v>0.55400000000000005</v>
      </c>
      <c r="E5" s="25"/>
      <c r="F5" s="148">
        <f>SUM(Raw_Data_Combined[Net Amount EUR])</f>
        <v>1024391.2899370003</v>
      </c>
      <c r="G5" s="25"/>
      <c r="H5" s="149">
        <f>AVERAGE(Raw_Data_Combined[Net Amount EUR])</f>
        <v>1024.3912899370002</v>
      </c>
      <c r="I5" s="25"/>
      <c r="J5" s="150">
        <f>AVERAGEIFS(Raw_Data_Combined[Net Amount EUR],Raw_Data_Combined[Status],"Success")</f>
        <v>1849.0817507888091</v>
      </c>
      <c r="K5" s="25"/>
      <c r="L5" s="25"/>
      <c r="M5" s="25"/>
      <c r="N5" s="25"/>
      <c r="O5" s="25"/>
      <c r="P5" s="25"/>
      <c r="Q5" s="25"/>
      <c r="R5" s="25"/>
      <c r="S5" s="25"/>
      <c r="T5" s="25"/>
      <c r="U5" s="25"/>
      <c r="V5" s="25"/>
      <c r="W5" s="25"/>
      <c r="X5" s="25"/>
      <c r="Y5" s="25"/>
      <c r="Z5" s="25"/>
      <c r="AA5" s="25"/>
    </row>
    <row r="6" spans="1:27" ht="15" customHeight="1" x14ac:dyDescent="0.25">
      <c r="A6" s="25"/>
      <c r="B6" s="27" t="s">
        <v>1068</v>
      </c>
      <c r="C6" s="25"/>
      <c r="D6" s="27" t="s">
        <v>1069</v>
      </c>
      <c r="E6" s="25"/>
      <c r="F6" s="27" t="s">
        <v>1070</v>
      </c>
      <c r="G6" s="25"/>
      <c r="H6" s="27" t="s">
        <v>1144</v>
      </c>
      <c r="I6" s="25"/>
      <c r="J6" s="27" t="s">
        <v>1101</v>
      </c>
      <c r="K6" s="25"/>
      <c r="L6" s="25"/>
      <c r="M6" s="25"/>
      <c r="N6" s="25"/>
      <c r="O6" s="25"/>
      <c r="P6" s="25"/>
      <c r="Q6" s="25"/>
      <c r="R6" s="25"/>
      <c r="S6" s="25"/>
      <c r="T6" s="25"/>
      <c r="U6" s="25"/>
      <c r="V6" s="25"/>
      <c r="W6" s="25"/>
      <c r="X6" s="25"/>
      <c r="Y6" s="25"/>
      <c r="Z6" s="25"/>
      <c r="AA6" s="25"/>
    </row>
    <row r="7" spans="1:27" ht="8.1" customHeight="1" x14ac:dyDescent="0.25">
      <c r="A7" s="25"/>
      <c r="B7" s="25"/>
      <c r="C7" s="25"/>
      <c r="D7" s="25"/>
      <c r="E7" s="25"/>
      <c r="F7" s="25"/>
      <c r="G7" s="25"/>
      <c r="H7" s="25"/>
      <c r="I7" s="25"/>
      <c r="J7" s="25"/>
      <c r="K7" s="25"/>
      <c r="L7" s="25"/>
      <c r="M7" s="25"/>
      <c r="N7" s="25"/>
      <c r="O7" s="25"/>
      <c r="P7" s="25"/>
      <c r="Q7" s="25"/>
      <c r="R7" s="25"/>
      <c r="S7" s="25"/>
      <c r="T7" s="25"/>
      <c r="U7" s="25"/>
      <c r="V7" s="25"/>
      <c r="W7" s="25"/>
      <c r="X7" s="25"/>
      <c r="Y7" s="25"/>
      <c r="Z7" s="25"/>
      <c r="AA7" s="25"/>
    </row>
    <row r="8" spans="1:27" ht="21.95" customHeight="1" x14ac:dyDescent="0.3">
      <c r="A8" s="25"/>
      <c r="B8" s="77" t="s">
        <v>1071</v>
      </c>
      <c r="C8" s="25"/>
      <c r="D8" s="25"/>
      <c r="E8" s="25"/>
      <c r="F8" s="25"/>
      <c r="G8" s="77" t="s">
        <v>1072</v>
      </c>
      <c r="H8" s="25"/>
      <c r="I8" s="25"/>
      <c r="J8" s="25"/>
      <c r="K8" s="25"/>
      <c r="L8" s="25"/>
      <c r="M8" s="25"/>
      <c r="N8" s="25"/>
      <c r="O8" s="25"/>
      <c r="P8" s="25"/>
      <c r="Q8" s="25"/>
      <c r="R8" s="25"/>
      <c r="S8" s="25"/>
      <c r="T8" s="25"/>
      <c r="U8" s="25"/>
      <c r="V8" s="25"/>
      <c r="W8" s="25"/>
      <c r="X8" s="25"/>
      <c r="Y8" s="25"/>
      <c r="Z8" s="25"/>
      <c r="AA8" s="25"/>
    </row>
    <row r="9" spans="1:27" ht="21.95" customHeight="1" x14ac:dyDescent="0.25">
      <c r="A9" s="25"/>
      <c r="B9" s="36" t="s">
        <v>7</v>
      </c>
      <c r="C9" s="36" t="s">
        <v>1053</v>
      </c>
      <c r="D9" s="45" t="s">
        <v>1073</v>
      </c>
      <c r="E9" s="72" t="s">
        <v>1074</v>
      </c>
      <c r="F9" s="25"/>
      <c r="G9" s="59" t="s">
        <v>8</v>
      </c>
      <c r="H9" s="56" t="s">
        <v>1053</v>
      </c>
      <c r="I9" s="56" t="s">
        <v>1078</v>
      </c>
      <c r="J9" s="63" t="s">
        <v>1079</v>
      </c>
      <c r="K9" s="25"/>
      <c r="L9" s="25"/>
      <c r="M9" s="25"/>
      <c r="N9" s="25"/>
      <c r="O9" s="25"/>
      <c r="P9" s="25"/>
      <c r="Q9" s="25"/>
      <c r="R9" s="25"/>
      <c r="S9" s="25"/>
      <c r="T9" s="25"/>
      <c r="U9" s="25"/>
      <c r="V9" s="25"/>
      <c r="W9" s="25"/>
      <c r="X9" s="25"/>
      <c r="Y9" s="25"/>
      <c r="Z9" s="25"/>
      <c r="AA9" s="25"/>
    </row>
    <row r="10" spans="1:27" ht="20.100000000000001" customHeight="1" x14ac:dyDescent="0.25">
      <c r="A10" s="25"/>
      <c r="B10" s="49" t="s">
        <v>1075</v>
      </c>
      <c r="C10" s="41">
        <f>COUNTIF(Raw_Data_Combined[Status],"Success")</f>
        <v>554</v>
      </c>
      <c r="D10" s="42">
        <f>C10/SUM($C$10:$C$12)</f>
        <v>0.55400000000000005</v>
      </c>
      <c r="E10" s="88" t="str">
        <f>REPT("█",ROUND(D10*30,0))</f>
        <v>█████████████████</v>
      </c>
      <c r="F10" s="25"/>
      <c r="G10" s="60" t="str" cm="1">
        <f t="array" ref="G10:G14">_xlfn.TAKE(_xlfn._xlws.SORT(Tasks!C43:E47,3,-1),,1)</f>
        <v>Fraud Suspected</v>
      </c>
      <c r="H10" s="52">
        <f>VLOOKUP(G10,Tasks!$C$43:$E$47,2,FALSE)</f>
        <v>51</v>
      </c>
      <c r="I10" s="53">
        <f>H10/SUM($H$10:$H$14)</f>
        <v>0.23394495412844038</v>
      </c>
      <c r="J10" s="64" t="s">
        <v>1080</v>
      </c>
      <c r="K10" s="25"/>
      <c r="L10" s="25"/>
      <c r="M10" s="25"/>
      <c r="N10" s="25"/>
      <c r="O10" s="25"/>
      <c r="P10" s="25"/>
      <c r="Q10" s="25"/>
      <c r="R10" s="25"/>
      <c r="S10" s="25"/>
      <c r="T10" s="25"/>
      <c r="U10" s="25"/>
      <c r="V10" s="25"/>
      <c r="W10" s="25"/>
      <c r="X10" s="25"/>
      <c r="Y10" s="25"/>
      <c r="Z10" s="25"/>
      <c r="AA10" s="25"/>
    </row>
    <row r="11" spans="1:27" ht="20.100000000000001" customHeight="1" x14ac:dyDescent="0.25">
      <c r="A11" s="25"/>
      <c r="B11" s="50" t="s">
        <v>1076</v>
      </c>
      <c r="C11" s="43">
        <f>COUNTIF(Raw_Data_Combined[Status],"Pending")</f>
        <v>228</v>
      </c>
      <c r="D11" s="44">
        <f>C11/SUM($C$10:$C$12)</f>
        <v>0.22800000000000001</v>
      </c>
      <c r="E11" s="89" t="str">
        <f>REPT("█",ROUND(D11*30,0))</f>
        <v>███████</v>
      </c>
      <c r="F11" s="25"/>
      <c r="G11" s="61" t="str">
        <v>Card Declined</v>
      </c>
      <c r="H11" s="54">
        <f>VLOOKUP(G11,Tasks!$C$43:$E$47,2,FALSE)</f>
        <v>49</v>
      </c>
      <c r="I11" s="55">
        <f>H11/SUM($H$10:$H$14)</f>
        <v>0.22477064220183487</v>
      </c>
      <c r="J11" s="65" t="s">
        <v>1081</v>
      </c>
      <c r="K11" s="25"/>
      <c r="L11" s="25"/>
      <c r="M11" s="25"/>
      <c r="N11" s="25"/>
      <c r="O11" s="25"/>
      <c r="P11" s="25"/>
      <c r="Q11" s="25"/>
      <c r="R11" s="25"/>
      <c r="S11" s="25"/>
      <c r="T11" s="25"/>
      <c r="U11" s="25"/>
      <c r="V11" s="25"/>
      <c r="W11" s="25"/>
      <c r="X11" s="25"/>
      <c r="Y11" s="25"/>
      <c r="Z11" s="25"/>
      <c r="AA11" s="25"/>
    </row>
    <row r="12" spans="1:27" ht="20.100000000000001" customHeight="1" x14ac:dyDescent="0.25">
      <c r="A12" s="25"/>
      <c r="B12" s="51" t="s">
        <v>1077</v>
      </c>
      <c r="C12" s="46">
        <f>COUNTIF(Raw_Data_Combined[Status],"Failed")</f>
        <v>218</v>
      </c>
      <c r="D12" s="47">
        <f>C12/SUM($C$10:$C$12)</f>
        <v>0.218</v>
      </c>
      <c r="E12" s="90" t="str">
        <f>REPT("█",ROUND(D12*30,0))</f>
        <v>███████</v>
      </c>
      <c r="F12" s="78"/>
      <c r="G12" s="60" t="str">
        <v>Technical Error</v>
      </c>
      <c r="H12" s="52">
        <f>VLOOKUP(G12,Tasks!$C$43:$E$47,2,FALSE)</f>
        <v>44</v>
      </c>
      <c r="I12" s="53">
        <f>H12/SUM($H$10:$H$14)</f>
        <v>0.20183486238532111</v>
      </c>
      <c r="J12" s="65" t="s">
        <v>1081</v>
      </c>
      <c r="K12" s="25"/>
      <c r="L12" s="25"/>
      <c r="M12" s="25"/>
      <c r="N12" s="25"/>
      <c r="O12" s="25"/>
      <c r="P12" s="25"/>
      <c r="Q12" s="25"/>
      <c r="R12" s="25"/>
      <c r="S12" s="25"/>
      <c r="T12" s="25"/>
      <c r="U12" s="25"/>
      <c r="V12" s="25"/>
      <c r="W12" s="25"/>
      <c r="X12" s="25"/>
      <c r="Y12" s="25"/>
      <c r="Z12" s="25"/>
      <c r="AA12" s="25"/>
    </row>
    <row r="13" spans="1:27" ht="20.100000000000001" customHeight="1" x14ac:dyDescent="0.25">
      <c r="A13" s="25"/>
      <c r="B13" s="25"/>
      <c r="C13" s="25"/>
      <c r="D13" s="25"/>
      <c r="E13" s="25"/>
      <c r="F13" s="25"/>
      <c r="G13" s="61" t="str">
        <v>Expired Card</v>
      </c>
      <c r="H13" s="54">
        <f>VLOOKUP(G13,Tasks!$C$43:$E$47,2,FALSE)</f>
        <v>41</v>
      </c>
      <c r="I13" s="55">
        <f>H13/SUM($H$10:$H$14)</f>
        <v>0.18807339449541285</v>
      </c>
      <c r="J13" s="66" t="s">
        <v>1082</v>
      </c>
      <c r="K13" s="25"/>
      <c r="L13" s="25"/>
      <c r="M13" s="25"/>
      <c r="N13" s="25"/>
      <c r="O13" s="25"/>
      <c r="P13" s="25"/>
      <c r="Q13" s="25"/>
      <c r="R13" s="25"/>
      <c r="S13" s="25"/>
      <c r="T13" s="25"/>
      <c r="U13" s="25"/>
      <c r="V13" s="25"/>
      <c r="W13" s="25"/>
      <c r="X13" s="25"/>
      <c r="Y13" s="25"/>
      <c r="Z13" s="25"/>
      <c r="AA13" s="25"/>
    </row>
    <row r="14" spans="1:27" ht="20.100000000000001" customHeight="1" x14ac:dyDescent="0.25">
      <c r="A14" s="25"/>
      <c r="B14" s="25"/>
      <c r="C14" s="25"/>
      <c r="D14" s="25"/>
      <c r="E14" s="25"/>
      <c r="F14" s="25"/>
      <c r="G14" s="62" t="str">
        <v>Insufficient Funds</v>
      </c>
      <c r="H14" s="57">
        <f>VLOOKUP(G14,Tasks!$C$43:$E$47,2,FALSE)</f>
        <v>33</v>
      </c>
      <c r="I14" s="58">
        <f>H14/SUM($H$10:$H$14)</f>
        <v>0.15137614678899083</v>
      </c>
      <c r="J14" s="67" t="s">
        <v>1082</v>
      </c>
      <c r="K14" s="25"/>
      <c r="L14" s="25"/>
      <c r="M14" s="25"/>
      <c r="N14" s="25"/>
      <c r="O14" s="25"/>
      <c r="P14" s="25"/>
      <c r="Q14" s="25"/>
      <c r="R14" s="25"/>
      <c r="S14" s="25"/>
      <c r="T14" s="25"/>
      <c r="U14" s="25"/>
      <c r="V14" s="25"/>
      <c r="W14" s="25"/>
      <c r="X14" s="25"/>
      <c r="Y14" s="25"/>
      <c r="Z14" s="25"/>
      <c r="AA14" s="25"/>
    </row>
    <row r="15" spans="1:27" ht="21.95" customHeight="1" x14ac:dyDescent="0.3">
      <c r="A15" s="25"/>
      <c r="B15" s="77" t="s">
        <v>1083</v>
      </c>
      <c r="C15" s="25"/>
      <c r="D15" s="25"/>
      <c r="E15" s="25"/>
      <c r="F15" s="25"/>
      <c r="G15" s="25"/>
      <c r="H15" s="25"/>
      <c r="I15" s="25"/>
      <c r="J15" s="25"/>
      <c r="K15" s="25"/>
      <c r="L15" s="25"/>
      <c r="M15" s="25"/>
      <c r="N15" s="25"/>
      <c r="O15" s="25"/>
      <c r="P15" s="25"/>
      <c r="Q15" s="25"/>
      <c r="R15" s="25"/>
      <c r="S15" s="25"/>
      <c r="T15" s="25"/>
      <c r="U15" s="25"/>
      <c r="V15" s="25"/>
      <c r="W15" s="25"/>
      <c r="X15" s="25"/>
      <c r="Y15" s="25"/>
      <c r="Z15" s="25"/>
      <c r="AA15" s="25"/>
    </row>
    <row r="16" spans="1:27" ht="21.95" customHeight="1" x14ac:dyDescent="0.25">
      <c r="A16" s="25"/>
      <c r="B16" s="36" t="s">
        <v>1061</v>
      </c>
      <c r="C16" s="36" t="s">
        <v>1059</v>
      </c>
      <c r="D16" s="56" t="s">
        <v>1084</v>
      </c>
      <c r="E16" s="45" t="s">
        <v>1062</v>
      </c>
      <c r="F16" s="45" t="s">
        <v>1085</v>
      </c>
      <c r="G16" s="45" t="s">
        <v>9</v>
      </c>
      <c r="H16" s="45" t="s">
        <v>1086</v>
      </c>
      <c r="I16" s="72" t="s">
        <v>1147</v>
      </c>
      <c r="J16" s="25"/>
      <c r="K16" s="25"/>
      <c r="L16" s="25"/>
      <c r="M16" s="25"/>
      <c r="N16" s="25"/>
      <c r="O16" s="25"/>
      <c r="P16" s="25"/>
      <c r="Q16" s="25"/>
      <c r="R16" s="25"/>
      <c r="S16" s="25"/>
      <c r="T16" s="25"/>
      <c r="U16" s="25"/>
      <c r="V16" s="25"/>
      <c r="W16" s="25"/>
      <c r="X16" s="25"/>
      <c r="Y16" s="25"/>
      <c r="Z16" s="25"/>
      <c r="AA16" s="25"/>
    </row>
    <row r="17" spans="1:27" ht="20.100000000000001" customHeight="1" x14ac:dyDescent="0.25">
      <c r="A17" s="25"/>
      <c r="B17" s="68" t="str" cm="1">
        <f t="array" ref="B17:B21">_xlfn.TAKE(_xlfn._xlws.SORT(Tasks!C5:E9,3,-1),,1)</f>
        <v>Checkout.com</v>
      </c>
      <c r="C17" s="37">
        <f>VLOOKUP(Dashboards!B17,Tasks!$C$16:$F$20,4,FALSE)</f>
        <v>221</v>
      </c>
      <c r="D17" s="53">
        <f>VLOOKUP(Dashboards!B17,Tasks!$C$5:$F$9,4,FALSE)</f>
        <v>0.58823529411764708</v>
      </c>
      <c r="E17" s="151">
        <f>VLOOKUP(Dashboards!B17,Tasks!$C$16:$E$20,2,FALSE)</f>
        <v>249324.19283599997</v>
      </c>
      <c r="F17" s="151">
        <f>VLOOKUP(Dashboards!B17,Tasks!$C$16:$E$20,3,FALSE)</f>
        <v>4828.8748220000016</v>
      </c>
      <c r="G17" s="39">
        <f t="shared" ref="G17:G22" si="0">F17/(E17+F17)</f>
        <v>1.8999868333275272E-2</v>
      </c>
      <c r="H17" s="151">
        <f t="shared" ref="H17:H22" si="1">E17/C17</f>
        <v>1128.1637684886878</v>
      </c>
      <c r="I17" s="155">
        <f>AVERAGEIFS(Raw_Data_Combined[Net Amount EUR],Raw_Data_Combined[PSP Provider],$B17,Raw_Data_Combined[Status],"Success")</f>
        <v>1917.878406430769</v>
      </c>
      <c r="J17" s="25"/>
      <c r="K17" s="25"/>
      <c r="L17" s="25"/>
      <c r="M17" s="25"/>
      <c r="N17" s="25"/>
      <c r="O17" s="25"/>
      <c r="P17" s="25"/>
      <c r="Q17" s="25"/>
      <c r="R17" s="25"/>
      <c r="S17" s="25"/>
      <c r="T17" s="25"/>
      <c r="U17" s="25"/>
      <c r="V17" s="25"/>
      <c r="W17" s="25"/>
      <c r="X17" s="25"/>
      <c r="Y17" s="25"/>
      <c r="Z17" s="25"/>
      <c r="AA17" s="25"/>
    </row>
    <row r="18" spans="1:27" ht="20.100000000000001" customHeight="1" x14ac:dyDescent="0.25">
      <c r="A18" s="25"/>
      <c r="B18" s="69" t="str">
        <v>PaySafe</v>
      </c>
      <c r="C18" s="73">
        <f>VLOOKUP(Dashboards!B18,Tasks!$C$16:$F$20,4,FALSE)</f>
        <v>210</v>
      </c>
      <c r="D18" s="84">
        <f>VLOOKUP(Dashboards!B18,Tasks!$C$5:$F$9,4,FALSE)</f>
        <v>0.5714285714285714</v>
      </c>
      <c r="E18" s="152">
        <f>VLOOKUP(B18,Tasks!$C$16:$E$20,2,FALSE)</f>
        <v>215751.89722800002</v>
      </c>
      <c r="F18" s="152">
        <f>VLOOKUP(Dashboards!B18,Tasks!$C$16:$E$20,3,FALSE)</f>
        <v>7132.3015459999997</v>
      </c>
      <c r="G18" s="40">
        <f t="shared" si="0"/>
        <v>3.2000032237511848E-2</v>
      </c>
      <c r="H18" s="152">
        <f t="shared" si="1"/>
        <v>1027.3899868000001</v>
      </c>
      <c r="I18" s="156">
        <f>AVERAGEIFS(Raw_Data_Combined[Net Amount EUR],Raw_Data_Combined[PSP Provider],$B18,Raw_Data_Combined[Status],"Success")</f>
        <v>1797.9324769000002</v>
      </c>
      <c r="J18" s="25"/>
      <c r="K18" s="25"/>
      <c r="L18" s="25"/>
      <c r="M18" s="25"/>
      <c r="N18" s="25"/>
      <c r="O18" s="25"/>
      <c r="P18" s="25"/>
      <c r="Q18" s="25"/>
      <c r="R18" s="25"/>
      <c r="S18" s="25"/>
      <c r="T18" s="25"/>
      <c r="U18" s="25"/>
      <c r="V18" s="25"/>
      <c r="W18" s="25"/>
      <c r="X18" s="25"/>
      <c r="Y18" s="25"/>
      <c r="Z18" s="25"/>
      <c r="AA18" s="25"/>
    </row>
    <row r="19" spans="1:27" ht="20.100000000000001" customHeight="1" x14ac:dyDescent="0.25">
      <c r="A19" s="25"/>
      <c r="B19" s="68" t="str">
        <v>Worldpay</v>
      </c>
      <c r="C19" s="52">
        <f>VLOOKUP(Dashboards!B19,Tasks!$C$16:$F$20,4,FALSE)</f>
        <v>194</v>
      </c>
      <c r="D19" s="53">
        <f>VLOOKUP(Dashboards!B19,Tasks!$C$5:$F$9,4,FALSE)</f>
        <v>0.54123711340206182</v>
      </c>
      <c r="E19" s="151">
        <f>VLOOKUP(B19,Tasks!$C$16:$E$20,2,FALSE)</f>
        <v>173586.53503600002</v>
      </c>
      <c r="F19" s="151">
        <f>VLOOKUP(Dashboards!B19,Tasks!$C$16:$E$20,3,FALSE)</f>
        <v>4450.9076060000007</v>
      </c>
      <c r="G19" s="39">
        <f t="shared" si="0"/>
        <v>2.4999840145704312E-2</v>
      </c>
      <c r="H19" s="151">
        <f t="shared" si="1"/>
        <v>894.77595379381455</v>
      </c>
      <c r="I19" s="155">
        <f>AVERAGEIFS(Raw_Data_Combined[Net Amount EUR],Raw_Data_Combined[PSP Provider],$B19,Raw_Data_Combined[Status],"Success")</f>
        <v>1653.2050955809525</v>
      </c>
      <c r="J19" s="25"/>
      <c r="K19" s="25"/>
      <c r="L19" s="25"/>
      <c r="M19" s="25"/>
      <c r="N19" s="25"/>
      <c r="O19" s="25"/>
      <c r="P19" s="25"/>
      <c r="Q19" s="25"/>
      <c r="R19" s="25"/>
      <c r="S19" s="25"/>
      <c r="T19" s="25"/>
      <c r="U19" s="25"/>
      <c r="V19" s="25"/>
      <c r="W19" s="25"/>
      <c r="X19" s="25"/>
      <c r="Y19" s="25"/>
      <c r="Z19" s="25"/>
      <c r="AA19" s="25"/>
    </row>
    <row r="20" spans="1:27" ht="20.100000000000001" customHeight="1" x14ac:dyDescent="0.25">
      <c r="A20" s="25"/>
      <c r="B20" s="69" t="str">
        <v>Adyen</v>
      </c>
      <c r="C20" s="83">
        <f>VLOOKUP(Dashboards!B20,Tasks!$C$16:$F$20,4,FALSE)</f>
        <v>189</v>
      </c>
      <c r="D20" s="85">
        <f>VLOOKUP(Dashboards!B20,Tasks!$C$5:$F$9,4,FALSE)</f>
        <v>0.51851851851851849</v>
      </c>
      <c r="E20" s="152">
        <f>VLOOKUP(B20,Tasks!$C$16:$E$20,2,FALSE)</f>
        <v>193122.17669200004</v>
      </c>
      <c r="F20" s="152">
        <f>VLOOKUP(Dashboards!B20,Tasks!$C$16:$E$20,3,FALSE)</f>
        <v>4142.5883539999995</v>
      </c>
      <c r="G20" s="40">
        <f t="shared" si="0"/>
        <v>2.1000143401351944E-2</v>
      </c>
      <c r="H20" s="152">
        <f t="shared" si="1"/>
        <v>1021.8104586878309</v>
      </c>
      <c r="I20" s="156">
        <f>AVERAGEIFS(Raw_Data_Combined[Net Amount EUR],Raw_Data_Combined[PSP Provider],$B20,Raw_Data_Combined[Status],"Success")</f>
        <v>1970.6344560408168</v>
      </c>
      <c r="J20" s="25"/>
      <c r="K20" s="25"/>
      <c r="L20" s="25"/>
      <c r="M20" s="25"/>
      <c r="N20" s="25"/>
      <c r="O20" s="25"/>
      <c r="P20" s="25"/>
      <c r="Q20" s="25"/>
      <c r="R20" s="25"/>
      <c r="S20" s="25"/>
      <c r="T20" s="25"/>
      <c r="U20" s="25"/>
      <c r="V20" s="25"/>
      <c r="W20" s="25"/>
      <c r="X20" s="25"/>
      <c r="Y20" s="25"/>
      <c r="Z20" s="25"/>
      <c r="AA20" s="25"/>
    </row>
    <row r="21" spans="1:27" ht="20.100000000000001" customHeight="1" x14ac:dyDescent="0.25">
      <c r="A21" s="25"/>
      <c r="B21" s="70" t="str">
        <v>Stripe</v>
      </c>
      <c r="C21" s="82">
        <f>VLOOKUP(Dashboards!B21,Tasks!$C$16:$F$20,4,FALSE)</f>
        <v>186</v>
      </c>
      <c r="D21" s="53">
        <f>VLOOKUP(Dashboards!B21,Tasks!$C$5:$F$9,4,FALSE)</f>
        <v>0.543010752688172</v>
      </c>
      <c r="E21" s="153">
        <f>VLOOKUP(B21,Tasks!$C$16:$E$20,2,FALSE)</f>
        <v>192606.4881450001</v>
      </c>
      <c r="F21" s="151">
        <f>VLOOKUP(Dashboards!B21,Tasks!$C$16:$E$20,3,FALSE)</f>
        <v>5752.3726080000024</v>
      </c>
      <c r="G21" s="71">
        <f t="shared" si="0"/>
        <v>2.8999826809667738E-2</v>
      </c>
      <c r="H21" s="153">
        <f t="shared" si="1"/>
        <v>1035.5187534677425</v>
      </c>
      <c r="I21" s="155">
        <f>AVERAGEIFS(Raw_Data_Combined[Net Amount EUR],Raw_Data_Combined[PSP Provider],$B21,Raw_Data_Combined[Status],"Success")</f>
        <v>1906.9949321287138</v>
      </c>
      <c r="J21" s="25"/>
      <c r="K21" s="25"/>
      <c r="L21" s="25"/>
      <c r="M21" s="25"/>
      <c r="N21" s="25"/>
      <c r="O21" s="25"/>
      <c r="P21" s="25"/>
      <c r="Q21" s="25"/>
      <c r="R21" s="25"/>
      <c r="S21" s="25"/>
      <c r="T21" s="25"/>
      <c r="U21" s="25"/>
      <c r="V21" s="25"/>
      <c r="W21" s="25"/>
      <c r="X21" s="25"/>
      <c r="Y21" s="25"/>
      <c r="Z21" s="25"/>
      <c r="AA21" s="25"/>
    </row>
    <row r="22" spans="1:27" ht="20.100000000000001" customHeight="1" x14ac:dyDescent="0.25">
      <c r="A22" s="25"/>
      <c r="B22" s="33" t="s">
        <v>1087</v>
      </c>
      <c r="C22" s="34">
        <f>SUM(C17:C21)</f>
        <v>1000</v>
      </c>
      <c r="D22" s="35">
        <f>COUNTIF(Raw_Data_Combined[Status],"Success")/C22</f>
        <v>0.55400000000000005</v>
      </c>
      <c r="E22" s="154">
        <f>SUM(E17:E21)</f>
        <v>1024391.2899370001</v>
      </c>
      <c r="F22" s="154">
        <f>SUM(F17:F21)</f>
        <v>26307.044936000002</v>
      </c>
      <c r="G22" s="35">
        <f t="shared" si="0"/>
        <v>2.5037676431817875E-2</v>
      </c>
      <c r="H22" s="154">
        <f t="shared" si="1"/>
        <v>1024.3912899370002</v>
      </c>
      <c r="I22" s="154">
        <f>J5</f>
        <v>1849.0817507888091</v>
      </c>
      <c r="J22" s="25"/>
      <c r="K22" s="25"/>
      <c r="L22" s="25"/>
      <c r="M22" s="25"/>
      <c r="N22" s="25"/>
      <c r="O22" s="25"/>
      <c r="P22" s="25"/>
      <c r="Q22" s="25"/>
      <c r="R22" s="25"/>
      <c r="S22" s="25"/>
      <c r="T22" s="25"/>
      <c r="U22" s="25"/>
      <c r="V22" s="25"/>
      <c r="W22" s="25"/>
      <c r="X22" s="25"/>
      <c r="Y22" s="25"/>
      <c r="Z22" s="25"/>
      <c r="AA22" s="25"/>
    </row>
    <row r="23" spans="1:27" ht="8.1" customHeight="1" x14ac:dyDescent="0.25">
      <c r="A23" s="25"/>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row>
    <row r="24" spans="1:27" ht="8.1" customHeight="1" x14ac:dyDescent="0.25">
      <c r="A24" s="25"/>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row>
    <row r="25" spans="1:27" ht="21.95" customHeight="1" x14ac:dyDescent="0.3">
      <c r="A25" s="25"/>
      <c r="B25" s="77" t="s">
        <v>1088</v>
      </c>
      <c r="C25" s="25"/>
      <c r="D25" s="25"/>
      <c r="E25" s="25"/>
      <c r="F25" s="25"/>
      <c r="G25" s="25"/>
      <c r="H25" s="25"/>
      <c r="I25" s="25"/>
      <c r="J25" s="25"/>
      <c r="K25" s="25"/>
      <c r="L25" s="25"/>
      <c r="M25" s="25"/>
      <c r="N25" s="25"/>
      <c r="O25" s="25"/>
      <c r="P25" s="25"/>
      <c r="Q25" s="25"/>
      <c r="R25" s="25"/>
      <c r="S25" s="25"/>
      <c r="T25" s="25"/>
      <c r="U25" s="25"/>
      <c r="V25" s="25"/>
      <c r="W25" s="25"/>
      <c r="X25" s="25"/>
      <c r="Y25" s="25"/>
      <c r="Z25" s="25"/>
      <c r="AA25" s="25"/>
    </row>
    <row r="26" spans="1:27" ht="21.95" customHeight="1" x14ac:dyDescent="0.25">
      <c r="A26" s="25"/>
      <c r="B26" s="48" t="s">
        <v>1060</v>
      </c>
      <c r="C26" s="36" t="s">
        <v>1059</v>
      </c>
      <c r="D26" s="45" t="s">
        <v>1062</v>
      </c>
      <c r="E26" s="72" t="s">
        <v>1084</v>
      </c>
      <c r="F26" s="25"/>
      <c r="G26" s="25"/>
      <c r="H26" s="25"/>
      <c r="I26" s="25"/>
      <c r="J26" s="25"/>
      <c r="K26" s="25"/>
      <c r="L26" s="25"/>
      <c r="M26" s="25"/>
      <c r="N26" s="25"/>
      <c r="O26" s="25"/>
      <c r="P26" s="25"/>
      <c r="Q26" s="25"/>
      <c r="R26" s="25"/>
      <c r="S26" s="25"/>
      <c r="T26" s="25"/>
      <c r="U26" s="25"/>
      <c r="V26" s="25"/>
      <c r="W26" s="25"/>
      <c r="X26" s="25"/>
      <c r="Y26" s="25"/>
      <c r="Z26" s="25"/>
      <c r="AA26" s="25"/>
    </row>
    <row r="27" spans="1:27" ht="20.100000000000001" customHeight="1" x14ac:dyDescent="0.25">
      <c r="A27" s="25"/>
      <c r="B27" s="74" t="s">
        <v>1089</v>
      </c>
      <c r="C27" s="37">
        <f>COUNTIFS(Raw_Data_Combined[Date &amp; Time],"&gt;="&amp;DATE(2024,1,1),Raw_Data_Combined[Date &amp; Time],"&lt;"&amp;DATE(2024,2,1))</f>
        <v>73</v>
      </c>
      <c r="D27" s="151">
        <f>SUMIFS(Raw_Data_Combined[Net Amount EUR],Raw_Data_Combined[Date &amp; Time],"&gt;="&amp;DATE(2024,1,1),Raw_Data_Combined[Date &amp; Time],"&lt;"&amp;DATE(2024,2,1))</f>
        <v>65638.729367000007</v>
      </c>
      <c r="E27" s="91">
        <f>COUNTIFS(Raw_Data_Combined[Date &amp; Time],"&gt;="&amp;DATE(2024,1,1),Raw_Data_Combined[Date &amp; Time],"&lt;"&amp;DATE(2024,2,1),Raw_Data_Combined[Status],"Success")/C27</f>
        <v>0.47945205479452052</v>
      </c>
      <c r="F27" s="25"/>
      <c r="G27" s="25"/>
      <c r="H27" s="25"/>
      <c r="I27" s="25"/>
      <c r="J27" s="25"/>
      <c r="K27" s="25"/>
      <c r="L27" s="25"/>
      <c r="M27" s="25"/>
      <c r="N27" s="25"/>
      <c r="O27" s="25"/>
      <c r="P27" s="25"/>
      <c r="Q27" s="25"/>
      <c r="R27" s="25"/>
      <c r="S27" s="25"/>
      <c r="T27" s="25"/>
      <c r="U27" s="25"/>
      <c r="V27" s="25"/>
      <c r="W27" s="25"/>
      <c r="X27" s="25"/>
      <c r="Y27" s="25"/>
      <c r="Z27" s="25"/>
      <c r="AA27" s="25"/>
    </row>
    <row r="28" spans="1:27" ht="20.100000000000001" customHeight="1" x14ac:dyDescent="0.25">
      <c r="A28" s="25"/>
      <c r="B28" s="75" t="s">
        <v>1090</v>
      </c>
      <c r="C28" s="38">
        <f>COUNTIFS(Raw_Data_Combined[Date &amp; Time],"&gt;="&amp;DATE(2024,2,1),Raw_Data_Combined[Date &amp; Time],"&lt;"&amp;DATE(2024,3,1))</f>
        <v>81</v>
      </c>
      <c r="D28" s="152">
        <f>SUMIFS(Raw_Data_Combined[Net Amount EUR],Raw_Data_Combined[Date &amp; Time],"&gt;="&amp;DATE(2024,2,1),Raw_Data_Combined[Date &amp; Time],"&lt;"&amp;DATE(2024,3,1))</f>
        <v>102582.11468300001</v>
      </c>
      <c r="E28" s="92">
        <f>COUNTIFS(Raw_Data_Combined[Date &amp; Time],"&gt;="&amp;DATE(2024,2,1),Raw_Data_Combined[Date &amp; Time],"&lt;"&amp;DATE(2024,3,1),Raw_Data_Combined[Status],"Success")/C28</f>
        <v>0.54320987654320985</v>
      </c>
      <c r="F28" s="25"/>
      <c r="G28" s="25"/>
      <c r="H28" s="25"/>
      <c r="I28" s="25"/>
      <c r="J28" s="25"/>
      <c r="K28" s="25"/>
      <c r="L28" s="25"/>
      <c r="M28" s="25"/>
      <c r="N28" s="25"/>
      <c r="O28" s="25"/>
      <c r="P28" s="25"/>
      <c r="Q28" s="25"/>
      <c r="R28" s="25"/>
      <c r="S28" s="25"/>
      <c r="T28" s="25"/>
      <c r="U28" s="25"/>
      <c r="V28" s="25"/>
      <c r="W28" s="25"/>
      <c r="X28" s="25"/>
      <c r="Y28" s="25"/>
      <c r="Z28" s="25"/>
      <c r="AA28" s="25"/>
    </row>
    <row r="29" spans="1:27" ht="20.100000000000001" customHeight="1" x14ac:dyDescent="0.25">
      <c r="A29" s="25"/>
      <c r="B29" s="74" t="s">
        <v>1091</v>
      </c>
      <c r="C29" s="37">
        <f>COUNTIFS(Raw_Data_Combined[Date &amp; Time],"&gt;="&amp;DATE(2024,3,1),Raw_Data_Combined[Date &amp; Time],"&lt;"&amp;DATE(2024,4,1))</f>
        <v>101</v>
      </c>
      <c r="D29" s="151">
        <f>SUMIFS(Raw_Data_Combined[Net Amount EUR],Raw_Data_Combined[Date &amp; Time],"&gt;="&amp;DATE(2024,3,1),Raw_Data_Combined[Date &amp; Time],"&lt;"&amp;DATE(2024,4,1))</f>
        <v>70701.007643000004</v>
      </c>
      <c r="E29" s="91">
        <f>COUNTIFS(Raw_Data_Combined[Date &amp; Time],"&gt;="&amp;DATE(2024,3,1),Raw_Data_Combined[Date &amp; Time],"&lt;"&amp;DATE(2024,4,1),Raw_Data_Combined[Status],"Success")/C29</f>
        <v>0.48514851485148514</v>
      </c>
      <c r="F29" s="25"/>
      <c r="G29" s="25"/>
      <c r="H29" s="25"/>
      <c r="I29" s="25"/>
      <c r="J29" s="25"/>
      <c r="K29" s="25"/>
      <c r="L29" s="25"/>
      <c r="M29" s="25"/>
      <c r="N29" s="25"/>
      <c r="O29" s="25"/>
      <c r="P29" s="25"/>
      <c r="Q29" s="25"/>
      <c r="R29" s="25"/>
      <c r="S29" s="25"/>
      <c r="T29" s="25"/>
      <c r="U29" s="25"/>
      <c r="V29" s="25"/>
      <c r="W29" s="25"/>
      <c r="X29" s="25"/>
      <c r="Y29" s="25"/>
      <c r="Z29" s="25"/>
      <c r="AA29" s="25"/>
    </row>
    <row r="30" spans="1:27" ht="20.100000000000001" customHeight="1" x14ac:dyDescent="0.25">
      <c r="A30" s="25"/>
      <c r="B30" s="75" t="s">
        <v>1092</v>
      </c>
      <c r="C30" s="38">
        <f>COUNTIFS(Raw_Data_Combined[Date &amp; Time],"&gt;="&amp;DATE(2024,4,1),Raw_Data_Combined[Date &amp; Time],"&lt;"&amp;DATE(2024,5,1))</f>
        <v>75</v>
      </c>
      <c r="D30" s="152">
        <f>SUMIFS(Raw_Data_Combined[Net Amount EUR],Raw_Data_Combined[Date &amp; Time],"&gt;="&amp;DATE(2024,4,1),Raw_Data_Combined[Date &amp; Time],"&lt;"&amp;DATE(2024,5,1))</f>
        <v>59781.090778999998</v>
      </c>
      <c r="E30" s="92">
        <f>COUNTIFS(Raw_Data_Combined[Date &amp; Time],"&gt;="&amp;DATE(2024,4,1),Raw_Data_Combined[Date &amp; Time],"&lt;"&amp;DATE(2024,5,1),Raw_Data_Combined[Status],"Success")/C30</f>
        <v>0.57333333333333336</v>
      </c>
      <c r="F30" s="25"/>
      <c r="G30" s="25"/>
      <c r="H30" s="25"/>
      <c r="I30" s="25"/>
      <c r="J30" s="25"/>
      <c r="K30" s="25"/>
      <c r="L30" s="25"/>
      <c r="M30" s="25"/>
      <c r="N30" s="25"/>
      <c r="O30" s="25"/>
      <c r="P30" s="25"/>
      <c r="Q30" s="25"/>
      <c r="R30" s="25"/>
      <c r="S30" s="25"/>
      <c r="T30" s="25"/>
      <c r="U30" s="25"/>
      <c r="V30" s="25"/>
      <c r="W30" s="25"/>
      <c r="X30" s="25"/>
      <c r="Y30" s="25"/>
      <c r="Z30" s="25"/>
      <c r="AA30" s="25"/>
    </row>
    <row r="31" spans="1:27" ht="20.100000000000001" customHeight="1" x14ac:dyDescent="0.25">
      <c r="A31" s="25"/>
      <c r="B31" s="74" t="s">
        <v>1058</v>
      </c>
      <c r="C31" s="37">
        <f>COUNTIFS(Raw_Data_Combined[Date &amp; Time],"&gt;="&amp;DATE(2024,5,1),Raw_Data_Combined[Date &amp; Time],"&lt;"&amp;DATE(2024,6,1))</f>
        <v>84</v>
      </c>
      <c r="D31" s="151">
        <f>SUMIFS(Raw_Data_Combined[Net Amount EUR],Raw_Data_Combined[Date &amp; Time],"&gt;="&amp;DATE(2024,5,1),Raw_Data_Combined[Date &amp; Time],"&lt;"&amp;DATE(2024,6,1))</f>
        <v>89803.643962999995</v>
      </c>
      <c r="E31" s="91">
        <f>COUNTIFS(Raw_Data_Combined[Date &amp; Time],"&gt;="&amp;DATE(2024,5,1),Raw_Data_Combined[Date &amp; Time],"&lt;"&amp;DATE(2024,6,1),Raw_Data_Combined[Status],"Success")/C31</f>
        <v>0.54761904761904767</v>
      </c>
      <c r="F31" s="25"/>
      <c r="G31" s="25"/>
      <c r="H31" s="25"/>
      <c r="I31" s="25"/>
      <c r="J31" s="25"/>
      <c r="K31" s="25"/>
      <c r="L31" s="25"/>
      <c r="M31" s="25"/>
      <c r="N31" s="25"/>
      <c r="O31" s="25"/>
      <c r="P31" s="25"/>
      <c r="Q31" s="25"/>
      <c r="R31" s="25"/>
      <c r="S31" s="25"/>
      <c r="T31" s="25"/>
      <c r="U31" s="25"/>
      <c r="V31" s="25"/>
      <c r="W31" s="25"/>
      <c r="X31" s="25"/>
      <c r="Y31" s="25"/>
      <c r="Z31" s="25"/>
      <c r="AA31" s="25"/>
    </row>
    <row r="32" spans="1:27" ht="20.100000000000001" customHeight="1" x14ac:dyDescent="0.25">
      <c r="A32" s="25"/>
      <c r="B32" s="75" t="s">
        <v>1093</v>
      </c>
      <c r="C32" s="38">
        <f>COUNTIFS(Raw_Data_Combined[Date &amp; Time],"&gt;="&amp;DATE(2024,6,1),Raw_Data_Combined[Date &amp; Time],"&lt;"&amp;DATE(2024,7,1))</f>
        <v>71</v>
      </c>
      <c r="D32" s="152">
        <f>SUMIFS(Raw_Data_Combined[Net Amount EUR],Raw_Data_Combined[Date &amp; Time],"&gt;="&amp;DATE(2024,6,1),Raw_Data_Combined[Date &amp; Time],"&lt;"&amp;DATE(2024,7,1))</f>
        <v>79661.030165000018</v>
      </c>
      <c r="E32" s="92">
        <f>COUNTIFS(Raw_Data_Combined[Date &amp; Time],"&gt;="&amp;DATE(2024,6,1),Raw_Data_Combined[Date &amp; Time],"&lt;"&amp;DATE(2024,7,1),Raw_Data_Combined[Status],"Success")/C32</f>
        <v>0.56338028169014087</v>
      </c>
      <c r="F32" s="25"/>
      <c r="G32" s="25"/>
      <c r="H32" s="25"/>
      <c r="I32" s="25"/>
      <c r="J32" s="25"/>
      <c r="K32" s="25"/>
      <c r="L32" s="25"/>
      <c r="M32" s="25"/>
      <c r="N32" s="25"/>
      <c r="O32" s="25"/>
      <c r="P32" s="25"/>
      <c r="Q32" s="25"/>
      <c r="R32" s="25"/>
      <c r="S32" s="25"/>
      <c r="T32" s="25"/>
      <c r="U32" s="25"/>
      <c r="V32" s="25"/>
      <c r="W32" s="25"/>
      <c r="X32" s="25"/>
      <c r="Y32" s="25"/>
      <c r="Z32" s="25"/>
      <c r="AA32" s="25"/>
    </row>
    <row r="33" spans="1:27" ht="20.100000000000001" customHeight="1" x14ac:dyDescent="0.25">
      <c r="A33" s="25"/>
      <c r="B33" s="74" t="s">
        <v>1094</v>
      </c>
      <c r="C33" s="37">
        <f>COUNTIFS(Raw_Data_Combined[Date &amp; Time],"&gt;="&amp;DATE(2024,7,1),Raw_Data_Combined[Date &amp; Time],"&lt;"&amp;DATE(2024,8,1))</f>
        <v>72</v>
      </c>
      <c r="D33" s="151">
        <f>SUMIFS(Raw_Data_Combined[Net Amount EUR],Raw_Data_Combined[Date &amp; Time],"&gt;="&amp;DATE(2024,7,1),Raw_Data_Combined[Date &amp; Time],"&lt;"&amp;DATE(2024,8,1))</f>
        <v>66839.33331799999</v>
      </c>
      <c r="E33" s="91">
        <f>COUNTIFS(Raw_Data_Combined[Date &amp; Time],"&gt;="&amp;DATE(2024,7,1),Raw_Data_Combined[Date &amp; Time],"&lt;"&amp;DATE(2024,8,1),Raw_Data_Combined[Status],"Success")/C33</f>
        <v>0.47222222222222221</v>
      </c>
      <c r="F33" s="25"/>
      <c r="G33" s="25"/>
      <c r="H33" s="25"/>
      <c r="I33" s="25"/>
      <c r="J33" s="25"/>
      <c r="K33" s="25"/>
      <c r="L33" s="25"/>
      <c r="M33" s="25"/>
      <c r="N33" s="25"/>
      <c r="O33" s="25"/>
      <c r="P33" s="25"/>
      <c r="Q33" s="25"/>
      <c r="R33" s="25"/>
      <c r="S33" s="25"/>
      <c r="T33" s="25"/>
      <c r="U33" s="25"/>
      <c r="V33" s="25"/>
      <c r="W33" s="25"/>
      <c r="X33" s="25"/>
      <c r="Y33" s="25"/>
      <c r="Z33" s="25"/>
      <c r="AA33" s="25"/>
    </row>
    <row r="34" spans="1:27" ht="20.100000000000001" customHeight="1" x14ac:dyDescent="0.25">
      <c r="A34" s="25"/>
      <c r="B34" s="75" t="s">
        <v>1095</v>
      </c>
      <c r="C34" s="38">
        <f>COUNTIFS(Raw_Data_Combined[Date &amp; Time],"&gt;="&amp;DATE(2024,8,1),Raw_Data_Combined[Date &amp; Time],"&lt;"&amp;DATE(2024,9,1))</f>
        <v>97</v>
      </c>
      <c r="D34" s="152">
        <f>SUMIFS(Raw_Data_Combined[Net Amount EUR],Raw_Data_Combined[Date &amp; Time],"&gt;="&amp;DATE(2024,8,1),Raw_Data_Combined[Date &amp; Time],"&lt;"&amp;DATE(2024,9,1))</f>
        <v>99286.390677000047</v>
      </c>
      <c r="E34" s="92">
        <f>COUNTIFS(Raw_Data_Combined[Date &amp; Time],"&gt;="&amp;DATE(2024,8,1),Raw_Data_Combined[Date &amp; Time],"&lt;"&amp;DATE(2024,9,1),Raw_Data_Combined[Status],"Success")/C34</f>
        <v>0.62886597938144329</v>
      </c>
      <c r="F34" s="25"/>
      <c r="G34" s="25"/>
      <c r="H34" s="25"/>
      <c r="I34" s="25"/>
      <c r="J34" s="25"/>
      <c r="K34" s="25"/>
      <c r="L34" s="25"/>
      <c r="M34" s="25"/>
      <c r="N34" s="25"/>
      <c r="O34" s="25"/>
      <c r="P34" s="25"/>
      <c r="Q34" s="25"/>
      <c r="R34" s="25"/>
      <c r="S34" s="25"/>
      <c r="T34" s="25"/>
      <c r="U34" s="25"/>
      <c r="V34" s="25"/>
      <c r="W34" s="25"/>
      <c r="X34" s="25"/>
      <c r="Y34" s="25"/>
      <c r="Z34" s="25"/>
      <c r="AA34" s="25"/>
    </row>
    <row r="35" spans="1:27" ht="20.100000000000001" customHeight="1" x14ac:dyDescent="0.25">
      <c r="A35" s="25"/>
      <c r="B35" s="74" t="s">
        <v>1096</v>
      </c>
      <c r="C35" s="37">
        <f>COUNTIFS(Raw_Data_Combined[Date &amp; Time],"&gt;="&amp;DATE(2024,9,1),Raw_Data_Combined[Date &amp; Time],"&lt;"&amp;DATE(2024,10,1))</f>
        <v>74</v>
      </c>
      <c r="D35" s="151">
        <f>SUMIFS(Raw_Data_Combined[Net Amount EUR],Raw_Data_Combined[Date &amp; Time],"&gt;="&amp;DATE(2024,9,1),Raw_Data_Combined[Date &amp; Time],"&lt;"&amp;DATE(2024,10,1))</f>
        <v>86237.38294999997</v>
      </c>
      <c r="E35" s="91">
        <f>COUNTIFS(Raw_Data_Combined[Date &amp; Time],"&gt;="&amp;DATE(2024,9,1),Raw_Data_Combined[Date &amp; Time],"&lt;"&amp;DATE(2024,10,1),Raw_Data_Combined[Status],"Success")/C35</f>
        <v>0.60810810810810811</v>
      </c>
      <c r="F35" s="25"/>
      <c r="G35" s="25"/>
      <c r="H35" s="25"/>
      <c r="I35" s="25"/>
      <c r="J35" s="25"/>
      <c r="K35" s="25"/>
      <c r="L35" s="25"/>
      <c r="M35" s="25"/>
      <c r="N35" s="25"/>
      <c r="O35" s="25"/>
      <c r="P35" s="25"/>
      <c r="Q35" s="25"/>
      <c r="R35" s="25"/>
      <c r="S35" s="25"/>
      <c r="T35" s="25"/>
      <c r="U35" s="25"/>
      <c r="V35" s="25"/>
      <c r="W35" s="25"/>
      <c r="X35" s="25"/>
      <c r="Y35" s="25"/>
      <c r="Z35" s="25"/>
      <c r="AA35" s="25"/>
    </row>
    <row r="36" spans="1:27" ht="20.100000000000001" customHeight="1" x14ac:dyDescent="0.25">
      <c r="A36" s="25"/>
      <c r="B36" s="75" t="s">
        <v>1097</v>
      </c>
      <c r="C36" s="38">
        <f>COUNTIFS(Raw_Data_Combined[Date &amp; Time],"&gt;="&amp;DATE(2024,10,1),Raw_Data_Combined[Date &amp; Time],"&lt;"&amp;DATE(2024,11,1))</f>
        <v>96</v>
      </c>
      <c r="D36" s="152">
        <f>SUMIFS(Raw_Data_Combined[Net Amount EUR],Raw_Data_Combined[Date &amp; Time],"&gt;="&amp;DATE(2024,10,1),Raw_Data_Combined[Date &amp; Time],"&lt;"&amp;DATE(2024,11,1))</f>
        <v>122066.09580500003</v>
      </c>
      <c r="E36" s="92">
        <f>COUNTIFS(Raw_Data_Combined[Date &amp; Time],"&gt;="&amp;DATE(2024,10,1),Raw_Data_Combined[Date &amp; Time],"&lt;"&amp;DATE(2024,11,1),Raw_Data_Combined[Status],"Success")/C36</f>
        <v>0.61458333333333337</v>
      </c>
      <c r="F36" s="25"/>
      <c r="G36" s="25"/>
      <c r="H36" s="25"/>
      <c r="I36" s="25"/>
      <c r="J36" s="25"/>
      <c r="K36" s="25"/>
      <c r="L36" s="25"/>
      <c r="M36" s="25"/>
      <c r="N36" s="25"/>
      <c r="O36" s="25"/>
      <c r="P36" s="25"/>
      <c r="Q36" s="25"/>
      <c r="R36" s="25"/>
      <c r="S36" s="25"/>
      <c r="T36" s="25"/>
      <c r="U36" s="25"/>
      <c r="V36" s="25"/>
      <c r="W36" s="25"/>
      <c r="X36" s="25"/>
      <c r="Y36" s="25"/>
      <c r="Z36" s="25"/>
      <c r="AA36" s="25"/>
    </row>
    <row r="37" spans="1:27" ht="20.100000000000001" customHeight="1" x14ac:dyDescent="0.25">
      <c r="A37" s="25"/>
      <c r="B37" s="74" t="s">
        <v>1098</v>
      </c>
      <c r="C37" s="37">
        <f>COUNTIFS(Raw_Data_Combined[Date &amp; Time],"&gt;="&amp;DATE(2024,11,1),Raw_Data_Combined[Date &amp; Time],"&lt;"&amp;DATE(2024,12,1))</f>
        <v>76</v>
      </c>
      <c r="D37" s="151">
        <f>SUMIFS(Raw_Data_Combined[Net Amount EUR],Raw_Data_Combined[Date &amp; Time],"&gt;="&amp;DATE(2024,11,1),Raw_Data_Combined[Date &amp; Time],"&lt;"&amp;DATE(2024,12,1))</f>
        <v>81808.609136999992</v>
      </c>
      <c r="E37" s="91">
        <f>COUNTIFS(Raw_Data_Combined[Date &amp; Time],"&gt;="&amp;DATE(2024,11,1),Raw_Data_Combined[Date &amp; Time],"&lt;"&amp;DATE(2024,12,1),Raw_Data_Combined[Status],"Success")/C37</f>
        <v>0.53947368421052633</v>
      </c>
      <c r="F37" s="25"/>
      <c r="G37" s="25"/>
      <c r="H37" s="25"/>
      <c r="I37" s="25"/>
      <c r="J37" s="25"/>
      <c r="K37" s="25"/>
      <c r="L37" s="25"/>
      <c r="M37" s="25"/>
      <c r="N37" s="25"/>
      <c r="O37" s="25"/>
      <c r="P37" s="25"/>
      <c r="Q37" s="25"/>
      <c r="R37" s="25"/>
      <c r="S37" s="25"/>
      <c r="T37" s="25"/>
      <c r="U37" s="25"/>
      <c r="V37" s="25"/>
      <c r="W37" s="25"/>
      <c r="X37" s="25"/>
      <c r="Y37" s="25"/>
      <c r="Z37" s="25"/>
      <c r="AA37" s="25"/>
    </row>
    <row r="38" spans="1:27" ht="20.100000000000001" customHeight="1" x14ac:dyDescent="0.25">
      <c r="A38" s="25"/>
      <c r="B38" s="76" t="s">
        <v>1099</v>
      </c>
      <c r="C38" s="73">
        <f>COUNTIFS(Raw_Data_Combined[Date &amp; Time],"&gt;="&amp;DATE(2024,12,1),Raw_Data_Combined[Date &amp; Time],"&lt;"&amp;DATE(2025,1,1))</f>
        <v>100</v>
      </c>
      <c r="D38" s="157">
        <f>SUMIFS(Raw_Data_Combined[Net Amount EUR],Raw_Data_Combined[Date &amp; Time],"&gt;="&amp;DATE(2024,12,1),Raw_Data_Combined[Date &amp; Time],"&lt;"&amp;DATE(2025,1,1))</f>
        <v>99985.861449999982</v>
      </c>
      <c r="E38" s="93">
        <f>COUNTIFS(Raw_Data_Combined[Date &amp; Time],"&gt;="&amp;DATE(2024,12,1),Raw_Data_Combined[Date &amp; Time],"&lt;"&amp;DATE(2025,1,1),Raw_Data_Combined[Status],"Success")/C38</f>
        <v>0.56999999999999995</v>
      </c>
      <c r="F38" s="25"/>
      <c r="G38" s="25"/>
      <c r="H38" s="25"/>
      <c r="I38" s="25"/>
      <c r="J38" s="25"/>
      <c r="K38" s="25"/>
      <c r="L38" s="25"/>
      <c r="M38" s="25"/>
      <c r="N38" s="25"/>
      <c r="O38" s="25"/>
      <c r="P38" s="25"/>
      <c r="Q38" s="25"/>
      <c r="R38" s="25"/>
      <c r="S38" s="25"/>
      <c r="T38" s="25"/>
      <c r="U38" s="25"/>
      <c r="V38" s="25"/>
      <c r="W38" s="25"/>
      <c r="X38" s="25"/>
      <c r="Y38" s="25"/>
      <c r="Z38" s="25"/>
      <c r="AA38" s="25"/>
    </row>
    <row r="39" spans="1:27" ht="8.1" customHeight="1" x14ac:dyDescent="0.25">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row>
    <row r="40" spans="1:27" ht="8.1" customHeight="1" x14ac:dyDescent="0.25">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row>
    <row r="41" spans="1:27" ht="21.95" customHeight="1" x14ac:dyDescent="0.3">
      <c r="A41" s="25"/>
      <c r="B41" s="77" t="s">
        <v>1102</v>
      </c>
      <c r="C41" s="25"/>
      <c r="D41" s="25"/>
      <c r="E41" s="25"/>
      <c r="F41" s="25"/>
      <c r="G41" s="77" t="s">
        <v>1105</v>
      </c>
      <c r="H41" s="25"/>
      <c r="I41" s="25"/>
      <c r="J41" s="25"/>
      <c r="K41" s="25"/>
      <c r="L41" s="25"/>
      <c r="M41" s="25"/>
      <c r="N41" s="25"/>
      <c r="O41" s="25"/>
      <c r="P41" s="25"/>
      <c r="Q41" s="25"/>
      <c r="R41" s="25"/>
      <c r="S41" s="25"/>
      <c r="T41" s="25"/>
      <c r="U41" s="25"/>
      <c r="V41" s="25"/>
      <c r="W41" s="25"/>
      <c r="X41" s="25"/>
      <c r="Y41" s="25"/>
      <c r="Z41" s="25"/>
      <c r="AA41" s="25"/>
    </row>
    <row r="42" spans="1:27" ht="21.95" customHeight="1" x14ac:dyDescent="0.25">
      <c r="A42" s="25"/>
      <c r="B42" s="48" t="s">
        <v>2</v>
      </c>
      <c r="C42" s="36" t="s">
        <v>1059</v>
      </c>
      <c r="D42" s="45" t="s">
        <v>1062</v>
      </c>
      <c r="E42" s="72" t="s">
        <v>1084</v>
      </c>
      <c r="F42" s="25"/>
      <c r="G42" s="191" t="s">
        <v>4</v>
      </c>
      <c r="H42" s="193" t="s">
        <v>1103</v>
      </c>
      <c r="I42" s="193"/>
      <c r="J42" s="194"/>
      <c r="K42" s="25"/>
      <c r="L42" s="25"/>
      <c r="M42" s="25"/>
      <c r="N42" s="25"/>
      <c r="O42" s="25"/>
      <c r="P42" s="25"/>
      <c r="Q42" s="25"/>
      <c r="R42" s="25"/>
      <c r="S42" s="25"/>
      <c r="T42" s="25"/>
      <c r="U42" s="25"/>
      <c r="V42" s="25"/>
      <c r="W42" s="25"/>
      <c r="X42" s="25"/>
      <c r="Y42" s="25"/>
      <c r="Z42" s="25"/>
      <c r="AA42" s="25"/>
    </row>
    <row r="43" spans="1:27" ht="20.100000000000001" customHeight="1" x14ac:dyDescent="0.25">
      <c r="A43" s="25"/>
      <c r="B43" s="74" t="str" cm="1">
        <f t="array" ref="B43:C52">_xlfn._xlws.SORT(Tasks!C27:D36,2,-1)</f>
        <v>NL</v>
      </c>
      <c r="C43" s="37">
        <v>125</v>
      </c>
      <c r="D43" s="151">
        <f>SUMIFS(Raw_Data_Combined[Net Amount EUR],Raw_Data_Combined[GEO], Dashboards!B43)</f>
        <v>157032.23000000004</v>
      </c>
      <c r="E43" s="91">
        <f>VLOOKUP(B43,Tasks!$C$27:$E$36,3,FALSE)</f>
        <v>0.56000000000000005</v>
      </c>
      <c r="F43" s="25"/>
      <c r="G43" s="192"/>
      <c r="H43" s="36" t="s">
        <v>43</v>
      </c>
      <c r="I43" s="36" t="s">
        <v>31</v>
      </c>
      <c r="J43" s="94" t="s">
        <v>58</v>
      </c>
      <c r="K43" s="25"/>
      <c r="L43" s="25"/>
      <c r="M43" s="25"/>
      <c r="N43" s="25"/>
      <c r="O43" s="25"/>
      <c r="P43" s="25"/>
      <c r="Q43" s="25"/>
      <c r="R43" s="25"/>
      <c r="S43" s="25"/>
      <c r="T43" s="25"/>
      <c r="U43" s="25"/>
      <c r="V43" s="25"/>
      <c r="W43" s="25"/>
      <c r="X43" s="25"/>
      <c r="Y43" s="25"/>
      <c r="Z43" s="25"/>
      <c r="AA43" s="25"/>
    </row>
    <row r="44" spans="1:27" ht="20.100000000000001" customHeight="1" x14ac:dyDescent="0.25">
      <c r="A44" s="25"/>
      <c r="B44" s="75" t="str">
        <v>GB</v>
      </c>
      <c r="C44" s="38">
        <v>113</v>
      </c>
      <c r="D44" s="152">
        <f>SUMIFS(Raw_Data_Combined[Net Amount EUR],Raw_Data_Combined[GEO], Dashboards!B44)</f>
        <v>161735.55215999999</v>
      </c>
      <c r="E44" s="92">
        <f>VLOOKUP(B44,Tasks!$C$27:$E$36,3,FALSE)</f>
        <v>0.51327433628318586</v>
      </c>
      <c r="F44" s="25"/>
      <c r="G44" s="74" t="str">
        <f>Tasks!C61</f>
        <v>Worldpay</v>
      </c>
      <c r="H44" s="86">
        <f>Tasks!D61</f>
        <v>0.44444444444444442</v>
      </c>
      <c r="I44" s="86">
        <f>Tasks!E61</f>
        <v>0.5</v>
      </c>
      <c r="J44" s="95">
        <f>Tasks!F61</f>
        <v>0.47058823529411764</v>
      </c>
      <c r="K44" s="25"/>
      <c r="L44" s="25"/>
      <c r="M44" s="25"/>
      <c r="N44" s="25"/>
      <c r="O44" s="25"/>
      <c r="P44" s="25"/>
      <c r="Q44" s="25"/>
      <c r="R44" s="25"/>
      <c r="S44" s="25"/>
      <c r="T44" s="25"/>
      <c r="U44" s="25"/>
      <c r="V44" s="25"/>
      <c r="W44" s="25"/>
      <c r="X44" s="25"/>
      <c r="Y44" s="25"/>
      <c r="Z44" s="25"/>
      <c r="AA44" s="25"/>
    </row>
    <row r="45" spans="1:27" ht="20.100000000000001" customHeight="1" x14ac:dyDescent="0.25">
      <c r="A45" s="25"/>
      <c r="B45" s="74" t="str">
        <v>CY</v>
      </c>
      <c r="C45" s="37">
        <v>108</v>
      </c>
      <c r="D45" s="151">
        <f>SUMIFS(Raw_Data_Combined[Net Amount EUR],Raw_Data_Combined[GEO], Dashboards!B45)</f>
        <v>149085.69999999992</v>
      </c>
      <c r="E45" s="91">
        <f>VLOOKUP(B45,Tasks!$C$27:$E$36,3,FALSE)</f>
        <v>0.56481481481481477</v>
      </c>
      <c r="F45" s="25"/>
      <c r="G45" s="75" t="str">
        <f>Tasks!C62</f>
        <v>Stripe</v>
      </c>
      <c r="H45" s="87">
        <f>Tasks!D62</f>
        <v>0.5357142857142857</v>
      </c>
      <c r="I45" s="87">
        <f>Tasks!E62</f>
        <v>0.47368421052631576</v>
      </c>
      <c r="J45" s="96">
        <f>Tasks!F62</f>
        <v>0.57692307692307687</v>
      </c>
      <c r="K45" s="25"/>
      <c r="L45" s="25"/>
      <c r="M45" s="25"/>
      <c r="N45" s="25"/>
      <c r="O45" s="25"/>
      <c r="P45" s="25"/>
      <c r="Q45" s="25"/>
      <c r="R45" s="25"/>
      <c r="S45" s="25"/>
      <c r="T45" s="25"/>
      <c r="U45" s="25"/>
      <c r="V45" s="25"/>
      <c r="W45" s="25"/>
      <c r="X45" s="25"/>
      <c r="Y45" s="25"/>
      <c r="Z45" s="25"/>
      <c r="AA45" s="25"/>
    </row>
    <row r="46" spans="1:27" ht="20.100000000000001" customHeight="1" x14ac:dyDescent="0.25">
      <c r="A46" s="25"/>
      <c r="B46" s="75" t="str">
        <v>FR</v>
      </c>
      <c r="C46" s="38">
        <v>101</v>
      </c>
      <c r="D46" s="152">
        <f>SUMIFS(Raw_Data_Combined[Net Amount EUR],Raw_Data_Combined[GEO], Dashboards!B46)</f>
        <v>174641.67</v>
      </c>
      <c r="E46" s="92">
        <f>VLOOKUP(B46,Tasks!$C$27:$E$36,3,FALSE)</f>
        <v>0.63366336633663367</v>
      </c>
      <c r="F46" s="25"/>
      <c r="G46" s="74" t="str">
        <f>Tasks!C63</f>
        <v>Checkout.com</v>
      </c>
      <c r="H46" s="86">
        <f>Tasks!D63</f>
        <v>0.54545454545454541</v>
      </c>
      <c r="I46" s="86">
        <f>Tasks!E63</f>
        <v>0.65384615384615385</v>
      </c>
      <c r="J46" s="95">
        <f>Tasks!F63</f>
        <v>0.5714285714285714</v>
      </c>
      <c r="K46" s="25"/>
      <c r="L46" s="25"/>
      <c r="M46" s="25"/>
      <c r="N46" s="25"/>
      <c r="O46" s="25"/>
      <c r="P46" s="25"/>
      <c r="Q46" s="25"/>
      <c r="R46" s="25"/>
      <c r="S46" s="25"/>
      <c r="T46" s="25"/>
      <c r="U46" s="25"/>
      <c r="V46" s="25"/>
      <c r="W46" s="25"/>
      <c r="X46" s="25"/>
      <c r="Y46" s="25"/>
      <c r="Z46" s="25"/>
      <c r="AA46" s="25"/>
    </row>
    <row r="47" spans="1:27" ht="20.100000000000001" customHeight="1" x14ac:dyDescent="0.25">
      <c r="A47" s="25"/>
      <c r="B47" s="74" t="str">
        <v>SE</v>
      </c>
      <c r="C47" s="37">
        <v>100</v>
      </c>
      <c r="D47" s="151">
        <f>SUMIFS(Raw_Data_Combined[Net Amount EUR],Raw_Data_Combined[GEO], Dashboards!B47)</f>
        <v>9240.629821999999</v>
      </c>
      <c r="E47" s="91">
        <f>VLOOKUP(B47,Tasks!$C$27:$E$36,3,FALSE)</f>
        <v>0.49</v>
      </c>
      <c r="F47" s="25"/>
      <c r="G47" s="75" t="str">
        <f>Tasks!C64</f>
        <v>PaySafe</v>
      </c>
      <c r="H47" s="87">
        <f>Tasks!D64</f>
        <v>0.62962962962962965</v>
      </c>
      <c r="I47" s="87">
        <f>Tasks!E64</f>
        <v>0.43478260869565216</v>
      </c>
      <c r="J47" s="96">
        <f>Tasks!F64</f>
        <v>0.7</v>
      </c>
      <c r="K47" s="25"/>
      <c r="L47" s="25"/>
      <c r="M47" s="25"/>
      <c r="N47" s="25"/>
      <c r="O47" s="25"/>
      <c r="P47" s="25"/>
      <c r="Q47" s="25"/>
      <c r="R47" s="25"/>
      <c r="S47" s="25"/>
      <c r="T47" s="25"/>
      <c r="U47" s="25"/>
      <c r="V47" s="25"/>
      <c r="W47" s="25"/>
      <c r="X47" s="25"/>
      <c r="Y47" s="25"/>
      <c r="Z47" s="25"/>
      <c r="AA47" s="25"/>
    </row>
    <row r="48" spans="1:27" ht="20.100000000000001" customHeight="1" x14ac:dyDescent="0.25">
      <c r="A48" s="25"/>
      <c r="B48" s="75" t="str">
        <v>NO</v>
      </c>
      <c r="C48" s="38">
        <v>98</v>
      </c>
      <c r="D48" s="152">
        <f>SUMIFS(Raw_Data_Combined[Net Amount EUR],Raw_Data_Combined[GEO], Dashboards!B48)</f>
        <v>11128.355280000002</v>
      </c>
      <c r="E48" s="92">
        <f>VLOOKUP(B48,Tasks!$C$27:$E$36,3,FALSE)</f>
        <v>0.58163265306122447</v>
      </c>
      <c r="F48" s="25"/>
      <c r="G48" s="74" t="str">
        <f>Tasks!C65</f>
        <v>Adyen</v>
      </c>
      <c r="H48" s="86">
        <f>Tasks!D65</f>
        <v>0.63157894736842102</v>
      </c>
      <c r="I48" s="86">
        <f>Tasks!E65</f>
        <v>0.47368421052631576</v>
      </c>
      <c r="J48" s="95">
        <f>Tasks!F65</f>
        <v>0.5</v>
      </c>
      <c r="K48" s="25"/>
      <c r="L48" s="25"/>
      <c r="M48" s="25"/>
      <c r="N48" s="25"/>
      <c r="O48" s="25"/>
      <c r="P48" s="25"/>
      <c r="Q48" s="25"/>
      <c r="R48" s="25"/>
      <c r="S48" s="25"/>
      <c r="T48" s="25"/>
      <c r="U48" s="25"/>
      <c r="V48" s="25"/>
      <c r="W48" s="25"/>
      <c r="X48" s="25"/>
      <c r="Y48" s="25"/>
      <c r="Z48" s="25"/>
      <c r="AA48" s="25"/>
    </row>
    <row r="49" spans="1:27" ht="20.100000000000001" customHeight="1" x14ac:dyDescent="0.25">
      <c r="A49" s="25"/>
      <c r="B49" s="74" t="str">
        <v>PL</v>
      </c>
      <c r="C49" s="37">
        <v>97</v>
      </c>
      <c r="D49" s="151">
        <f>SUMIFS(Raw_Data_Combined[Net Amount EUR],Raw_Data_Combined[GEO], Dashboards!B49)</f>
        <v>35308.792675000004</v>
      </c>
      <c r="E49" s="91">
        <f>VLOOKUP(B49,Tasks!$C$27:$E$36,3,FALSE)</f>
        <v>0.57731958762886593</v>
      </c>
      <c r="F49" s="25"/>
      <c r="G49" s="25"/>
      <c r="H49" s="25"/>
      <c r="I49" s="25"/>
      <c r="J49" s="25"/>
      <c r="K49" s="25"/>
      <c r="L49" s="25"/>
      <c r="M49" s="25"/>
      <c r="N49" s="25"/>
      <c r="O49" s="25"/>
      <c r="P49" s="25"/>
      <c r="Q49" s="25"/>
      <c r="R49" s="25"/>
      <c r="S49" s="25"/>
      <c r="T49" s="25"/>
      <c r="U49" s="25"/>
      <c r="V49" s="25"/>
      <c r="W49" s="25"/>
      <c r="X49" s="25"/>
      <c r="Y49" s="25"/>
      <c r="Z49" s="25"/>
      <c r="AA49" s="25"/>
    </row>
    <row r="50" spans="1:27" ht="17.25" x14ac:dyDescent="0.3">
      <c r="A50" s="25"/>
      <c r="B50" s="75" t="str">
        <v>IT</v>
      </c>
      <c r="C50" s="38">
        <v>91</v>
      </c>
      <c r="D50" s="152">
        <f>SUMIFS(Raw_Data_Combined[Net Amount EUR],Raw_Data_Combined[GEO], Dashboards!B50)</f>
        <v>120668.87000000002</v>
      </c>
      <c r="E50" s="92">
        <f>VLOOKUP(B50,Tasks!$C$27:$E$36,3,FALSE)</f>
        <v>0.60439560439560436</v>
      </c>
      <c r="F50" s="25"/>
      <c r="G50" s="77" t="s">
        <v>1057</v>
      </c>
      <c r="H50" s="25"/>
      <c r="I50" s="25"/>
      <c r="J50" s="25"/>
      <c r="K50" s="25"/>
      <c r="L50" s="25"/>
      <c r="M50" s="25"/>
      <c r="N50" s="25"/>
      <c r="O50" s="25"/>
      <c r="P50" s="25"/>
      <c r="Q50" s="25"/>
      <c r="R50" s="25"/>
      <c r="S50" s="25"/>
      <c r="T50" s="25"/>
      <c r="U50" s="25"/>
      <c r="V50" s="25"/>
      <c r="W50" s="25"/>
      <c r="X50" s="25"/>
      <c r="Y50" s="25"/>
      <c r="Z50" s="25"/>
      <c r="AA50" s="25"/>
    </row>
    <row r="51" spans="1:27" ht="20.100000000000001" customHeight="1" x14ac:dyDescent="0.25">
      <c r="A51" s="25"/>
      <c r="B51" s="74" t="str">
        <v>DE</v>
      </c>
      <c r="C51" s="37">
        <v>87</v>
      </c>
      <c r="D51" s="151">
        <f>SUMIFS(Raw_Data_Combined[Net Amount EUR],Raw_Data_Combined[GEO], Dashboards!B51)</f>
        <v>95077.999999999985</v>
      </c>
      <c r="E51" s="91">
        <f>VLOOKUP(B51,Tasks!$C$27:$E$36,3,FALSE)</f>
        <v>0.4942528735632184</v>
      </c>
      <c r="F51" s="25"/>
      <c r="G51" s="97" t="s">
        <v>1055</v>
      </c>
      <c r="H51" s="98" t="s">
        <v>1106</v>
      </c>
      <c r="I51" s="25"/>
      <c r="J51" s="25"/>
      <c r="K51" s="25"/>
      <c r="L51" s="25"/>
      <c r="M51" s="25"/>
      <c r="N51" s="25"/>
      <c r="O51" s="25"/>
      <c r="P51" s="25"/>
      <c r="Q51" s="25"/>
      <c r="R51" s="25"/>
      <c r="S51" s="25"/>
      <c r="T51" s="25"/>
      <c r="U51" s="25"/>
      <c r="V51" s="25"/>
      <c r="W51" s="25"/>
      <c r="X51" s="25"/>
      <c r="Y51" s="25"/>
      <c r="Z51" s="25"/>
      <c r="AA51" s="25"/>
    </row>
    <row r="52" spans="1:27" ht="20.100000000000001" customHeight="1" x14ac:dyDescent="0.25">
      <c r="A52" s="25"/>
      <c r="B52" s="75" t="str">
        <v>ES</v>
      </c>
      <c r="C52" s="38">
        <v>80</v>
      </c>
      <c r="D52" s="152">
        <f>SUMIFS(Raw_Data_Combined[Net Amount EUR],Raw_Data_Combined[GEO], Dashboards!B52)</f>
        <v>110471.49000000003</v>
      </c>
      <c r="E52" s="92">
        <f>VLOOKUP(B52,Tasks!$C$27:$E$36,3,FALSE)</f>
        <v>0.51249999999999996</v>
      </c>
      <c r="F52" s="25"/>
      <c r="G52" s="74" t="str">
        <f>Tasks!C69</f>
        <v>NL</v>
      </c>
      <c r="H52" s="74" t="str">
        <f>Tasks!D69</f>
        <v>Adyen</v>
      </c>
      <c r="I52" s="25"/>
      <c r="J52" s="25"/>
      <c r="K52" s="25"/>
      <c r="L52" s="25"/>
      <c r="M52" s="25"/>
      <c r="N52" s="25"/>
      <c r="O52" s="25"/>
      <c r="P52" s="25"/>
      <c r="Q52" s="25"/>
      <c r="R52" s="25"/>
      <c r="S52" s="25"/>
      <c r="T52" s="25"/>
      <c r="U52" s="25"/>
      <c r="V52" s="25"/>
      <c r="W52" s="25"/>
      <c r="X52" s="25"/>
      <c r="Y52" s="25"/>
      <c r="Z52" s="25"/>
      <c r="AA52" s="25"/>
    </row>
    <row r="53" spans="1:27" ht="20.100000000000001" customHeight="1" x14ac:dyDescent="0.25">
      <c r="A53" s="25"/>
      <c r="B53" s="25"/>
      <c r="C53" s="25"/>
      <c r="D53" s="25"/>
      <c r="E53" s="25"/>
      <c r="F53" s="25"/>
      <c r="G53" s="75" t="str">
        <f>Tasks!C70</f>
        <v>GB</v>
      </c>
      <c r="H53" s="75" t="str">
        <f>Tasks!D70</f>
        <v>Checkout.com</v>
      </c>
      <c r="I53" s="25"/>
      <c r="J53" s="25"/>
      <c r="K53" s="25"/>
      <c r="L53" s="25"/>
      <c r="M53" s="25"/>
      <c r="N53" s="25"/>
      <c r="O53" s="25"/>
      <c r="P53" s="25"/>
      <c r="Q53" s="25"/>
      <c r="R53" s="25"/>
      <c r="S53" s="25"/>
      <c r="T53" s="25"/>
      <c r="U53" s="25"/>
      <c r="V53" s="25"/>
      <c r="W53" s="25"/>
      <c r="X53" s="25"/>
      <c r="Y53" s="25"/>
      <c r="Z53" s="25"/>
      <c r="AA53" s="25"/>
    </row>
    <row r="54" spans="1:27" ht="20.100000000000001" customHeight="1" x14ac:dyDescent="0.25">
      <c r="A54" s="25"/>
      <c r="B54" s="25"/>
      <c r="C54" s="25"/>
      <c r="D54" s="25"/>
      <c r="E54" s="25"/>
      <c r="F54" s="25"/>
      <c r="G54" s="74" t="str">
        <f>Tasks!C71</f>
        <v>CY</v>
      </c>
      <c r="H54" s="74" t="str">
        <f>Tasks!D71</f>
        <v>PaySafe</v>
      </c>
      <c r="I54" s="25"/>
      <c r="J54" s="25"/>
      <c r="K54" s="25"/>
      <c r="L54" s="25"/>
      <c r="M54" s="25"/>
      <c r="N54" s="25"/>
      <c r="O54" s="25"/>
      <c r="P54" s="25"/>
      <c r="Q54" s="25"/>
      <c r="R54" s="25"/>
      <c r="S54" s="25"/>
      <c r="T54" s="25"/>
      <c r="U54" s="25"/>
      <c r="V54" s="25"/>
      <c r="W54" s="25"/>
      <c r="X54" s="25"/>
      <c r="Y54" s="25"/>
      <c r="Z54" s="25"/>
      <c r="AA54" s="25"/>
    </row>
    <row r="55" spans="1:27" x14ac:dyDescent="0.25">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row>
    <row r="56" spans="1:27" x14ac:dyDescent="0.25">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row>
    <row r="57" spans="1:27" x14ac:dyDescent="0.25">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row>
    <row r="58" spans="1:27" x14ac:dyDescent="0.25">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row>
    <row r="59" spans="1:27" x14ac:dyDescent="0.25">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row>
  </sheetData>
  <mergeCells count="2">
    <mergeCell ref="G42:G43"/>
    <mergeCell ref="H42:J42"/>
  </mergeCells>
  <phoneticPr fontId="5" type="noConversion"/>
  <conditionalFormatting sqref="C17:C21">
    <cfRule type="dataBar" priority="26">
      <dataBar>
        <cfvo type="min"/>
        <cfvo type="max"/>
        <color rgb="FFFFC000"/>
      </dataBar>
      <extLst>
        <ext xmlns:x14="http://schemas.microsoft.com/office/spreadsheetml/2009/9/main" uri="{B025F937-C7B1-47D3-B67F-A62EFF666E3E}">
          <x14:id>{8A4D6C1C-9368-42F6-9818-D9634544CC4C}</x14:id>
        </ext>
      </extLst>
    </cfRule>
    <cfRule type="dataBar" priority="27">
      <dataBar>
        <cfvo type="min"/>
        <cfvo type="max"/>
        <color rgb="FFFFFF99"/>
      </dataBar>
      <extLst>
        <ext xmlns:x14="http://schemas.microsoft.com/office/spreadsheetml/2009/9/main" uri="{B025F937-C7B1-47D3-B67F-A62EFF666E3E}">
          <x14:id>{A6650A86-7306-44EB-9841-587A984F83D8}</x14:id>
        </ext>
      </extLst>
    </cfRule>
    <cfRule type="dataBar" priority="28">
      <dataBar>
        <cfvo type="min"/>
        <cfvo type="max"/>
        <color rgb="FFFFB628"/>
      </dataBar>
      <extLst>
        <ext xmlns:x14="http://schemas.microsoft.com/office/spreadsheetml/2009/9/main" uri="{B025F937-C7B1-47D3-B67F-A62EFF666E3E}">
          <x14:id>{172672C8-4005-4EA2-B3D0-840B8BB91545}</x14:id>
        </ext>
      </extLst>
    </cfRule>
  </conditionalFormatting>
  <conditionalFormatting sqref="C27:C38">
    <cfRule type="dataBar" priority="30">
      <dataBar>
        <cfvo type="min"/>
        <cfvo type="max"/>
        <color rgb="FF2E86AB"/>
      </dataBar>
      <extLst>
        <ext xmlns:x14="http://schemas.microsoft.com/office/spreadsheetml/2009/9/main" uri="{B025F937-C7B1-47D3-B67F-A62EFF666E3E}">
          <x14:id>{7E8B2E35-2226-4DD4-9B70-90F68E8E00D5}</x14:id>
        </ext>
      </extLst>
    </cfRule>
  </conditionalFormatting>
  <conditionalFormatting sqref="C43:C52">
    <cfRule type="dataBar" priority="23">
      <dataBar>
        <cfvo type="min"/>
        <cfvo type="max"/>
        <color rgb="FF2E86AB"/>
      </dataBar>
      <extLst>
        <ext xmlns:x14="http://schemas.microsoft.com/office/spreadsheetml/2009/9/main" uri="{B025F937-C7B1-47D3-B67F-A62EFF666E3E}">
          <x14:id>{F205EB8D-E0F5-44CE-8557-F80F555DAAAF}</x14:id>
        </ext>
      </extLst>
    </cfRule>
  </conditionalFormatting>
  <conditionalFormatting sqref="D17:D21">
    <cfRule type="dataBar" priority="34">
      <dataBar>
        <cfvo type="min"/>
        <cfvo type="max"/>
        <color rgb="FF10B981"/>
      </dataBar>
      <extLst>
        <ext xmlns:x14="http://schemas.microsoft.com/office/spreadsheetml/2009/9/main" uri="{B025F937-C7B1-47D3-B67F-A62EFF666E3E}">
          <x14:id>{D0D118AA-0E51-4841-A874-24C5CB8114EB}</x14:id>
        </ext>
      </extLst>
    </cfRule>
  </conditionalFormatting>
  <conditionalFormatting sqref="D27:D38">
    <cfRule type="dataBar" priority="31">
      <dataBar>
        <cfvo type="min"/>
        <cfvo type="max"/>
        <color rgb="FF10B981"/>
      </dataBar>
      <extLst>
        <ext xmlns:x14="http://schemas.microsoft.com/office/spreadsheetml/2009/9/main" uri="{B025F937-C7B1-47D3-B67F-A62EFF666E3E}">
          <x14:id>{68A2CB71-2CEA-404D-8AB3-860048D3C08A}</x14:id>
        </ext>
      </extLst>
    </cfRule>
  </conditionalFormatting>
  <conditionalFormatting sqref="D43:D52">
    <cfRule type="dataBar" priority="24">
      <dataBar>
        <cfvo type="min"/>
        <cfvo type="max"/>
        <color rgb="FF10B981"/>
      </dataBar>
      <extLst>
        <ext xmlns:x14="http://schemas.microsoft.com/office/spreadsheetml/2009/9/main" uri="{B025F937-C7B1-47D3-B67F-A62EFF666E3E}">
          <x14:id>{DC1802F6-7C4F-4ADB-A32A-5AE170FBDA29}</x14:id>
        </ext>
      </extLst>
    </cfRule>
  </conditionalFormatting>
  <conditionalFormatting sqref="E17:E21">
    <cfRule type="dataBar" priority="33">
      <dataBar>
        <cfvo type="min"/>
        <cfvo type="max"/>
        <color rgb="FF2E86AB"/>
      </dataBar>
      <extLst>
        <ext xmlns:x14="http://schemas.microsoft.com/office/spreadsheetml/2009/9/main" uri="{B025F937-C7B1-47D3-B67F-A62EFF666E3E}">
          <x14:id>{502CB723-FA06-496C-B62E-52F50EB47DA6}</x14:id>
        </ext>
      </extLst>
    </cfRule>
  </conditionalFormatting>
  <conditionalFormatting sqref="E27:E38">
    <cfRule type="dataBar" priority="17">
      <dataBar>
        <cfvo type="min"/>
        <cfvo type="max"/>
        <color rgb="FFCC66FF"/>
      </dataBar>
      <extLst>
        <ext xmlns:x14="http://schemas.microsoft.com/office/spreadsheetml/2009/9/main" uri="{B025F937-C7B1-47D3-B67F-A62EFF666E3E}">
          <x14:id>{6AB61B91-3492-48A5-B894-69028CD84BEC}</x14:id>
        </ext>
      </extLst>
    </cfRule>
    <cfRule type="dataBar" priority="18">
      <dataBar>
        <cfvo type="min"/>
        <cfvo type="max"/>
        <color rgb="FFCC66FF"/>
      </dataBar>
      <extLst>
        <ext xmlns:x14="http://schemas.microsoft.com/office/spreadsheetml/2009/9/main" uri="{B025F937-C7B1-47D3-B67F-A62EFF666E3E}">
          <x14:id>{58F711C6-6387-4C91-99F8-818A13EEA715}</x14:id>
        </ext>
      </extLst>
    </cfRule>
    <cfRule type="dataBar" priority="19">
      <dataBar>
        <cfvo type="min"/>
        <cfvo type="max"/>
        <color rgb="FF7030A0"/>
      </dataBar>
      <extLst>
        <ext xmlns:x14="http://schemas.microsoft.com/office/spreadsheetml/2009/9/main" uri="{B025F937-C7B1-47D3-B67F-A62EFF666E3E}">
          <x14:id>{37B97A40-78B1-408B-9D5E-65F9205788F4}</x14:id>
        </ext>
      </extLst>
    </cfRule>
    <cfRule type="dataBar" priority="20">
      <dataBar>
        <cfvo type="min"/>
        <cfvo type="max"/>
        <color rgb="FF10B981"/>
      </dataBar>
      <extLst>
        <ext xmlns:x14="http://schemas.microsoft.com/office/spreadsheetml/2009/9/main" uri="{B025F937-C7B1-47D3-B67F-A62EFF666E3E}">
          <x14:id>{F61E671F-CB8D-4632-9DA5-C36A2A73B2F0}</x14:id>
        </ext>
      </extLst>
    </cfRule>
  </conditionalFormatting>
  <conditionalFormatting sqref="E43:E52">
    <cfRule type="dataBar" priority="13">
      <dataBar>
        <cfvo type="min"/>
        <cfvo type="max"/>
        <color rgb="FFCC66FF"/>
      </dataBar>
      <extLst>
        <ext xmlns:x14="http://schemas.microsoft.com/office/spreadsheetml/2009/9/main" uri="{B025F937-C7B1-47D3-B67F-A62EFF666E3E}">
          <x14:id>{96CF1871-2126-4341-A883-FB67204FE61F}</x14:id>
        </ext>
      </extLst>
    </cfRule>
    <cfRule type="dataBar" priority="14">
      <dataBar>
        <cfvo type="min"/>
        <cfvo type="max"/>
        <color rgb="FFCC66FF"/>
      </dataBar>
      <extLst>
        <ext xmlns:x14="http://schemas.microsoft.com/office/spreadsheetml/2009/9/main" uri="{B025F937-C7B1-47D3-B67F-A62EFF666E3E}">
          <x14:id>{66EF2B79-7530-4B12-AD3A-B47385329CB2}</x14:id>
        </ext>
      </extLst>
    </cfRule>
    <cfRule type="dataBar" priority="15">
      <dataBar>
        <cfvo type="min"/>
        <cfvo type="max"/>
        <color rgb="FF7030A0"/>
      </dataBar>
      <extLst>
        <ext xmlns:x14="http://schemas.microsoft.com/office/spreadsheetml/2009/9/main" uri="{B025F937-C7B1-47D3-B67F-A62EFF666E3E}">
          <x14:id>{EA20338C-D546-4E65-8344-EE2B7CCA7A54}</x14:id>
        </ext>
      </extLst>
    </cfRule>
    <cfRule type="dataBar" priority="16">
      <dataBar>
        <cfvo type="min"/>
        <cfvo type="max"/>
        <color rgb="FF10B981"/>
      </dataBar>
      <extLst>
        <ext xmlns:x14="http://schemas.microsoft.com/office/spreadsheetml/2009/9/main" uri="{B025F937-C7B1-47D3-B67F-A62EFF666E3E}">
          <x14:id>{85B8D700-72C2-4E04-8E44-2AD1934A56F6}</x14:id>
        </ext>
      </extLst>
    </cfRule>
  </conditionalFormatting>
  <conditionalFormatting sqref="F17:F21">
    <cfRule type="dataBar" priority="29">
      <dataBar>
        <cfvo type="min"/>
        <cfvo type="max"/>
        <color rgb="FFFF555A"/>
      </dataBar>
      <extLst>
        <ext xmlns:x14="http://schemas.microsoft.com/office/spreadsheetml/2009/9/main" uri="{B025F937-C7B1-47D3-B67F-A62EFF666E3E}">
          <x14:id>{CC6172E2-1EB4-4CC5-A1E3-9CED6CD396A6}</x14:id>
        </ext>
      </extLst>
    </cfRule>
  </conditionalFormatting>
  <conditionalFormatting sqref="H10:H14">
    <cfRule type="dataBar" priority="35">
      <dataBar>
        <cfvo type="min"/>
        <cfvo type="max"/>
        <color rgb="FFEF4444"/>
      </dataBar>
      <extLst>
        <ext xmlns:x14="http://schemas.microsoft.com/office/spreadsheetml/2009/9/main" uri="{B025F937-C7B1-47D3-B67F-A62EFF666E3E}">
          <x14:id>{0BD69044-E739-480D-B5CE-A3B6D0677D51}</x14:id>
        </ext>
      </extLst>
    </cfRule>
  </conditionalFormatting>
  <conditionalFormatting sqref="H44:H48">
    <cfRule type="dataBar" priority="6">
      <dataBar>
        <cfvo type="min"/>
        <cfvo type="max"/>
        <color rgb="FF008AEF"/>
      </dataBar>
      <extLst>
        <ext xmlns:x14="http://schemas.microsoft.com/office/spreadsheetml/2009/9/main" uri="{B025F937-C7B1-47D3-B67F-A62EFF666E3E}">
          <x14:id>{31CEA553-F0BE-4957-9BE9-790AC599EFD4}</x14:id>
        </ext>
      </extLst>
    </cfRule>
  </conditionalFormatting>
  <conditionalFormatting sqref="I44:I48">
    <cfRule type="dataBar" priority="5">
      <dataBar>
        <cfvo type="min"/>
        <cfvo type="max"/>
        <color rgb="FFFFB628"/>
      </dataBar>
      <extLst>
        <ext xmlns:x14="http://schemas.microsoft.com/office/spreadsheetml/2009/9/main" uri="{B025F937-C7B1-47D3-B67F-A62EFF666E3E}">
          <x14:id>{2764A8AD-7111-437F-8828-772413436AC3}</x14:id>
        </ext>
      </extLst>
    </cfRule>
  </conditionalFormatting>
  <conditionalFormatting sqref="J44:J48">
    <cfRule type="dataBar" priority="4">
      <dataBar>
        <cfvo type="min"/>
        <cfvo type="max"/>
        <color rgb="FF63C384"/>
      </dataBar>
      <extLst>
        <ext xmlns:x14="http://schemas.microsoft.com/office/spreadsheetml/2009/9/main" uri="{B025F937-C7B1-47D3-B67F-A62EFF666E3E}">
          <x14:id>{771BC478-DBD7-4DC7-96EC-276FC551E19A}</x14:id>
        </ext>
      </extLst>
    </cfRule>
  </conditionalFormatting>
  <pageMargins left="0.7" right="0.7" top="0.75" bottom="0.75" header="0.3" footer="0.3"/>
  <pageSetup paperSize="9" scale="22"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dataBar" id="{8A4D6C1C-9368-42F6-9818-D9634544CC4C}">
            <x14:dataBar minLength="0" maxLength="100" border="1">
              <x14:cfvo type="autoMin"/>
              <x14:cfvo type="autoMax"/>
              <x14:borderColor rgb="FFFFC000"/>
              <x14:negativeFillColor rgb="FFFF0000"/>
              <x14:axisColor rgb="FF000000"/>
            </x14:dataBar>
          </x14:cfRule>
          <x14:cfRule type="dataBar" id="{A6650A86-7306-44EB-9841-587A984F83D8}">
            <x14:dataBar minLength="0" maxLength="100" border="1">
              <x14:cfvo type="autoMin"/>
              <x14:cfvo type="autoMax"/>
              <x14:borderColor rgb="FFFFFF99"/>
              <x14:negativeFillColor rgb="FFFF0000"/>
              <x14:axisColor rgb="FF000000"/>
            </x14:dataBar>
          </x14:cfRule>
          <x14:cfRule type="dataBar" id="{172672C8-4005-4EA2-B3D0-840B8BB91545}">
            <x14:dataBar minLength="0" maxLength="100" border="1" negativeBarBorderColorSameAsPositive="0">
              <x14:cfvo type="autoMin"/>
              <x14:cfvo type="autoMax"/>
              <x14:borderColor rgb="FFFFB628"/>
              <x14:negativeFillColor rgb="FFFF0000"/>
              <x14:negativeBorderColor rgb="FFFF0000"/>
              <x14:axisColor rgb="FF000000"/>
            </x14:dataBar>
          </x14:cfRule>
          <xm:sqref>C17:C21</xm:sqref>
        </x14:conditionalFormatting>
        <x14:conditionalFormatting xmlns:xm="http://schemas.microsoft.com/office/excel/2006/main">
          <x14:cfRule type="dataBar" id="{7E8B2E35-2226-4DD4-9B70-90F68E8E00D5}">
            <x14:dataBar minLength="0" maxLength="100" border="1" direction="leftToRight" negativeBarColorSameAsPositive="1" axisPosition="none">
              <x14:cfvo type="min"/>
              <x14:cfvo type="max"/>
              <x14:borderColor rgb="FF2E86AB"/>
            </x14:dataBar>
          </x14:cfRule>
          <xm:sqref>C27:C38</xm:sqref>
        </x14:conditionalFormatting>
        <x14:conditionalFormatting xmlns:xm="http://schemas.microsoft.com/office/excel/2006/main">
          <x14:cfRule type="dataBar" id="{F205EB8D-E0F5-44CE-8557-F80F555DAAAF}">
            <x14:dataBar minLength="0" maxLength="100" border="1" direction="leftToRight" negativeBarColorSameAsPositive="1" axisPosition="none">
              <x14:cfvo type="min"/>
              <x14:cfvo type="max"/>
              <x14:borderColor rgb="FF2E86AB"/>
            </x14:dataBar>
          </x14:cfRule>
          <xm:sqref>C43:C52</xm:sqref>
        </x14:conditionalFormatting>
        <x14:conditionalFormatting xmlns:xm="http://schemas.microsoft.com/office/excel/2006/main">
          <x14:cfRule type="dataBar" id="{D0D118AA-0E51-4841-A874-24C5CB8114EB}">
            <x14:dataBar minLength="0" maxLength="100" border="1" direction="leftToRight" negativeBarColorSameAsPositive="1" axisPosition="none">
              <x14:cfvo type="min"/>
              <x14:cfvo type="max"/>
              <x14:borderColor rgb="FF10B981"/>
            </x14:dataBar>
          </x14:cfRule>
          <xm:sqref>D17:D21</xm:sqref>
        </x14:conditionalFormatting>
        <x14:conditionalFormatting xmlns:xm="http://schemas.microsoft.com/office/excel/2006/main">
          <x14:cfRule type="dataBar" id="{68A2CB71-2CEA-404D-8AB3-860048D3C08A}">
            <x14:dataBar minLength="0" maxLength="100" border="1" direction="leftToRight" negativeBarColorSameAsPositive="1" axisPosition="none">
              <x14:cfvo type="min"/>
              <x14:cfvo type="max"/>
              <x14:borderColor rgb="FF10B981"/>
            </x14:dataBar>
          </x14:cfRule>
          <xm:sqref>D27:D38</xm:sqref>
        </x14:conditionalFormatting>
        <x14:conditionalFormatting xmlns:xm="http://schemas.microsoft.com/office/excel/2006/main">
          <x14:cfRule type="dataBar" id="{DC1802F6-7C4F-4ADB-A32A-5AE170FBDA29}">
            <x14:dataBar minLength="0" maxLength="100" border="1" direction="leftToRight" negativeBarColorSameAsPositive="1" axisPosition="none">
              <x14:cfvo type="min"/>
              <x14:cfvo type="max"/>
              <x14:borderColor rgb="FF10B981"/>
            </x14:dataBar>
          </x14:cfRule>
          <xm:sqref>D43:D52</xm:sqref>
        </x14:conditionalFormatting>
        <x14:conditionalFormatting xmlns:xm="http://schemas.microsoft.com/office/excel/2006/main">
          <x14:cfRule type="dataBar" id="{502CB723-FA06-496C-B62E-52F50EB47DA6}">
            <x14:dataBar minLength="0" maxLength="100" border="1" direction="leftToRight" negativeBarColorSameAsPositive="1" axisPosition="none">
              <x14:cfvo type="min"/>
              <x14:cfvo type="max"/>
              <x14:borderColor rgb="FF2E86AB"/>
            </x14:dataBar>
          </x14:cfRule>
          <xm:sqref>E17:E21</xm:sqref>
        </x14:conditionalFormatting>
        <x14:conditionalFormatting xmlns:xm="http://schemas.microsoft.com/office/excel/2006/main">
          <x14:cfRule type="dataBar" id="{6AB61B91-3492-48A5-B894-69028CD84BEC}">
            <x14:dataBar minLength="0" maxLength="100" border="1">
              <x14:cfvo type="autoMin"/>
              <x14:cfvo type="autoMax"/>
              <x14:borderColor rgb="FFCC66FF"/>
              <x14:negativeFillColor rgb="FFFF0000"/>
              <x14:axisColor rgb="FF000000"/>
            </x14:dataBar>
          </x14:cfRule>
          <x14:cfRule type="dataBar" id="{58F711C6-6387-4C91-99F8-818A13EEA715}">
            <x14:dataBar minLength="0" maxLength="100">
              <x14:cfvo type="autoMin"/>
              <x14:cfvo type="autoMax"/>
              <x14:negativeFillColor rgb="FFFF0000"/>
              <x14:axisColor rgb="FF000000"/>
            </x14:dataBar>
          </x14:cfRule>
          <x14:cfRule type="dataBar" id="{37B97A40-78B1-408B-9D5E-65F9205788F4}">
            <x14:dataBar minLength="0" maxLength="100" border="1">
              <x14:cfvo type="autoMin"/>
              <x14:cfvo type="autoMax"/>
              <x14:borderColor rgb="FF7030A0"/>
              <x14:negativeFillColor rgb="FFFF0000"/>
              <x14:axisColor rgb="FF000000"/>
            </x14:dataBar>
          </x14:cfRule>
          <x14:cfRule type="dataBar" id="{F61E671F-CB8D-4632-9DA5-C36A2A73B2F0}">
            <x14:dataBar minLength="0" maxLength="100" border="1" direction="leftToRight" negativeBarColorSameAsPositive="1" axisPosition="none">
              <x14:cfvo type="min"/>
              <x14:cfvo type="max"/>
              <x14:borderColor rgb="FF10B981"/>
            </x14:dataBar>
          </x14:cfRule>
          <xm:sqref>E27:E38</xm:sqref>
        </x14:conditionalFormatting>
        <x14:conditionalFormatting xmlns:xm="http://schemas.microsoft.com/office/excel/2006/main">
          <x14:cfRule type="dataBar" id="{96CF1871-2126-4341-A883-FB67204FE61F}">
            <x14:dataBar minLength="0" maxLength="100" border="1">
              <x14:cfvo type="autoMin"/>
              <x14:cfvo type="autoMax"/>
              <x14:borderColor rgb="FFCC66FF"/>
              <x14:negativeFillColor rgb="FFFF0000"/>
              <x14:axisColor rgb="FF000000"/>
            </x14:dataBar>
          </x14:cfRule>
          <x14:cfRule type="dataBar" id="{66EF2B79-7530-4B12-AD3A-B47385329CB2}">
            <x14:dataBar minLength="0" maxLength="100">
              <x14:cfvo type="autoMin"/>
              <x14:cfvo type="autoMax"/>
              <x14:negativeFillColor rgb="FFFF0000"/>
              <x14:axisColor rgb="FF000000"/>
            </x14:dataBar>
          </x14:cfRule>
          <x14:cfRule type="dataBar" id="{EA20338C-D546-4E65-8344-EE2B7CCA7A54}">
            <x14:dataBar minLength="0" maxLength="100" border="1">
              <x14:cfvo type="autoMin"/>
              <x14:cfvo type="autoMax"/>
              <x14:borderColor rgb="FF7030A0"/>
              <x14:negativeFillColor rgb="FFFF0000"/>
              <x14:axisColor rgb="FF000000"/>
            </x14:dataBar>
          </x14:cfRule>
          <x14:cfRule type="dataBar" id="{85B8D700-72C2-4E04-8E44-2AD1934A56F6}">
            <x14:dataBar minLength="0" maxLength="100" border="1" direction="leftToRight" negativeBarColorSameAsPositive="1" axisPosition="none">
              <x14:cfvo type="min"/>
              <x14:cfvo type="max"/>
              <x14:borderColor rgb="FF10B981"/>
            </x14:dataBar>
          </x14:cfRule>
          <xm:sqref>E43:E52</xm:sqref>
        </x14:conditionalFormatting>
        <x14:conditionalFormatting xmlns:xm="http://schemas.microsoft.com/office/excel/2006/main">
          <x14:cfRule type="dataBar" id="{CC6172E2-1EB4-4CC5-A1E3-9CED6CD396A6}">
            <x14:dataBar minLength="0" maxLength="100" border="1" negativeBarBorderColorSameAsPositive="0">
              <x14:cfvo type="autoMin"/>
              <x14:cfvo type="autoMax"/>
              <x14:borderColor rgb="FFFF555A"/>
              <x14:negativeFillColor rgb="FFFF0000"/>
              <x14:negativeBorderColor rgb="FFFF0000"/>
              <x14:axisColor rgb="FF000000"/>
            </x14:dataBar>
          </x14:cfRule>
          <xm:sqref>F17:F21</xm:sqref>
        </x14:conditionalFormatting>
        <x14:conditionalFormatting xmlns:xm="http://schemas.microsoft.com/office/excel/2006/main">
          <x14:cfRule type="dataBar" id="{0BD69044-E739-480D-B5CE-A3B6D0677D51}">
            <x14:dataBar minLength="0" maxLength="100" border="1" direction="leftToRight" negativeBarColorSameAsPositive="1" axisPosition="none">
              <x14:cfvo type="min"/>
              <x14:cfvo type="max"/>
              <x14:borderColor rgb="FFEF4444"/>
            </x14:dataBar>
          </x14:cfRule>
          <xm:sqref>H10:H14</xm:sqref>
        </x14:conditionalFormatting>
        <x14:conditionalFormatting xmlns:xm="http://schemas.microsoft.com/office/excel/2006/main">
          <x14:cfRule type="dataBar" id="{31CEA553-F0BE-4957-9BE9-790AC599EFD4}">
            <x14:dataBar minLength="0" maxLength="100" border="1" negativeBarBorderColorSameAsPositive="0">
              <x14:cfvo type="autoMin"/>
              <x14:cfvo type="autoMax"/>
              <x14:borderColor rgb="FF008AEF"/>
              <x14:negativeFillColor rgb="FFFF0000"/>
              <x14:negativeBorderColor rgb="FFFF0000"/>
              <x14:axisColor rgb="FF000000"/>
            </x14:dataBar>
          </x14:cfRule>
          <xm:sqref>H44:H48</xm:sqref>
        </x14:conditionalFormatting>
        <x14:conditionalFormatting xmlns:xm="http://schemas.microsoft.com/office/excel/2006/main">
          <x14:cfRule type="dataBar" id="{2764A8AD-7111-437F-8828-772413436AC3}">
            <x14:dataBar minLength="0" maxLength="100" border="1" negativeBarBorderColorSameAsPositive="0">
              <x14:cfvo type="autoMin"/>
              <x14:cfvo type="autoMax"/>
              <x14:borderColor rgb="FFFFB628"/>
              <x14:negativeFillColor rgb="FFFF0000"/>
              <x14:negativeBorderColor rgb="FFFF0000"/>
              <x14:axisColor rgb="FF000000"/>
            </x14:dataBar>
          </x14:cfRule>
          <xm:sqref>I44:I48</xm:sqref>
        </x14:conditionalFormatting>
        <x14:conditionalFormatting xmlns:xm="http://schemas.microsoft.com/office/excel/2006/main">
          <x14:cfRule type="dataBar" id="{771BC478-DBD7-4DC7-96EC-276FC551E19A}">
            <x14:dataBar minLength="0" maxLength="100" border="1" negativeBarBorderColorSameAsPositive="0">
              <x14:cfvo type="autoMin"/>
              <x14:cfvo type="autoMax"/>
              <x14:borderColor rgb="FF63C384"/>
              <x14:negativeFillColor rgb="FFFF0000"/>
              <x14:negativeBorderColor rgb="FFFF0000"/>
              <x14:axisColor rgb="FF000000"/>
            </x14:dataBar>
          </x14:cfRule>
          <xm:sqref>J44:J48</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B5323-BE03-4EB4-BDC8-82161334EF11}">
  <sheetPr>
    <tabColor rgb="FF00B0F0"/>
  </sheetPr>
  <dimension ref="A1:AJ27"/>
  <sheetViews>
    <sheetView showGridLines="0" view="pageBreakPreview" zoomScale="130" zoomScaleNormal="100" zoomScaleSheetLayoutView="130" workbookViewId="0">
      <selection activeCell="G15" sqref="G15"/>
    </sheetView>
  </sheetViews>
  <sheetFormatPr defaultRowHeight="15" x14ac:dyDescent="0.25"/>
  <cols>
    <col min="1" max="1" width="22.85546875" bestFit="1" customWidth="1"/>
    <col min="2" max="2" width="16.28515625" bestFit="1" customWidth="1"/>
    <col min="3" max="3" width="13.7109375" bestFit="1" customWidth="1"/>
    <col min="4" max="5" width="8.5703125" bestFit="1" customWidth="1"/>
    <col min="6" max="6" width="9.7109375" bestFit="1" customWidth="1"/>
    <col min="7" max="7" width="11.28515625" bestFit="1" customWidth="1"/>
    <col min="10" max="10" width="13.140625" bestFit="1" customWidth="1"/>
    <col min="11" max="11" width="21.85546875" bestFit="1" customWidth="1"/>
    <col min="12" max="12" width="22.85546875" bestFit="1" customWidth="1"/>
    <col min="13" max="13" width="22" customWidth="1"/>
    <col min="14" max="14" width="15.140625" customWidth="1"/>
    <col min="15" max="15" width="11" customWidth="1"/>
    <col min="16" max="16" width="13.140625" bestFit="1" customWidth="1"/>
    <col min="17" max="18" width="22.85546875" bestFit="1" customWidth="1"/>
    <col min="21" max="21" width="13.7109375" bestFit="1" customWidth="1"/>
    <col min="22" max="23" width="22.85546875" bestFit="1" customWidth="1"/>
    <col min="26" max="26" width="17" bestFit="1" customWidth="1"/>
    <col min="27" max="27" width="21.85546875" bestFit="1" customWidth="1"/>
    <col min="28" max="28" width="13.7109375" bestFit="1" customWidth="1"/>
    <col min="30" max="30" width="22.85546875" bestFit="1" customWidth="1"/>
    <col min="31" max="31" width="16.28515625" bestFit="1" customWidth="1"/>
    <col min="32" max="32" width="10.85546875" bestFit="1" customWidth="1"/>
    <col min="33" max="33" width="9.7109375" bestFit="1" customWidth="1"/>
    <col min="34" max="34" width="10.28515625" bestFit="1" customWidth="1"/>
    <col min="35" max="35" width="9.7109375" bestFit="1" customWidth="1"/>
    <col min="36" max="36" width="11.28515625" bestFit="1" customWidth="1"/>
  </cols>
  <sheetData>
    <row r="1" spans="1:36" x14ac:dyDescent="0.25">
      <c r="A1" s="195" t="s">
        <v>1151</v>
      </c>
      <c r="B1" s="195"/>
      <c r="C1" s="195"/>
      <c r="D1" s="195"/>
      <c r="E1" s="195"/>
      <c r="F1" s="195"/>
      <c r="G1" s="195"/>
      <c r="J1" s="195" t="s">
        <v>1150</v>
      </c>
      <c r="K1" s="195"/>
      <c r="P1" s="195" t="s">
        <v>1152</v>
      </c>
      <c r="Q1" s="195"/>
      <c r="R1" s="195"/>
      <c r="U1" s="195" t="s">
        <v>1154</v>
      </c>
      <c r="V1" s="195"/>
      <c r="W1" s="195"/>
      <c r="Z1" s="195" t="s">
        <v>1153</v>
      </c>
      <c r="AA1" s="195"/>
      <c r="AD1" s="195" t="s">
        <v>1155</v>
      </c>
      <c r="AE1" s="195"/>
      <c r="AF1" s="195"/>
      <c r="AG1" s="195"/>
      <c r="AH1" s="195"/>
      <c r="AI1" s="195"/>
      <c r="AJ1" s="195"/>
    </row>
    <row r="3" spans="1:36" x14ac:dyDescent="0.25">
      <c r="A3" s="181" t="s">
        <v>1142</v>
      </c>
      <c r="B3" s="181" t="s">
        <v>1117</v>
      </c>
      <c r="J3" s="181" t="s">
        <v>1115</v>
      </c>
      <c r="K3" t="s">
        <v>1116</v>
      </c>
      <c r="L3" t="s">
        <v>1248</v>
      </c>
      <c r="P3" s="181" t="s">
        <v>1115</v>
      </c>
      <c r="Q3" t="s">
        <v>1142</v>
      </c>
      <c r="R3" t="s">
        <v>1143</v>
      </c>
      <c r="U3" s="181" t="s">
        <v>1115</v>
      </c>
      <c r="V3" t="s">
        <v>1142</v>
      </c>
      <c r="W3" t="s">
        <v>1143</v>
      </c>
      <c r="Z3" s="181" t="s">
        <v>1115</v>
      </c>
      <c r="AA3" s="100" t="s">
        <v>1116</v>
      </c>
      <c r="AD3" s="181" t="s">
        <v>1142</v>
      </c>
      <c r="AE3" s="181" t="s">
        <v>1117</v>
      </c>
    </row>
    <row r="4" spans="1:36" x14ac:dyDescent="0.25">
      <c r="A4" s="181" t="s">
        <v>1115</v>
      </c>
      <c r="B4" s="100" t="s">
        <v>44</v>
      </c>
      <c r="C4" s="100" t="s">
        <v>33</v>
      </c>
      <c r="D4" s="100" t="s">
        <v>39</v>
      </c>
      <c r="E4" s="100" t="s">
        <v>28</v>
      </c>
      <c r="F4" s="100" t="s">
        <v>15</v>
      </c>
      <c r="G4" s="100" t="s">
        <v>1118</v>
      </c>
      <c r="J4" s="99" t="s">
        <v>34</v>
      </c>
      <c r="K4" s="101">
        <v>0.218</v>
      </c>
      <c r="L4" s="185">
        <v>218</v>
      </c>
      <c r="P4" s="99" t="s">
        <v>58</v>
      </c>
      <c r="Q4" s="100">
        <v>149085.69999999992</v>
      </c>
      <c r="R4" s="100">
        <v>3941.8400000000006</v>
      </c>
      <c r="U4" s="99" t="s">
        <v>33</v>
      </c>
      <c r="V4" s="100">
        <v>248501.67203610003</v>
      </c>
      <c r="W4" s="100">
        <v>4812.9445466999996</v>
      </c>
      <c r="Z4" s="99" t="s">
        <v>35</v>
      </c>
      <c r="AA4" s="101">
        <v>0.22477064220183487</v>
      </c>
      <c r="AD4" s="181" t="s">
        <v>1115</v>
      </c>
      <c r="AE4" t="s">
        <v>16</v>
      </c>
      <c r="AF4" t="s">
        <v>41</v>
      </c>
      <c r="AG4" t="s">
        <v>45</v>
      </c>
      <c r="AH4" t="s">
        <v>29</v>
      </c>
      <c r="AI4" t="s">
        <v>21</v>
      </c>
      <c r="AJ4" s="100" t="s">
        <v>1118</v>
      </c>
    </row>
    <row r="5" spans="1:36" x14ac:dyDescent="0.25">
      <c r="A5" s="99" t="s">
        <v>1131</v>
      </c>
      <c r="B5" s="100">
        <v>15574.309999999998</v>
      </c>
      <c r="C5" s="100">
        <v>18869.097766399998</v>
      </c>
      <c r="D5" s="100">
        <v>9562.84</v>
      </c>
      <c r="E5" s="100">
        <v>7774.4611730000006</v>
      </c>
      <c r="F5" s="100">
        <v>13840.2151916</v>
      </c>
      <c r="G5" s="100">
        <v>65620.924130999992</v>
      </c>
      <c r="J5" s="99" t="s">
        <v>17</v>
      </c>
      <c r="K5" s="101">
        <v>0.22800000000000001</v>
      </c>
      <c r="L5" s="185">
        <v>228</v>
      </c>
      <c r="P5" s="99" t="s">
        <v>60</v>
      </c>
      <c r="Q5" s="100">
        <v>95077.999999999985</v>
      </c>
      <c r="R5" s="100">
        <v>2415.8999999999996</v>
      </c>
      <c r="U5" s="99" t="s">
        <v>39</v>
      </c>
      <c r="V5" s="100">
        <v>215259.44346330006</v>
      </c>
      <c r="W5" s="100">
        <v>7116.0221623000007</v>
      </c>
      <c r="Z5" s="99" t="s">
        <v>100</v>
      </c>
      <c r="AA5" s="101">
        <v>0.18807339449541285</v>
      </c>
      <c r="AD5" s="99" t="s">
        <v>58</v>
      </c>
      <c r="AE5" s="100">
        <v>36554.85</v>
      </c>
      <c r="AF5" s="100">
        <v>19348.260000000002</v>
      </c>
      <c r="AG5" s="100">
        <v>27807.32</v>
      </c>
      <c r="AH5" s="100">
        <v>29775.81</v>
      </c>
      <c r="AI5" s="100">
        <v>35599.46</v>
      </c>
      <c r="AJ5" s="100">
        <v>149085.69999999998</v>
      </c>
    </row>
    <row r="6" spans="1:36" x14ac:dyDescent="0.25">
      <c r="A6" s="99" t="s">
        <v>1132</v>
      </c>
      <c r="B6" s="100">
        <v>10240.508594000001</v>
      </c>
      <c r="C6" s="100">
        <v>18733.816770000001</v>
      </c>
      <c r="D6" s="100">
        <v>18757.011780000001</v>
      </c>
      <c r="E6" s="100">
        <v>16302.441846400003</v>
      </c>
      <c r="F6" s="100">
        <v>37973.004051600001</v>
      </c>
      <c r="G6" s="100">
        <v>102006.78304200001</v>
      </c>
      <c r="J6" s="99" t="s">
        <v>22</v>
      </c>
      <c r="K6" s="101">
        <v>0.55400000000000005</v>
      </c>
      <c r="L6" s="185">
        <v>554</v>
      </c>
      <c r="P6" s="99" t="s">
        <v>24</v>
      </c>
      <c r="Q6" s="100">
        <v>110471.49000000003</v>
      </c>
      <c r="R6" s="100">
        <v>2994.6099999999997</v>
      </c>
      <c r="U6" s="99" t="s">
        <v>44</v>
      </c>
      <c r="V6" s="100">
        <v>192481.55369870001</v>
      </c>
      <c r="W6" s="100">
        <v>4128.8469748999987</v>
      </c>
      <c r="Z6" s="99" t="s">
        <v>62</v>
      </c>
      <c r="AA6" s="101">
        <v>0.23394495412844038</v>
      </c>
      <c r="AD6" s="99" t="s">
        <v>60</v>
      </c>
      <c r="AE6" s="100">
        <v>20269.649999999998</v>
      </c>
      <c r="AF6" s="100">
        <v>8445.67</v>
      </c>
      <c r="AG6" s="100">
        <v>15982.45</v>
      </c>
      <c r="AH6" s="100">
        <v>30483.4</v>
      </c>
      <c r="AI6" s="100">
        <v>19896.829999999998</v>
      </c>
      <c r="AJ6" s="100">
        <v>95078.000000000015</v>
      </c>
    </row>
    <row r="7" spans="1:36" x14ac:dyDescent="0.25">
      <c r="A7" s="99" t="s">
        <v>1133</v>
      </c>
      <c r="B7" s="100">
        <v>17571.850573000003</v>
      </c>
      <c r="C7" s="100">
        <v>20022.457297100002</v>
      </c>
      <c r="D7" s="100">
        <v>5377.1330190000008</v>
      </c>
      <c r="E7" s="100">
        <v>20915.745018499998</v>
      </c>
      <c r="F7" s="100">
        <v>6685.7463847999998</v>
      </c>
      <c r="G7" s="100">
        <v>70572.932292400001</v>
      </c>
      <c r="J7" s="99" t="s">
        <v>1118</v>
      </c>
      <c r="K7" s="101">
        <v>1</v>
      </c>
      <c r="L7" s="185">
        <v>1000</v>
      </c>
      <c r="P7" s="99" t="s">
        <v>27</v>
      </c>
      <c r="Q7" s="100">
        <v>174641.67</v>
      </c>
      <c r="R7" s="100">
        <v>4468.82</v>
      </c>
      <c r="U7" s="99" t="s">
        <v>28</v>
      </c>
      <c r="V7" s="100">
        <v>192114.78323180007</v>
      </c>
      <c r="W7" s="100">
        <v>5737.6872859999994</v>
      </c>
      <c r="Z7" s="99" t="s">
        <v>78</v>
      </c>
      <c r="AA7" s="101">
        <v>0.15137614678899083</v>
      </c>
      <c r="AD7" s="99" t="s">
        <v>24</v>
      </c>
      <c r="AE7" s="100">
        <v>26764.370000000003</v>
      </c>
      <c r="AF7" s="100">
        <v>22899.940000000002</v>
      </c>
      <c r="AG7" s="100">
        <v>13313.150000000001</v>
      </c>
      <c r="AH7" s="100">
        <v>24396.280000000006</v>
      </c>
      <c r="AI7" s="100">
        <v>23097.750000000004</v>
      </c>
      <c r="AJ7" s="100">
        <v>110471.49000000002</v>
      </c>
    </row>
    <row r="8" spans="1:36" x14ac:dyDescent="0.25">
      <c r="A8" s="99" t="s">
        <v>1118</v>
      </c>
      <c r="B8" s="100">
        <v>43386.669167</v>
      </c>
      <c r="C8" s="100">
        <v>57625.371833500001</v>
      </c>
      <c r="D8" s="100">
        <v>33696.984798999998</v>
      </c>
      <c r="E8" s="100">
        <v>44992.648037899999</v>
      </c>
      <c r="F8" s="100">
        <v>58498.965627999998</v>
      </c>
      <c r="G8" s="100">
        <v>238200.63946540002</v>
      </c>
      <c r="P8" s="99" t="s">
        <v>31</v>
      </c>
      <c r="Q8" s="100">
        <v>157459.87920000005</v>
      </c>
      <c r="R8" s="100">
        <v>3959.7297599999997</v>
      </c>
      <c r="U8" s="99" t="s">
        <v>15</v>
      </c>
      <c r="V8" s="100">
        <v>172678.71981369998</v>
      </c>
      <c r="W8" s="100">
        <v>4427.6301775000011</v>
      </c>
      <c r="Z8" s="99" t="s">
        <v>55</v>
      </c>
      <c r="AA8" s="101">
        <v>0.20183486238532111</v>
      </c>
      <c r="AD8" s="99" t="s">
        <v>27</v>
      </c>
      <c r="AE8" s="100">
        <v>27974.700000000004</v>
      </c>
      <c r="AF8" s="100">
        <v>28161.95</v>
      </c>
      <c r="AG8" s="100">
        <v>51710.049999999988</v>
      </c>
      <c r="AH8" s="100">
        <v>30725.789999999997</v>
      </c>
      <c r="AI8" s="100">
        <v>36069.18</v>
      </c>
      <c r="AJ8" s="100">
        <v>174641.66999999998</v>
      </c>
    </row>
    <row r="9" spans="1:36" x14ac:dyDescent="0.25">
      <c r="P9" s="99" t="s">
        <v>47</v>
      </c>
      <c r="Q9" s="100">
        <v>120668.87000000002</v>
      </c>
      <c r="R9" s="100">
        <v>2991.8000000000011</v>
      </c>
      <c r="U9" s="99" t="s">
        <v>1118</v>
      </c>
      <c r="V9" s="100">
        <v>1021036.1722436001</v>
      </c>
      <c r="W9" s="100">
        <v>26223.131147400003</v>
      </c>
      <c r="Z9" s="99" t="s">
        <v>1118</v>
      </c>
      <c r="AA9" s="101">
        <v>1</v>
      </c>
      <c r="AD9" s="99" t="s">
        <v>31</v>
      </c>
      <c r="AE9" s="100">
        <v>33407.50821</v>
      </c>
      <c r="AF9" s="100">
        <v>7441.6478699999989</v>
      </c>
      <c r="AG9" s="100">
        <v>36354.084239999996</v>
      </c>
      <c r="AH9" s="100">
        <v>51073.785360000009</v>
      </c>
      <c r="AI9" s="100">
        <v>29182.853520000001</v>
      </c>
      <c r="AJ9" s="100">
        <v>157459.8792</v>
      </c>
    </row>
    <row r="10" spans="1:36" x14ac:dyDescent="0.25">
      <c r="J10" s="36" t="s">
        <v>7</v>
      </c>
      <c r="K10" s="36" t="s">
        <v>1053</v>
      </c>
      <c r="L10" s="45" t="s">
        <v>1073</v>
      </c>
      <c r="M10" s="72" t="s">
        <v>1074</v>
      </c>
      <c r="P10" s="99" t="s">
        <v>43</v>
      </c>
      <c r="Q10" s="100">
        <v>157032.23000000004</v>
      </c>
      <c r="R10" s="100">
        <v>3948.2799999999997</v>
      </c>
      <c r="AD10" s="99" t="s">
        <v>47</v>
      </c>
      <c r="AE10" s="100">
        <v>28038.180000000004</v>
      </c>
      <c r="AF10" s="100">
        <v>27945.020000000004</v>
      </c>
      <c r="AG10" s="100">
        <v>21073.010000000002</v>
      </c>
      <c r="AH10" s="100">
        <v>15123.32</v>
      </c>
      <c r="AI10" s="100">
        <v>28489.34</v>
      </c>
      <c r="AJ10" s="100">
        <v>120668.87000000002</v>
      </c>
    </row>
    <row r="11" spans="1:36" x14ac:dyDescent="0.25">
      <c r="J11" s="49" t="s">
        <v>1075</v>
      </c>
      <c r="K11" s="41">
        <f>GETPIVOTDATA("Count of Transaction ID2",$J$3,"Status","Success")</f>
        <v>554</v>
      </c>
      <c r="L11" s="42">
        <f>GETPIVOTDATA("Count of Transaction ID",$J$3,"Status","Success")</f>
        <v>0.55400000000000005</v>
      </c>
      <c r="M11" s="88" t="str">
        <f>REPT("█",ROUND(L11*30,0))</f>
        <v>█████████████████</v>
      </c>
      <c r="P11" s="99" t="s">
        <v>19</v>
      </c>
      <c r="Q11" s="100">
        <v>11471.263902000004</v>
      </c>
      <c r="R11" s="100">
        <v>283.29171300000007</v>
      </c>
      <c r="AD11" s="99" t="s">
        <v>43</v>
      </c>
      <c r="AE11" s="100">
        <v>27450.789999999997</v>
      </c>
      <c r="AF11" s="100">
        <v>39927.57</v>
      </c>
      <c r="AG11" s="100">
        <v>27302.250000000004</v>
      </c>
      <c r="AH11" s="100">
        <v>36465.89</v>
      </c>
      <c r="AI11" s="100">
        <v>25885.730000000003</v>
      </c>
      <c r="AJ11" s="100">
        <v>157032.23000000001</v>
      </c>
    </row>
    <row r="12" spans="1:36" x14ac:dyDescent="0.25">
      <c r="J12" s="50" t="s">
        <v>1076</v>
      </c>
      <c r="K12" s="43">
        <f>GETPIVOTDATA("Count of Transaction ID2",$J$3,"Status","Pending")</f>
        <v>228</v>
      </c>
      <c r="L12" s="44">
        <f>GETPIVOTDATA("Count of Transaction ID",$J$3,"Status","Pending")</f>
        <v>0.22800000000000001</v>
      </c>
      <c r="M12" s="89" t="str">
        <f>REPT("█",ROUND(L12*30,0))</f>
        <v>███████</v>
      </c>
      <c r="P12" s="99" t="s">
        <v>37</v>
      </c>
      <c r="Q12" s="100">
        <v>35323.966199999995</v>
      </c>
      <c r="R12" s="100">
        <v>962.18567999999993</v>
      </c>
      <c r="AD12" s="99" t="s">
        <v>19</v>
      </c>
      <c r="AE12" s="100">
        <v>1363.0141395000001</v>
      </c>
      <c r="AF12" s="100">
        <v>2808.0472590000004</v>
      </c>
      <c r="AG12" s="100">
        <v>3363.8074065000005</v>
      </c>
      <c r="AH12" s="100">
        <v>2379.8269800000003</v>
      </c>
      <c r="AI12" s="100">
        <v>1556.568117</v>
      </c>
      <c r="AJ12" s="100">
        <v>11471.263902000001</v>
      </c>
    </row>
    <row r="13" spans="1:36" x14ac:dyDescent="0.25">
      <c r="J13" s="51" t="s">
        <v>1077</v>
      </c>
      <c r="K13" s="46">
        <f>GETPIVOTDATA("Count of Transaction ID2",$J$3,"Status","Failed")</f>
        <v>218</v>
      </c>
      <c r="L13" s="47">
        <f>GETPIVOTDATA("Count of Transaction ID",$J$3,"Status","Failed")</f>
        <v>0.218</v>
      </c>
      <c r="M13" s="90" t="str">
        <f>REPT("█",ROUND(L13*30,0))</f>
        <v>███████</v>
      </c>
      <c r="P13" s="99" t="s">
        <v>13</v>
      </c>
      <c r="Q13" s="100">
        <v>9803.1029416000019</v>
      </c>
      <c r="R13" s="100">
        <v>256.67399439999991</v>
      </c>
      <c r="AD13" s="99" t="s">
        <v>37</v>
      </c>
      <c r="AE13" s="100">
        <v>10994.240735999998</v>
      </c>
      <c r="AF13" s="100">
        <v>4486.209648</v>
      </c>
      <c r="AG13" s="100">
        <v>7364.7304320000003</v>
      </c>
      <c r="AH13" s="100">
        <v>7787.6931120000008</v>
      </c>
      <c r="AI13" s="100">
        <v>4691.0922719999999</v>
      </c>
      <c r="AJ13" s="100">
        <v>35323.966200000003</v>
      </c>
    </row>
    <row r="14" spans="1:36" x14ac:dyDescent="0.25">
      <c r="K14" s="182"/>
      <c r="P14" s="99" t="s">
        <v>1118</v>
      </c>
      <c r="Q14" s="100">
        <v>1021036.1722436001</v>
      </c>
      <c r="R14" s="100">
        <v>26223.131147399992</v>
      </c>
      <c r="AD14" s="99" t="s">
        <v>13</v>
      </c>
      <c r="AE14" s="100">
        <v>2609.8630887999998</v>
      </c>
      <c r="AF14" s="100">
        <v>1432.0242391999998</v>
      </c>
      <c r="AG14" s="100">
        <v>1464.3056343999999</v>
      </c>
      <c r="AH14" s="100">
        <v>1586.8416048000001</v>
      </c>
      <c r="AI14" s="100">
        <v>2710.0683743999998</v>
      </c>
      <c r="AJ14" s="100">
        <v>9803.1029415999983</v>
      </c>
    </row>
    <row r="15" spans="1:36" x14ac:dyDescent="0.25">
      <c r="AD15" s="99" t="s">
        <v>1118</v>
      </c>
      <c r="AE15" s="100">
        <v>215427.16617430001</v>
      </c>
      <c r="AF15" s="100">
        <v>162896.33901620001</v>
      </c>
      <c r="AG15" s="100">
        <v>205735.15771290002</v>
      </c>
      <c r="AH15" s="100">
        <v>229798.63705680004</v>
      </c>
      <c r="AI15" s="100">
        <v>207178.87228340001</v>
      </c>
      <c r="AJ15" s="100">
        <v>1021036.1722436001</v>
      </c>
    </row>
    <row r="17" spans="16:18" x14ac:dyDescent="0.25">
      <c r="Q17" s="103" t="s">
        <v>1114</v>
      </c>
      <c r="R17" s="103" t="s">
        <v>1119</v>
      </c>
    </row>
    <row r="18" spans="16:18" x14ac:dyDescent="0.25">
      <c r="P18" s="102" t="s">
        <v>27</v>
      </c>
      <c r="Q18" s="99" t="s">
        <v>1120</v>
      </c>
      <c r="R18" s="100">
        <f>VLOOKUP(P18,$P$4:$Q$13,2,FALSE)</f>
        <v>174641.67</v>
      </c>
    </row>
    <row r="19" spans="16:18" x14ac:dyDescent="0.25">
      <c r="P19" s="102" t="s">
        <v>43</v>
      </c>
      <c r="Q19" s="99" t="s">
        <v>1121</v>
      </c>
      <c r="R19" s="100">
        <f>VLOOKUP(P19,$P$4:$Q$13,2,FALSE)</f>
        <v>157032.23000000004</v>
      </c>
    </row>
    <row r="20" spans="16:18" x14ac:dyDescent="0.25">
      <c r="P20" s="102" t="s">
        <v>37</v>
      </c>
      <c r="Q20" s="99" t="s">
        <v>1122</v>
      </c>
      <c r="R20" s="100">
        <f t="shared" ref="R20:R26" si="0">VLOOKUP(P20,$P$4:$Q$13,2,FALSE)</f>
        <v>35323.966199999995</v>
      </c>
    </row>
    <row r="21" spans="16:18" x14ac:dyDescent="0.25">
      <c r="P21" s="102" t="s">
        <v>58</v>
      </c>
      <c r="Q21" s="99" t="s">
        <v>1123</v>
      </c>
      <c r="R21" s="100">
        <f>VLOOKUP(P21,$P$4:$Q$13,2,FALSE)</f>
        <v>149085.69999999992</v>
      </c>
    </row>
    <row r="22" spans="16:18" x14ac:dyDescent="0.25">
      <c r="P22" s="102" t="s">
        <v>31</v>
      </c>
      <c r="Q22" s="99" t="s">
        <v>1124</v>
      </c>
      <c r="R22" s="100">
        <f t="shared" si="0"/>
        <v>157459.87920000005</v>
      </c>
    </row>
    <row r="23" spans="16:18" x14ac:dyDescent="0.25">
      <c r="P23" s="102" t="s">
        <v>19</v>
      </c>
      <c r="Q23" s="99" t="s">
        <v>1125</v>
      </c>
      <c r="R23" s="100">
        <f t="shared" si="0"/>
        <v>11471.263902000004</v>
      </c>
    </row>
    <row r="24" spans="16:18" x14ac:dyDescent="0.25">
      <c r="P24" s="102" t="s">
        <v>47</v>
      </c>
      <c r="Q24" s="99" t="s">
        <v>1126</v>
      </c>
      <c r="R24" s="100">
        <f t="shared" si="0"/>
        <v>120668.87000000002</v>
      </c>
    </row>
    <row r="25" spans="16:18" x14ac:dyDescent="0.25">
      <c r="P25" s="102" t="s">
        <v>24</v>
      </c>
      <c r="Q25" s="99" t="s">
        <v>1127</v>
      </c>
      <c r="R25" s="100">
        <f t="shared" si="0"/>
        <v>110471.49000000003</v>
      </c>
    </row>
    <row r="26" spans="16:18" x14ac:dyDescent="0.25">
      <c r="P26" s="102" t="s">
        <v>13</v>
      </c>
      <c r="Q26" s="99" t="s">
        <v>1128</v>
      </c>
      <c r="R26" s="100">
        <f t="shared" si="0"/>
        <v>9803.1029416000019</v>
      </c>
    </row>
    <row r="27" spans="16:18" x14ac:dyDescent="0.25">
      <c r="P27" s="102" t="s">
        <v>60</v>
      </c>
      <c r="Q27" s="99" t="s">
        <v>1129</v>
      </c>
      <c r="R27" s="100">
        <f>VLOOKUP(P27,$P$4:$Q$13,2,FALSE)</f>
        <v>95077.999999999985</v>
      </c>
    </row>
  </sheetData>
  <mergeCells count="6">
    <mergeCell ref="AD1:AJ1"/>
    <mergeCell ref="A1:G1"/>
    <mergeCell ref="J1:K1"/>
    <mergeCell ref="P1:R1"/>
    <mergeCell ref="U1:W1"/>
    <mergeCell ref="Z1:AA1"/>
  </mergeCells>
  <pageMargins left="0.7" right="0.7" top="0.75" bottom="0.75" header="0.3" footer="0.3"/>
  <pageSetup paperSize="9" scale="16" orientation="portrait" r:id="rId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5C957-F855-4203-ACEB-D65D4D4F0F5C}">
  <sheetPr>
    <tabColor rgb="FF00B0F0"/>
  </sheetPr>
  <dimension ref="C7:AN131"/>
  <sheetViews>
    <sheetView showGridLines="0" tabSelected="1" view="pageBreakPreview" topLeftCell="A2" zoomScaleNormal="70" zoomScaleSheetLayoutView="100" workbookViewId="0">
      <selection activeCell="H5" sqref="H5"/>
    </sheetView>
  </sheetViews>
  <sheetFormatPr defaultRowHeight="15" x14ac:dyDescent="0.25"/>
  <cols>
    <col min="3" max="6" width="14.28515625" customWidth="1"/>
    <col min="7" max="7" width="18" customWidth="1"/>
    <col min="8" max="20" width="13.5703125" customWidth="1"/>
    <col min="46" max="46" width="5.5703125" customWidth="1"/>
  </cols>
  <sheetData>
    <row r="7" spans="3:40" ht="50.1" customHeight="1" x14ac:dyDescent="0.25">
      <c r="C7" s="197"/>
      <c r="D7" s="197"/>
      <c r="E7" s="197"/>
      <c r="F7" s="197"/>
      <c r="H7" s="196"/>
      <c r="I7" s="196"/>
      <c r="J7" s="196"/>
      <c r="K7" s="196"/>
      <c r="L7" s="196"/>
      <c r="M7" s="196"/>
      <c r="N7" s="196"/>
      <c r="O7" s="196"/>
      <c r="P7" s="196"/>
      <c r="Q7" s="196"/>
      <c r="R7" s="196"/>
      <c r="S7" s="196"/>
      <c r="T7" s="196"/>
      <c r="AB7" s="196"/>
      <c r="AC7" s="196"/>
      <c r="AD7" s="196"/>
      <c r="AE7" s="196"/>
      <c r="AF7" s="196"/>
      <c r="AG7" s="196"/>
      <c r="AH7" s="196"/>
      <c r="AI7" s="196"/>
      <c r="AJ7" s="196"/>
      <c r="AK7" s="196"/>
      <c r="AL7" s="196"/>
      <c r="AM7" s="196"/>
      <c r="AN7" s="196"/>
    </row>
    <row r="8" spans="3:40" ht="21.95" customHeight="1" x14ac:dyDescent="0.25">
      <c r="C8" s="196"/>
      <c r="D8" s="196"/>
      <c r="E8" s="196"/>
      <c r="F8" s="196"/>
    </row>
    <row r="9" spans="3:40" ht="38.1" customHeight="1" x14ac:dyDescent="0.25">
      <c r="C9" s="196"/>
      <c r="D9" s="196"/>
      <c r="E9" s="196"/>
      <c r="F9" s="196"/>
    </row>
    <row r="10" spans="3:40" ht="18" customHeight="1" x14ac:dyDescent="0.25">
      <c r="C10" s="198"/>
      <c r="D10" s="196"/>
      <c r="E10" s="196"/>
      <c r="F10" s="196"/>
    </row>
    <row r="11" spans="3:40" ht="8.1" customHeight="1" x14ac:dyDescent="0.25">
      <c r="C11" s="196"/>
      <c r="D11" s="196"/>
      <c r="E11" s="196"/>
      <c r="F11" s="196"/>
    </row>
    <row r="12" spans="3:40" ht="27.95" customHeight="1" x14ac:dyDescent="0.25">
      <c r="C12" s="196"/>
      <c r="D12" s="196"/>
      <c r="E12" s="196"/>
      <c r="F12" s="196"/>
    </row>
    <row r="13" spans="3:40" ht="24.95" customHeight="1" x14ac:dyDescent="0.25">
      <c r="C13" s="199"/>
      <c r="D13" s="196"/>
      <c r="E13" s="196"/>
      <c r="F13" s="196"/>
    </row>
    <row r="14" spans="3:40" ht="24.95" customHeight="1" x14ac:dyDescent="0.25">
      <c r="C14" s="196"/>
      <c r="D14" s="196"/>
      <c r="E14" s="196"/>
      <c r="F14" s="196"/>
    </row>
    <row r="15" spans="3:40" ht="24.95" customHeight="1" x14ac:dyDescent="0.25">
      <c r="C15" s="196"/>
      <c r="D15" s="196"/>
      <c r="E15" s="196"/>
      <c r="F15" s="196"/>
    </row>
    <row r="16" spans="3:40" ht="24.95" customHeight="1" x14ac:dyDescent="0.25">
      <c r="C16" s="196"/>
      <c r="D16" s="196"/>
      <c r="E16" s="196"/>
      <c r="F16" s="196"/>
    </row>
    <row r="17" spans="3:20" ht="24.95" customHeight="1" x14ac:dyDescent="0.25">
      <c r="C17" s="196"/>
      <c r="D17" s="196"/>
      <c r="E17" s="196"/>
      <c r="F17" s="196"/>
    </row>
    <row r="18" spans="3:20" ht="24.95" customHeight="1" x14ac:dyDescent="0.25">
      <c r="C18" s="196"/>
      <c r="D18" s="196"/>
      <c r="E18" s="196"/>
      <c r="F18" s="196"/>
    </row>
    <row r="19" spans="3:20" ht="20.100000000000001" customHeight="1" x14ac:dyDescent="0.25">
      <c r="C19" s="196"/>
      <c r="D19" s="196"/>
      <c r="E19" s="196"/>
      <c r="F19" s="196"/>
    </row>
    <row r="20" spans="3:20" ht="24.95" customHeight="1" x14ac:dyDescent="0.25">
      <c r="C20" s="196"/>
      <c r="D20" s="196"/>
      <c r="E20" s="196"/>
      <c r="F20" s="196"/>
    </row>
    <row r="21" spans="3:20" ht="24.95" customHeight="1" x14ac:dyDescent="0.25">
      <c r="C21" s="196"/>
      <c r="D21" s="196"/>
      <c r="E21" s="196"/>
      <c r="F21" s="196"/>
    </row>
    <row r="22" spans="3:20" ht="24.95" customHeight="1" x14ac:dyDescent="0.25">
      <c r="C22" s="196"/>
      <c r="D22" s="196"/>
      <c r="E22" s="196"/>
      <c r="F22" s="196"/>
    </row>
    <row r="23" spans="3:20" ht="24.95" customHeight="1" x14ac:dyDescent="0.25">
      <c r="C23" s="196"/>
      <c r="D23" s="196"/>
      <c r="E23" s="196"/>
      <c r="F23" s="196"/>
      <c r="H23" s="196"/>
      <c r="I23" s="196"/>
      <c r="J23" s="196"/>
      <c r="K23" s="196"/>
      <c r="L23" s="196"/>
      <c r="M23" s="196"/>
      <c r="N23" s="196"/>
      <c r="O23" s="196"/>
      <c r="P23" s="196"/>
      <c r="Q23" s="196"/>
      <c r="R23" s="196"/>
      <c r="S23" s="196"/>
      <c r="T23" s="196"/>
    </row>
    <row r="24" spans="3:20" ht="24.95" customHeight="1" x14ac:dyDescent="0.25">
      <c r="C24" s="196"/>
      <c r="D24" s="196"/>
      <c r="E24" s="196"/>
      <c r="F24" s="196"/>
    </row>
    <row r="25" spans="3:20" ht="24.95" customHeight="1" x14ac:dyDescent="0.25">
      <c r="C25" s="196"/>
      <c r="D25" s="196"/>
      <c r="E25" s="196"/>
      <c r="F25" s="196"/>
    </row>
    <row r="26" spans="3:20" ht="24.95" customHeight="1" x14ac:dyDescent="0.25">
      <c r="C26" s="196"/>
      <c r="D26" s="196"/>
      <c r="E26" s="196"/>
      <c r="F26" s="196"/>
    </row>
    <row r="27" spans="3:20" ht="6" customHeight="1" x14ac:dyDescent="0.25"/>
    <row r="28" spans="3:20" ht="24.95" customHeight="1" x14ac:dyDescent="0.25">
      <c r="C28" s="196"/>
      <c r="D28" s="196"/>
      <c r="E28" s="196"/>
      <c r="F28" s="196"/>
    </row>
    <row r="29" spans="3:20" ht="24.95" customHeight="1" x14ac:dyDescent="0.25">
      <c r="C29" s="196"/>
      <c r="D29" s="196"/>
      <c r="E29" s="196"/>
      <c r="F29" s="196"/>
    </row>
    <row r="30" spans="3:20" ht="24.95" customHeight="1" x14ac:dyDescent="0.25">
      <c r="C30" s="196"/>
      <c r="D30" s="196"/>
      <c r="E30" s="196"/>
      <c r="F30" s="196"/>
    </row>
    <row r="31" spans="3:20" ht="24.95" customHeight="1" x14ac:dyDescent="0.25">
      <c r="C31" s="196"/>
      <c r="D31" s="196"/>
      <c r="E31" s="196"/>
      <c r="F31" s="196"/>
    </row>
    <row r="32" spans="3:20" ht="20.100000000000001" customHeight="1" x14ac:dyDescent="0.25">
      <c r="C32" s="196"/>
      <c r="D32" s="196"/>
      <c r="E32" s="196"/>
      <c r="F32" s="196"/>
    </row>
    <row r="33" spans="3:6" ht="24.95" customHeight="1" x14ac:dyDescent="0.25">
      <c r="C33" s="196"/>
      <c r="D33" s="196"/>
      <c r="E33" s="196"/>
      <c r="F33" s="196"/>
    </row>
    <row r="34" spans="3:6" ht="24.95" customHeight="1" x14ac:dyDescent="0.25">
      <c r="C34" s="196"/>
      <c r="D34" s="196"/>
      <c r="E34" s="196"/>
      <c r="F34" s="196"/>
    </row>
    <row r="35" spans="3:6" ht="24.95" customHeight="1" x14ac:dyDescent="0.25">
      <c r="C35" s="196"/>
      <c r="D35" s="196"/>
      <c r="E35" s="196"/>
      <c r="F35" s="196"/>
    </row>
    <row r="36" spans="3:6" ht="24.95" customHeight="1" x14ac:dyDescent="0.25">
      <c r="C36" s="196"/>
      <c r="D36" s="196"/>
      <c r="E36" s="196"/>
      <c r="F36" s="196"/>
    </row>
    <row r="37" spans="3:6" ht="24.95" customHeight="1" x14ac:dyDescent="0.25">
      <c r="C37" s="196"/>
      <c r="D37" s="196"/>
      <c r="E37" s="196"/>
      <c r="F37" s="196"/>
    </row>
    <row r="38" spans="3:6" ht="24.95" customHeight="1" x14ac:dyDescent="0.25">
      <c r="C38" s="196"/>
      <c r="D38" s="196"/>
      <c r="E38" s="196"/>
      <c r="F38" s="196"/>
    </row>
    <row r="39" spans="3:6" ht="24.95" customHeight="1" x14ac:dyDescent="0.25">
      <c r="C39" s="196"/>
      <c r="D39" s="196"/>
      <c r="E39" s="196"/>
      <c r="F39" s="196"/>
    </row>
    <row r="40" spans="3:6" ht="24.95" customHeight="1" x14ac:dyDescent="0.25">
      <c r="C40" s="196"/>
      <c r="D40" s="196"/>
      <c r="E40" s="196"/>
      <c r="F40" s="196"/>
    </row>
    <row r="41" spans="3:6" ht="15" customHeight="1" x14ac:dyDescent="0.25"/>
    <row r="42" spans="3:6" ht="15" customHeight="1" x14ac:dyDescent="0.25"/>
    <row r="43" spans="3:6" ht="15" customHeight="1" x14ac:dyDescent="0.25">
      <c r="C43" s="196"/>
      <c r="D43" s="196"/>
      <c r="E43" s="196"/>
      <c r="F43" s="196"/>
    </row>
    <row r="44" spans="3:6" ht="15" customHeight="1" x14ac:dyDescent="0.25">
      <c r="C44" s="196"/>
      <c r="D44" s="196"/>
      <c r="E44" s="196"/>
      <c r="F44" s="196"/>
    </row>
    <row r="45" spans="3:6" ht="20.100000000000001" customHeight="1" x14ac:dyDescent="0.25">
      <c r="C45" s="196"/>
      <c r="D45" s="196"/>
      <c r="E45" s="196"/>
      <c r="F45" s="196"/>
    </row>
    <row r="46" spans="3:6" ht="15" customHeight="1" x14ac:dyDescent="0.25">
      <c r="C46" s="196"/>
      <c r="D46" s="196"/>
      <c r="E46" s="196"/>
      <c r="F46" s="196"/>
    </row>
    <row r="47" spans="3:6" ht="15" customHeight="1" x14ac:dyDescent="0.25">
      <c r="C47" s="196"/>
      <c r="D47" s="196"/>
      <c r="E47" s="196"/>
      <c r="F47" s="196"/>
    </row>
    <row r="48" spans="3:6" ht="15" customHeight="1" x14ac:dyDescent="0.25">
      <c r="C48" s="196"/>
      <c r="D48" s="196"/>
      <c r="E48" s="196"/>
      <c r="F48" s="196"/>
    </row>
    <row r="49" spans="3:6" ht="15" customHeight="1" x14ac:dyDescent="0.25">
      <c r="C49" s="196"/>
      <c r="D49" s="196"/>
      <c r="E49" s="196"/>
      <c r="F49" s="196"/>
    </row>
    <row r="50" spans="3:6" ht="15" customHeight="1" x14ac:dyDescent="0.25"/>
    <row r="51" spans="3:6" ht="15" customHeight="1" x14ac:dyDescent="0.25"/>
    <row r="52" spans="3:6" ht="15" customHeight="1" x14ac:dyDescent="0.25"/>
    <row r="53" spans="3:6" ht="3.95" customHeight="1" x14ac:dyDescent="0.25"/>
    <row r="54" spans="3:6" ht="41.1" customHeight="1" x14ac:dyDescent="0.25"/>
    <row r="55" spans="3:6" ht="27.95" customHeight="1" x14ac:dyDescent="0.25"/>
    <row r="56" spans="3:6" ht="3.95" customHeight="1" x14ac:dyDescent="0.25"/>
    <row r="57" spans="3:6" ht="15" customHeight="1" x14ac:dyDescent="0.25"/>
    <row r="58" spans="3:6" ht="15" customHeight="1" x14ac:dyDescent="0.25"/>
    <row r="59" spans="3:6" ht="15" customHeight="1" x14ac:dyDescent="0.25"/>
    <row r="60" spans="3:6" ht="15" customHeight="1" x14ac:dyDescent="0.25">
      <c r="F60" s="186"/>
    </row>
    <row r="61" spans="3:6" ht="15" customHeight="1" x14ac:dyDescent="0.25"/>
    <row r="62" spans="3:6" ht="15" customHeight="1" x14ac:dyDescent="0.25">
      <c r="F62" s="187"/>
    </row>
    <row r="63" spans="3:6" ht="15" customHeight="1" x14ac:dyDescent="0.25"/>
    <row r="64" spans="3:6" ht="15" customHeight="1" x14ac:dyDescent="0.25"/>
    <row r="65" customFormat="1" ht="15" customHeight="1" x14ac:dyDescent="0.25"/>
    <row r="66" customFormat="1" ht="15" customHeight="1" x14ac:dyDescent="0.25"/>
    <row r="67" customFormat="1" ht="15" customHeight="1" x14ac:dyDescent="0.25"/>
    <row r="68" customFormat="1" ht="15" customHeight="1" x14ac:dyDescent="0.25"/>
    <row r="69" customFormat="1" ht="15" customHeight="1" x14ac:dyDescent="0.25"/>
    <row r="70" customFormat="1" ht="15" customHeight="1" x14ac:dyDescent="0.25"/>
    <row r="71" customFormat="1" ht="15" customHeight="1" x14ac:dyDescent="0.25"/>
    <row r="72" customFormat="1" ht="15" customHeight="1" x14ac:dyDescent="0.25"/>
    <row r="73" customFormat="1" ht="15" customHeight="1" x14ac:dyDescent="0.25"/>
    <row r="74" customFormat="1" ht="30" customHeight="1" x14ac:dyDescent="0.25"/>
    <row r="75" customFormat="1" ht="30" customHeight="1" x14ac:dyDescent="0.25"/>
    <row r="76" customFormat="1" ht="27.95" customHeight="1" x14ac:dyDescent="0.25"/>
    <row r="77" customFormat="1" ht="3.95" customHeight="1" x14ac:dyDescent="0.25"/>
    <row r="78" customFormat="1" ht="15" customHeight="1" x14ac:dyDescent="0.25"/>
    <row r="79" customFormat="1" ht="15" customHeight="1" x14ac:dyDescent="0.25"/>
    <row r="80" customFormat="1" ht="15" customHeight="1" x14ac:dyDescent="0.25"/>
    <row r="81" customFormat="1" ht="15" customHeight="1" x14ac:dyDescent="0.25"/>
    <row r="82" customFormat="1" ht="15" customHeight="1" x14ac:dyDescent="0.25"/>
    <row r="83" customFormat="1" ht="15" customHeight="1" x14ac:dyDescent="0.25"/>
    <row r="84" customFormat="1" ht="15" customHeight="1" x14ac:dyDescent="0.25"/>
    <row r="85" customFormat="1" ht="15" customHeight="1" x14ac:dyDescent="0.25"/>
    <row r="86" customFormat="1" ht="15" customHeight="1" x14ac:dyDescent="0.25"/>
    <row r="87" customFormat="1" ht="15" customHeight="1" x14ac:dyDescent="0.25"/>
    <row r="88" customFormat="1" ht="15" customHeight="1" x14ac:dyDescent="0.25"/>
    <row r="89" customFormat="1" ht="15" customHeight="1" x14ac:dyDescent="0.25"/>
    <row r="90" customFormat="1" ht="15" customHeight="1" x14ac:dyDescent="0.25"/>
    <row r="91" customFormat="1" ht="15" customHeight="1" x14ac:dyDescent="0.25"/>
    <row r="92" customFormat="1" ht="15" customHeight="1" x14ac:dyDescent="0.25"/>
    <row r="93" customFormat="1" ht="45" customHeight="1" x14ac:dyDescent="0.25"/>
    <row r="94" customFormat="1" ht="27.95" customHeight="1" x14ac:dyDescent="0.25"/>
    <row r="95" customFormat="1" ht="3.95" customHeight="1" x14ac:dyDescent="0.25"/>
    <row r="96" customFormat="1" ht="15" customHeight="1" x14ac:dyDescent="0.25"/>
    <row r="97" customFormat="1" ht="15" customHeight="1" x14ac:dyDescent="0.25"/>
    <row r="98" customFormat="1" ht="15" customHeight="1" x14ac:dyDescent="0.25"/>
    <row r="99" customFormat="1" ht="15" customHeight="1" x14ac:dyDescent="0.25"/>
    <row r="100" customFormat="1" ht="15" customHeight="1" x14ac:dyDescent="0.25"/>
    <row r="101" customFormat="1" ht="15" customHeight="1" x14ac:dyDescent="0.25"/>
    <row r="102" customFormat="1" ht="15" customHeight="1" x14ac:dyDescent="0.25"/>
    <row r="103" customFormat="1" ht="15" customHeight="1" x14ac:dyDescent="0.25"/>
    <row r="104" customFormat="1" ht="15" customHeight="1" x14ac:dyDescent="0.25"/>
    <row r="105" customFormat="1" ht="15" customHeight="1" x14ac:dyDescent="0.25"/>
    <row r="106" customFormat="1" ht="15" customHeight="1" x14ac:dyDescent="0.25"/>
    <row r="107" customFormat="1" ht="15" customHeight="1" x14ac:dyDescent="0.25"/>
    <row r="108" customFormat="1" ht="15" customHeight="1" x14ac:dyDescent="0.25"/>
    <row r="109" customFormat="1" ht="15" customHeight="1" x14ac:dyDescent="0.25"/>
    <row r="110" customFormat="1" ht="15" customHeight="1" x14ac:dyDescent="0.25"/>
    <row r="111" customFormat="1" ht="15" customHeight="1" x14ac:dyDescent="0.25"/>
    <row r="112" customFormat="1" ht="30" customHeight="1" x14ac:dyDescent="0.25"/>
    <row r="113" customFormat="1" ht="19.5" customHeight="1" x14ac:dyDescent="0.25"/>
    <row r="114" customFormat="1" ht="27.95" customHeight="1" x14ac:dyDescent="0.25"/>
    <row r="115" customFormat="1" ht="3.95" customHeight="1" x14ac:dyDescent="0.25"/>
    <row r="116" customFormat="1" ht="15" customHeight="1" x14ac:dyDescent="0.25"/>
    <row r="117" customFormat="1" ht="15" customHeight="1" x14ac:dyDescent="0.25"/>
    <row r="118" customFormat="1" ht="15" customHeight="1" x14ac:dyDescent="0.25"/>
    <row r="119" customFormat="1" ht="15" customHeight="1" x14ac:dyDescent="0.25"/>
    <row r="120" customFormat="1" ht="15" customHeight="1" x14ac:dyDescent="0.25"/>
    <row r="121" customFormat="1" ht="15" customHeight="1" x14ac:dyDescent="0.25"/>
    <row r="122" customFormat="1" ht="15" customHeight="1" x14ac:dyDescent="0.25"/>
    <row r="123" customFormat="1" ht="15" customHeight="1" x14ac:dyDescent="0.25"/>
    <row r="124" customFormat="1" ht="15" customHeight="1" x14ac:dyDescent="0.25"/>
    <row r="125" customFormat="1" ht="15" customHeight="1" x14ac:dyDescent="0.25"/>
    <row r="126" customFormat="1" ht="15" customHeight="1" x14ac:dyDescent="0.25"/>
    <row r="127" customFormat="1" ht="15" customHeight="1" x14ac:dyDescent="0.25"/>
    <row r="128" customFormat="1" ht="15" customHeight="1" x14ac:dyDescent="0.25"/>
    <row r="129" customFormat="1" ht="15" customHeight="1" x14ac:dyDescent="0.25"/>
    <row r="130" customFormat="1" ht="15" customHeight="1" x14ac:dyDescent="0.25"/>
    <row r="131" customFormat="1" ht="15" customHeight="1" x14ac:dyDescent="0.25"/>
  </sheetData>
  <mergeCells count="43">
    <mergeCell ref="C16:F16"/>
    <mergeCell ref="C7:F7"/>
    <mergeCell ref="H7:T7"/>
    <mergeCell ref="AB7:AN7"/>
    <mergeCell ref="C8:F8"/>
    <mergeCell ref="C9:F9"/>
    <mergeCell ref="C10:F10"/>
    <mergeCell ref="C11:F11"/>
    <mergeCell ref="C12:F12"/>
    <mergeCell ref="C13:F13"/>
    <mergeCell ref="C14:F14"/>
    <mergeCell ref="C15:F15"/>
    <mergeCell ref="C28:F28"/>
    <mergeCell ref="C17:F17"/>
    <mergeCell ref="C18:F18"/>
    <mergeCell ref="C19:F19"/>
    <mergeCell ref="C20:F20"/>
    <mergeCell ref="C21:F21"/>
    <mergeCell ref="C22:F22"/>
    <mergeCell ref="C23:F23"/>
    <mergeCell ref="H23:T23"/>
    <mergeCell ref="C24:F24"/>
    <mergeCell ref="C25:F25"/>
    <mergeCell ref="C26:F26"/>
    <mergeCell ref="C40:F40"/>
    <mergeCell ref="C29:F29"/>
    <mergeCell ref="C30:F30"/>
    <mergeCell ref="C31:F31"/>
    <mergeCell ref="C32:F32"/>
    <mergeCell ref="C33:F33"/>
    <mergeCell ref="C34:F34"/>
    <mergeCell ref="C35:F35"/>
    <mergeCell ref="C36:F36"/>
    <mergeCell ref="C37:F37"/>
    <mergeCell ref="C38:F38"/>
    <mergeCell ref="C39:F39"/>
    <mergeCell ref="C49:F49"/>
    <mergeCell ref="C43:F43"/>
    <mergeCell ref="C44:F44"/>
    <mergeCell ref="C45:F45"/>
    <mergeCell ref="C46:F46"/>
    <mergeCell ref="C47:F47"/>
    <mergeCell ref="C48:F48"/>
  </mergeCells>
  <pageMargins left="0.7" right="0.7" top="0.75" bottom="0.75" header="0.3" footer="0.3"/>
  <pageSetup paperSize="9" scale="16"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3F3558C-ECAF-4716-869B-2062C5DDF8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5</vt:i4>
      </vt:variant>
    </vt:vector>
  </HeadingPairs>
  <TitlesOfParts>
    <vt:vector size="14" baseType="lpstr">
      <vt:lpstr>Documentation</vt:lpstr>
      <vt:lpstr>Raw Data (Jan-Jun)</vt:lpstr>
      <vt:lpstr>Raw Data (Jul-Dec)</vt:lpstr>
      <vt:lpstr>FX Rates</vt:lpstr>
      <vt:lpstr>Raw_Data_Combined</vt:lpstr>
      <vt:lpstr>Tasks</vt:lpstr>
      <vt:lpstr>Dashboards</vt:lpstr>
      <vt:lpstr>Pivot Tables</vt:lpstr>
      <vt:lpstr>Dynamic Dashboard</vt:lpstr>
      <vt:lpstr>Dashboards!Print_Area</vt:lpstr>
      <vt:lpstr>'Dynamic Dashboard'!Print_Area</vt:lpstr>
      <vt:lpstr>'FX Rates'!Print_Area</vt:lpstr>
      <vt:lpstr>'Raw_Data_Combined'!Print_Area</vt:lpstr>
      <vt:lpstr>Tasks!Print_Area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nikolas andreou</dc:creator>
  <cp:lastModifiedBy>Andreas Rossos</cp:lastModifiedBy>
  <cp:lastPrinted>2026-03-05T08:13:26Z</cp:lastPrinted>
  <dcterms:created xsi:type="dcterms:W3CDTF">2015-06-05T18:17:20Z</dcterms:created>
  <dcterms:modified xsi:type="dcterms:W3CDTF">2026-03-05T15:04:19Z</dcterms:modified>
</cp:coreProperties>
</file>